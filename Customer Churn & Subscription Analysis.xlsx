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and313\Downloads\"/>
    </mc:Choice>
  </mc:AlternateContent>
  <xr:revisionPtr revIDLastSave="0" documentId="8_{56FCB9A2-3080-42EC-BB14-8A3D75BC0A3A}" xr6:coauthVersionLast="47" xr6:coauthVersionMax="47" xr10:uidLastSave="{00000000-0000-0000-0000-000000000000}"/>
  <bookViews>
    <workbookView xWindow="105" yWindow="870" windowWidth="15870" windowHeight="14595" firstSheet="1" activeTab="3" xr2:uid="{00000000-000D-0000-FFFF-FFFF00000000}"/>
  </bookViews>
  <sheets>
    <sheet name="Raw Data" sheetId="1" r:id="rId1"/>
    <sheet name="Churn Analysis" sheetId="3" r:id="rId2"/>
    <sheet name="Churn Pivot Analysis" sheetId="4" r:id="rId3"/>
    <sheet name="Churn Dashboard" sheetId="5" r:id="rId4"/>
  </sheet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5" l="1"/>
  <c r="L5" i="5"/>
  <c r="I5" i="5"/>
  <c r="E5" i="5"/>
  <c r="B5" i="5"/>
  <c r="U5" i="3"/>
  <c r="U6" i="3"/>
  <c r="U7" i="3"/>
  <c r="U4" i="3"/>
  <c r="R5" i="3"/>
  <c r="R4" i="3"/>
  <c r="N4" i="3"/>
  <c r="L5" i="3"/>
  <c r="L6" i="3"/>
  <c r="L4" i="3"/>
  <c r="I5" i="3"/>
  <c r="I6" i="3"/>
  <c r="I4" i="3"/>
  <c r="F5" i="3"/>
  <c r="F6" i="3"/>
  <c r="F4" i="3"/>
  <c r="C5" i="3"/>
  <c r="C6" i="3"/>
  <c r="C4" i="3"/>
</calcChain>
</file>

<file path=xl/sharedStrings.xml><?xml version="1.0" encoding="utf-8"?>
<sst xmlns="http://schemas.openxmlformats.org/spreadsheetml/2006/main" count="7121" uniqueCount="1063">
  <si>
    <t>Customer_ID</t>
  </si>
  <si>
    <t>Gender</t>
  </si>
  <si>
    <t>Age</t>
  </si>
  <si>
    <t>Region</t>
  </si>
  <si>
    <t>Contract_Type</t>
  </si>
  <si>
    <t>Subscription_Plan</t>
  </si>
  <si>
    <t>Tenure_Months</t>
  </si>
  <si>
    <t>Monthly_Charges</t>
  </si>
  <si>
    <t>Payment_Method</t>
  </si>
  <si>
    <t>Support_Tickets</t>
  </si>
  <si>
    <t>Satisfaction_Score</t>
  </si>
  <si>
    <t>Churn</t>
  </si>
  <si>
    <t>Join_Date</t>
  </si>
  <si>
    <t>CUST0001</t>
  </si>
  <si>
    <t>Female</t>
  </si>
  <si>
    <t>Midwest</t>
  </si>
  <si>
    <t>Monthly</t>
  </si>
  <si>
    <t>Basic</t>
  </si>
  <si>
    <t>Credit Card</t>
  </si>
  <si>
    <t>Yes</t>
  </si>
  <si>
    <t>CUST0002</t>
  </si>
  <si>
    <t>Northeast</t>
  </si>
  <si>
    <t>Two Year</t>
  </si>
  <si>
    <t>Mailed Check</t>
  </si>
  <si>
    <t>No</t>
  </si>
  <si>
    <t>CUST0003</t>
  </si>
  <si>
    <t>Male</t>
  </si>
  <si>
    <t>CUST0004</t>
  </si>
  <si>
    <t>Standard</t>
  </si>
  <si>
    <t>CUST0005</t>
  </si>
  <si>
    <t>South</t>
  </si>
  <si>
    <t>Electronic Check</t>
  </si>
  <si>
    <t>CUST0006</t>
  </si>
  <si>
    <t>CUST0007</t>
  </si>
  <si>
    <t>West</t>
  </si>
  <si>
    <t>One Year</t>
  </si>
  <si>
    <t>CUST0008</t>
  </si>
  <si>
    <t>CUST0009</t>
  </si>
  <si>
    <t>Premium</t>
  </si>
  <si>
    <t>CUST0010</t>
  </si>
  <si>
    <t>CUST0011</t>
  </si>
  <si>
    <t>CUST0012</t>
  </si>
  <si>
    <t>CUST0013</t>
  </si>
  <si>
    <t>CUST0014</t>
  </si>
  <si>
    <t>CUST0015</t>
  </si>
  <si>
    <t>CUST0016</t>
  </si>
  <si>
    <t>Bank Transfer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</si>
  <si>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</si>
  <si>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</si>
  <si>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</si>
  <si>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</si>
  <si>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</si>
  <si>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</si>
  <si>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</si>
  <si>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</si>
  <si>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</si>
  <si>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</si>
  <si>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</si>
  <si>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</si>
  <si>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</si>
  <si>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</si>
  <si>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</si>
  <si>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</si>
  <si>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</si>
  <si>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</si>
  <si>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</si>
  <si>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</si>
  <si>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</si>
  <si>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</si>
  <si>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</si>
  <si>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</si>
  <si>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</si>
  <si>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</si>
  <si>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</si>
  <si>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</si>
  <si>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</si>
  <si>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</si>
  <si>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</si>
  <si>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</si>
  <si>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</si>
  <si>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</si>
  <si>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</si>
  <si>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</si>
  <si>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</si>
  <si>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</si>
  <si>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</si>
  <si>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</si>
  <si>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</si>
  <si>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</si>
  <si>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</si>
  <si>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</si>
  <si>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</si>
  <si>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</si>
  <si>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</si>
  <si>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</si>
  <si>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</si>
  <si>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</si>
  <si>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</si>
  <si>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</si>
  <si>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</si>
  <si>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</si>
  <si>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</si>
  <si>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</si>
  <si>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</si>
  <si>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</si>
  <si>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</si>
  <si>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</si>
  <si>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</si>
  <si>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</si>
  <si>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</si>
  <si>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</si>
  <si>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</si>
  <si>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</si>
  <si>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</si>
  <si>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</si>
  <si>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</si>
  <si>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</si>
  <si>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</si>
  <si>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</si>
  <si>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</si>
  <si>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</si>
  <si>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</si>
  <si>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</si>
  <si>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</si>
  <si>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</si>
  <si>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</si>
  <si>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</si>
  <si>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</si>
  <si>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</si>
  <si>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</si>
  <si>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</si>
  <si>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</si>
  <si>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</si>
  <si>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</si>
  <si>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</si>
  <si>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</si>
  <si>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</si>
  <si>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</si>
  <si>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</si>
  <si>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</si>
  <si>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</si>
  <si>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</si>
  <si>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</si>
  <si>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</si>
  <si>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</si>
  <si>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</si>
  <si>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</si>
  <si>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</si>
  <si>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</si>
  <si>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</si>
  <si>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</si>
  <si>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</si>
  <si>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</si>
  <si>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</si>
  <si>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</si>
  <si>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</si>
  <si>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</si>
  <si>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</si>
  <si>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</si>
  <si>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</si>
  <si>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</si>
  <si>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</si>
  <si>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</si>
  <si>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</si>
  <si>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</si>
  <si>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</si>
  <si>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</si>
  <si>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</si>
  <si>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</si>
  <si>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</si>
  <si>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</si>
  <si>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</si>
  <si>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</si>
  <si>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</si>
  <si>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</si>
  <si>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</si>
  <si>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</si>
  <si>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</si>
  <si>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</si>
  <si>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</si>
  <si>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</si>
  <si>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</si>
  <si>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</si>
  <si>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</si>
  <si>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</si>
  <si>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</si>
  <si>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</si>
  <si>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</si>
  <si>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</si>
  <si>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</si>
  <si>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</si>
  <si>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</si>
  <si>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</si>
  <si>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</si>
  <si>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</si>
  <si>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</si>
  <si>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</si>
  <si>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</si>
  <si>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</si>
  <si>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</si>
  <si>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</si>
  <si>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</si>
  <si>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</si>
  <si>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</si>
  <si>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</si>
  <si>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</si>
  <si>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</si>
  <si>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</si>
  <si>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</si>
  <si>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</si>
  <si>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</si>
  <si>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</si>
  <si>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</si>
  <si>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</si>
  <si>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</si>
  <si>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</si>
  <si>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</si>
  <si>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</si>
  <si>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</si>
  <si>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</si>
  <si>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</si>
  <si>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</si>
  <si>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</si>
  <si>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</si>
  <si>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</si>
  <si>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</si>
  <si>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</si>
  <si>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</si>
  <si>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</si>
  <si>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</si>
  <si>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</si>
  <si>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</si>
  <si>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</si>
  <si>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</si>
  <si>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</si>
  <si>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</si>
  <si>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</si>
  <si>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</si>
  <si>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</si>
  <si>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</si>
  <si>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</si>
  <si>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</si>
  <si>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</si>
  <si>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</si>
  <si>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</si>
  <si>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</si>
  <si>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</si>
  <si>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</si>
  <si>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</si>
  <si>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</si>
  <si>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</si>
  <si>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</si>
  <si>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</si>
  <si>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</si>
  <si>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</si>
  <si>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</si>
  <si>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</si>
  <si>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</si>
  <si>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</si>
  <si>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</si>
  <si>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</si>
  <si>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</si>
  <si>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</si>
  <si>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</si>
  <si>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</si>
  <si>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</si>
  <si>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</si>
  <si>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</si>
  <si>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</si>
  <si>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</si>
  <si>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</si>
  <si>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</si>
  <si>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</si>
  <si>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</si>
  <si>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</si>
  <si>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</si>
  <si>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</si>
  <si>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</si>
  <si>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</si>
  <si>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</si>
  <si>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</si>
  <si>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</si>
  <si>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</si>
  <si>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</si>
  <si>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</si>
  <si>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</si>
  <si>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</si>
  <si>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</si>
  <si>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</si>
  <si>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</si>
  <si>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</si>
  <si>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</si>
  <si>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</si>
  <si>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</si>
  <si>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</si>
  <si>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</si>
  <si>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</si>
  <si>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</si>
  <si>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</si>
  <si>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</si>
  <si>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</si>
  <si>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</si>
  <si>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</si>
  <si>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</si>
  <si>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</si>
  <si>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</si>
  <si>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</si>
  <si>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</si>
  <si>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</si>
  <si>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</si>
  <si>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</si>
  <si>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</si>
  <si>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</si>
  <si>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</si>
  <si>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</si>
  <si>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</si>
  <si>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</si>
  <si>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</si>
  <si>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</si>
  <si>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</si>
  <si>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</si>
  <si>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</si>
  <si>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</si>
  <si>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</si>
  <si>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</si>
  <si>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</si>
  <si>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</si>
  <si>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</si>
  <si>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</si>
  <si>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</si>
  <si>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</si>
  <si>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</si>
  <si>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</si>
  <si>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</si>
  <si>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</si>
  <si>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</si>
  <si>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</si>
  <si>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</si>
  <si>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</si>
  <si>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</si>
  <si>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</si>
  <si>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</si>
  <si>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</si>
  <si>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</si>
  <si>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</si>
  <si>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</si>
  <si>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</si>
  <si>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</si>
  <si>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</si>
  <si>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</si>
  <si>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</si>
  <si>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</si>
  <si>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</si>
  <si>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</si>
  <si>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</si>
  <si>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</si>
  <si>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</si>
  <si>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</si>
  <si>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</si>
  <si>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</si>
  <si>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</si>
  <si>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</si>
  <si>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</si>
  <si>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</si>
  <si>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</si>
  <si>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</si>
  <si>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</si>
  <si>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</si>
  <si>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</si>
  <si>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</si>
  <si>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</si>
  <si>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</si>
  <si>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</si>
  <si>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</si>
  <si>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</si>
  <si>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</si>
  <si>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</si>
  <si>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</si>
  <si>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</si>
  <si>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</si>
  <si>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</si>
  <si>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</si>
  <si>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</si>
  <si>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</si>
  <si>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</si>
  <si>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</si>
  <si>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</si>
  <si>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</si>
  <si>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</si>
  <si>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</si>
  <si>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</si>
  <si>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</si>
  <si>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</si>
  <si>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</si>
  <si>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</si>
  <si>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</si>
  <si>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</si>
  <si>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</si>
  <si>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</si>
  <si>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</si>
  <si>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</si>
  <si>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</si>
  <si>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</si>
  <si>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</si>
  <si>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</si>
  <si>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</si>
  <si>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</si>
  <si>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</si>
  <si>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</si>
  <si>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</si>
  <si>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</si>
  <si>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</si>
  <si>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</si>
  <si>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</si>
  <si>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</si>
  <si>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</si>
  <si>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</si>
  <si>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</si>
  <si>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</si>
  <si>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</si>
  <si>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</si>
  <si>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</si>
  <si>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</si>
  <si>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</si>
  <si>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</si>
  <si>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</si>
  <si>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</si>
  <si>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</si>
  <si>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</si>
  <si>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</si>
  <si>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</si>
  <si>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</si>
  <si>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</si>
  <si>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</si>
  <si>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</si>
  <si>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</si>
  <si>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</si>
  <si>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</si>
  <si>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</si>
  <si>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</si>
  <si>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</si>
  <si>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</si>
  <si>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</si>
  <si>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</si>
  <si>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</si>
  <si>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</si>
  <si>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</si>
  <si>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</si>
  <si>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</si>
  <si>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</si>
  <si>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</si>
  <si>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</si>
  <si>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</si>
  <si>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</si>
  <si>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</si>
  <si>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</si>
  <si>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</si>
  <si>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</si>
  <si>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</si>
  <si>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</si>
  <si>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</si>
  <si>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</si>
  <si>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</si>
  <si>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</si>
  <si>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</si>
  <si>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</si>
  <si>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</si>
  <si>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</si>
  <si>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</si>
  <si>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</si>
  <si>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</si>
  <si>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</si>
  <si>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</si>
  <si>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</si>
  <si>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</si>
  <si>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</si>
  <si>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</si>
  <si>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</si>
  <si>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</si>
  <si>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</si>
  <si>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</si>
  <si>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</si>
  <si>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</si>
  <si>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</si>
  <si>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</si>
  <si>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</si>
  <si>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</si>
  <si>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</si>
  <si>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</si>
  <si>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</si>
  <si>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</si>
  <si>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</si>
  <si>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</si>
  <si>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</si>
  <si>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</si>
  <si>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</si>
  <si>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</si>
  <si>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</si>
  <si>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</si>
  <si>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</si>
  <si>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</si>
  <si>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</si>
  <si>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</si>
  <si>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</si>
  <si>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</si>
  <si>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</si>
  <si>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</si>
  <si>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</si>
  <si>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</si>
  <si>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</si>
  <si>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</si>
  <si>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</si>
  <si>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</si>
  <si>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</si>
  <si>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</si>
  <si>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</si>
  <si>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</si>
  <si>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</si>
  <si>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</si>
  <si>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</si>
  <si>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</si>
  <si>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</si>
  <si>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</si>
  <si>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</si>
  <si>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</si>
  <si>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</si>
  <si>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</si>
  <si>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</si>
  <si>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</si>
  <si>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</si>
  <si>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</si>
  <si>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</si>
  <si>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</si>
  <si>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</si>
  <si>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</si>
  <si>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</si>
  <si>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</si>
  <si>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</si>
  <si>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</si>
  <si>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</si>
  <si>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</si>
  <si>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</si>
  <si>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</si>
  <si>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</si>
  <si>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</si>
  <si>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</si>
  <si>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</si>
  <si>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</si>
  <si>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</si>
  <si>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</si>
  <si>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</si>
  <si>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</si>
  <si>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</si>
  <si>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</si>
  <si>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</si>
  <si>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</si>
  <si>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</si>
  <si>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</si>
  <si>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</si>
  <si>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</si>
  <si>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</si>
  <si>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</si>
  <si>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</si>
  <si>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</si>
  <si>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</si>
  <si>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</si>
  <si>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</si>
  <si>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</si>
  <si>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</si>
  <si>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</si>
  <si>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</si>
  <si>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</si>
  <si>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</si>
  <si>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</si>
  <si>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</si>
  <si>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</si>
  <si>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</si>
  <si>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</si>
  <si>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</si>
  <si>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</si>
  <si>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</si>
  <si>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</si>
  <si>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</si>
  <si>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</si>
  <si>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</si>
  <si>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</si>
  <si>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</si>
  <si>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</si>
  <si>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</si>
  <si>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</si>
  <si>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</si>
  <si>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</si>
  <si>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</si>
  <si>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</si>
  <si>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</si>
  <si>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</si>
  <si>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</si>
  <si>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</si>
  <si>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</si>
  <si>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</si>
  <si>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</si>
  <si>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</si>
  <si>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</si>
  <si>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</si>
  <si>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</si>
  <si>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</si>
  <si>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</si>
  <si>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</si>
  <si>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</si>
  <si>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</si>
  <si>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</si>
  <si>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</si>
  <si>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</si>
  <si>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</si>
  <si>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</si>
  <si>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</si>
  <si>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</si>
  <si>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</si>
  <si>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</si>
  <si>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</si>
  <si>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</si>
  <si>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</si>
  <si>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</si>
  <si>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</si>
  <si>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</si>
  <si>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</si>
  <si>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</si>
  <si>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</si>
  <si>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</si>
  <si>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</si>
  <si>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</si>
  <si>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</si>
  <si>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</si>
  <si>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</si>
  <si>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</si>
  <si>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</si>
  <si>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</si>
  <si>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</si>
  <si>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</si>
  <si>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</si>
  <si>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</si>
  <si>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</si>
  <si>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</si>
  <si>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</si>
  <si>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</si>
  <si>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</si>
  <si>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</si>
  <si>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</si>
  <si>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</si>
  <si>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</si>
  <si>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</si>
  <si>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</si>
  <si>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</si>
  <si>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</si>
  <si>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</si>
  <si>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</si>
  <si>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</si>
  <si>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</si>
  <si>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</si>
  <si>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</si>
  <si>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</si>
  <si>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</si>
  <si>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</si>
  <si>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</si>
  <si>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</si>
  <si>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</si>
  <si>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</si>
  <si>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</si>
  <si>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</si>
  <si>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</si>
  <si>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</si>
  <si>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</si>
  <si>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</si>
  <si>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</si>
  <si>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</si>
  <si>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</si>
  <si>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</si>
  <si>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</si>
  <si>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</si>
  <si>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</si>
  <si>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</si>
  <si>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</si>
  <si>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</si>
  <si>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</si>
  <si>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</si>
  <si>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</si>
  <si>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</si>
  <si>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</si>
  <si>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</si>
  <si>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</si>
  <si>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</si>
  <si>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</si>
  <si>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</si>
  <si>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</si>
  <si>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</si>
  <si>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</si>
  <si>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</si>
  <si>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</si>
  <si>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</si>
  <si>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</si>
  <si>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</si>
  <si>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</si>
  <si>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</si>
  <si>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</si>
  <si>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</si>
  <si>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</si>
  <si>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</si>
  <si>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</si>
  <si>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</si>
  <si>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</si>
  <si>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</si>
  <si>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</si>
  <si>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</si>
  <si>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</si>
  <si>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</si>
  <si>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</si>
  <si>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</si>
  <si>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</si>
  <si>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</si>
  <si>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</si>
  <si>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</si>
  <si>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</si>
  <si>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</si>
  <si>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</si>
  <si>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</si>
  <si>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</si>
  <si>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</si>
  <si>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</si>
  <si>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</si>
  <si>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</si>
  <si>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</si>
  <si>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</si>
  <si>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</si>
  <si>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</si>
  <si>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</si>
  <si>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</si>
  <si>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</si>
  <si>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</si>
  <si>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</si>
  <si>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</si>
  <si>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</si>
  <si>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</si>
  <si>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</si>
  <si>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</si>
  <si>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</si>
  <si>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</si>
  <si>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</si>
  <si>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</si>
  <si>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</si>
  <si>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</si>
  <si>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</si>
  <si>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</si>
  <si>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</si>
  <si>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</si>
  <si>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</si>
  <si>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</si>
  <si>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</si>
  <si>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</si>
  <si>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</si>
  <si>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</si>
  <si>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</si>
  <si>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</si>
  <si>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</si>
  <si>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</si>
  <si>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</si>
  <si>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</si>
  <si>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</si>
  <si>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</si>
  <si>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</si>
  <si>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</si>
  <si>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</si>
  <si>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</si>
  <si>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</si>
  <si>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</si>
  <si>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</si>
  <si>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</si>
  <si>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</si>
  <si>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</si>
  <si>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</si>
  <si>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</si>
  <si>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</si>
  <si>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</si>
  <si>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</si>
  <si>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</si>
  <si>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</si>
  <si>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</si>
  <si>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</si>
  <si>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</si>
  <si>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</si>
  <si>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</si>
  <si>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</si>
  <si>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</si>
  <si>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</si>
  <si>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</si>
  <si>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</si>
  <si>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</si>
  <si>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</si>
  <si>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</si>
  <si>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</si>
  <si>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</si>
  <si>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</si>
  <si>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</si>
  <si>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</si>
  <si>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</si>
  <si>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</si>
  <si>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</si>
  <si>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</si>
  <si>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</si>
  <si>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</si>
  <si>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</si>
  <si>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</si>
  <si>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</si>
  <si>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</si>
  <si>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</si>
  <si>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</si>
  <si>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</si>
  <si>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</si>
  <si>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</si>
  <si>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</si>
  <si>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</si>
  <si>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</si>
  <si>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</si>
  <si>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</si>
  <si>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</si>
  <si>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</si>
  <si>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</si>
  <si>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</si>
  <si>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</si>
  <si>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</si>
  <si>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</si>
  <si>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</si>
  <si>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</si>
  <si>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</si>
  <si>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</si>
  <si>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</si>
  <si>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</si>
  <si>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</si>
  <si>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</si>
  <si>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</si>
  <si>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</si>
  <si>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</si>
  <si>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</si>
  <si>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</si>
  <si>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</si>
  <si>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</si>
  <si>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</si>
  <si>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</si>
  <si>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</si>
  <si>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</si>
  <si>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</si>
  <si>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</si>
  <si>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</si>
  <si>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</si>
  <si>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</si>
  <si>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</si>
  <si>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</si>
  <si>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</si>
  <si>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</si>
  <si>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</si>
  <si>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</si>
  <si>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</si>
  <si>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</si>
  <si>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</si>
  <si>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</si>
  <si>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</si>
  <si>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</si>
  <si>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</si>
  <si>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</si>
  <si>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</si>
  <si>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</si>
  <si>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</si>
  <si>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</si>
  <si>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</si>
  <si>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</si>
  <si>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</si>
  <si>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</si>
  <si>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</si>
  <si>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</si>
  <si>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</si>
  <si>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</si>
  <si>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</si>
  <si>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</si>
  <si>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</si>
  <si>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</si>
  <si>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</si>
  <si>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</si>
  <si>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</si>
  <si>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</si>
  <si>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</si>
  <si>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</si>
  <si>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</si>
  <si>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</si>
  <si>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</si>
  <si>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</si>
  <si>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</si>
  <si>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</si>
  <si>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</si>
  <si>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</si>
  <si>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</si>
  <si>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</si>
  <si>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</si>
  <si>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</si>
  <si>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</si>
  <si>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</si>
  <si>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</si>
  <si>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</si>
  <si>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</si>
  <si>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</si>
  <si>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</si>
  <si>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</si>
  <si>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</si>
  <si>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</si>
  <si>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</si>
  <si>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</si>
  <si>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</si>
  <si>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</si>
  <si>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</si>
  <si>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</si>
  <si>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</si>
  <si>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</si>
  <si>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</si>
  <si>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</si>
  <si>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</si>
  <si>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</si>
  <si>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</si>
  <si>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</si>
  <si>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</si>
  <si>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</si>
  <si>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</si>
  <si>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</si>
  <si>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</si>
  <si>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</si>
  <si>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</si>
  <si>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</si>
  <si>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</si>
  <si>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</si>
  <si>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</si>
  <si>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</si>
  <si>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</si>
  <si>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</si>
  <si>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</si>
  <si>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</si>
  <si>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</si>
  <si>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</si>
  <si>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</si>
  <si>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</si>
  <si>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</si>
  <si>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</si>
  <si>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</si>
  <si>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</si>
  <si>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</si>
  <si>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</si>
  <si>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</si>
  <si>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</si>
  <si>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</si>
  <si>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</si>
  <si>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</si>
  <si>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</si>
  <si>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</si>
  <si>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</si>
  <si>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</si>
  <si>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</si>
  <si>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</si>
  <si>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</si>
  <si>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</si>
  <si>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</si>
  <si>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</si>
  <si>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</si>
  <si>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</si>
  <si>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</si>
  <si>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</si>
  <si>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</si>
  <si>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</si>
  <si>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</si>
  <si>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</si>
  <si>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</si>
  <si>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</si>
  <si>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</si>
  <si>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</si>
  <si>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</si>
  <si>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</si>
  <si>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</si>
  <si>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</si>
  <si>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</si>
  <si>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</si>
  <si>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</si>
  <si>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</si>
  <si>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</si>
  <si>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</si>
  <si>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</si>
  <si>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</si>
  <si>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</si>
  <si>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</si>
  <si>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</si>
  <si>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</si>
  <si>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</si>
  <si>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</si>
  <si>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</si>
  <si>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</si>
  <si>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</si>
  <si>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</si>
  <si>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</si>
  <si>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</si>
  <si>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</si>
  <si>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</si>
  <si>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</si>
  <si>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</si>
  <si>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</si>
  <si>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</si>
  <si>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</si>
  <si>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</si>
  <si>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</si>
  <si>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</si>
  <si>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</si>
  <si>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</si>
  <si>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</si>
  <si>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</si>
  <si>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</si>
  <si>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</si>
  <si>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</si>
  <si>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</si>
  <si>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</si>
  <si>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</si>
  <si>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</si>
  <si>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</si>
  <si>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</si>
  <si>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</si>
  <si>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</si>
  <si>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</si>
  <si>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</si>
  <si>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</si>
  <si>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Customer Count by Plan</t>
  </si>
  <si>
    <t>Subscription Plan</t>
  </si>
  <si>
    <t>Customer Count</t>
  </si>
  <si>
    <t>Average Monthly Charges by Plan</t>
  </si>
  <si>
    <t>Average Monthly Charges</t>
  </si>
  <si>
    <t>Churn by Subscription Plan</t>
  </si>
  <si>
    <t>Customers Churned</t>
  </si>
  <si>
    <t>Churn by Contract Type</t>
  </si>
  <si>
    <t>Contract Type</t>
  </si>
  <si>
    <t>Overall Churn Rate</t>
  </si>
  <si>
    <t>Churn Rate</t>
  </si>
  <si>
    <t>Average Tenure by Churn Status</t>
  </si>
  <si>
    <t>Average Tenure (Months)</t>
  </si>
  <si>
    <t>Which regions have the most customers leaving?</t>
  </si>
  <si>
    <t>Churn by Region</t>
  </si>
  <si>
    <t>Grand Total</t>
  </si>
  <si>
    <t>Count of Customer_ID</t>
  </si>
  <si>
    <t>Column Labels</t>
  </si>
  <si>
    <t>Average of Tenure_Months</t>
  </si>
  <si>
    <t>Payment Method</t>
  </si>
  <si>
    <t>Average of Satisfaction_Score</t>
  </si>
  <si>
    <t>CUSTOMER CHURN &amp; SUBSCRIPTION DASHBOARD</t>
  </si>
  <si>
    <t>TOTAL CUSTOMERS</t>
  </si>
  <si>
    <t>CUSTOMERS CHURNED</t>
  </si>
  <si>
    <t>CHURN RATE</t>
  </si>
  <si>
    <t>AVG MONTHLY CHARGES</t>
  </si>
  <si>
    <t>AVG SATISFACTION</t>
  </si>
  <si>
    <t>KEY CUSTOMER CHURN INSIGHTS</t>
  </si>
  <si>
    <t>• Monthly-contract customers show the highest churn compared with longer-term contracts.</t>
  </si>
  <si>
    <t>• Customers who churn have a slightly higher average tenure than customers who stay.</t>
  </si>
  <si>
    <t>• Premium customers have the highest average satisfaction, while Standard customers have the lowest.</t>
  </si>
  <si>
    <t>• Bank Transfer customers have the highest number of churned customers among the payment methods analyzed.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</si>
</sst>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&quot;$&quot;#,##0.00"/>
    <numFmt numFmtId="171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6" fontId="1" fillId="2" borderId="0" xfId="0" applyNumberFormat="1" applyFont="1" applyFill="1" applyAlignment="1">
      <alignment horizontal="center"/>
    </xf>
    <xf numFmtId="166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171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71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Customers by Subscription Plan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Analysis'!$B$3:$B$6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Pivot Analysis'!$C$3:$C$6</c:f>
              <c:numCache>
                <c:formatCode>General</c:formatCode>
                <c:ptCount val="3"/>
                <c:pt idx="0">
                  <c:v>318</c:v>
                </c:pt>
                <c:pt idx="1">
                  <c:v>341</c:v>
                </c:pt>
                <c:pt idx="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F-450E-98BF-3053AF52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384448"/>
        <c:axId val="549385888"/>
      </c:barChart>
      <c:catAx>
        <c:axId val="54938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85888"/>
        <c:crosses val="autoZero"/>
        <c:auto val="1"/>
        <c:lblAlgn val="ctr"/>
        <c:lblOffset val="100"/>
        <c:noMultiLvlLbl val="0"/>
      </c:catAx>
      <c:valAx>
        <c:axId val="5493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8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Churn by Subscription Plan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Analysis'!$C$10:$C$11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Analysis'!$B$12:$B$15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Pivot Analysis'!$C$12:$C$15</c:f>
              <c:numCache>
                <c:formatCode>General</c:formatCode>
                <c:ptCount val="3"/>
                <c:pt idx="0">
                  <c:v>251</c:v>
                </c:pt>
                <c:pt idx="1">
                  <c:v>254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4-49A9-8D6D-0EAFD1375FC3}"/>
            </c:ext>
          </c:extLst>
        </c:ser>
        <c:ser>
          <c:idx val="1"/>
          <c:order val="1"/>
          <c:tx>
            <c:strRef>
              <c:f>'Churn Pivot Analysis'!$D$10:$D$11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Pivot Analysis'!$B$12:$B$15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Pivot Analysis'!$D$12:$D$15</c:f>
              <c:numCache>
                <c:formatCode>General</c:formatCode>
                <c:ptCount val="3"/>
                <c:pt idx="0">
                  <c:v>67</c:v>
                </c:pt>
                <c:pt idx="1">
                  <c:v>87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4-49A9-8D6D-0EAFD1375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06320"/>
        <c:axId val="602306800"/>
      </c:barChart>
      <c:catAx>
        <c:axId val="6023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06800"/>
        <c:crosses val="autoZero"/>
        <c:auto val="1"/>
        <c:lblAlgn val="ctr"/>
        <c:lblOffset val="100"/>
        <c:noMultiLvlLbl val="0"/>
      </c:catAx>
      <c:valAx>
        <c:axId val="6023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Churn by Contract Type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Analysis'!$C$19:$C$20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Analysis'!$B$21:$B$24</c:f>
              <c:strCache>
                <c:ptCount val="3"/>
                <c:pt idx="0">
                  <c:v>Monthly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Pivot Analysis'!$C$21:$C$24</c:f>
              <c:numCache>
                <c:formatCode>General</c:formatCode>
                <c:ptCount val="3"/>
                <c:pt idx="0">
                  <c:v>225</c:v>
                </c:pt>
                <c:pt idx="1">
                  <c:v>253</c:v>
                </c:pt>
                <c:pt idx="2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F-4821-98A5-C14423D9DFAF}"/>
            </c:ext>
          </c:extLst>
        </c:ser>
        <c:ser>
          <c:idx val="1"/>
          <c:order val="1"/>
          <c:tx>
            <c:strRef>
              <c:f>'Churn Pivot Analysis'!$D$19:$D$20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Pivot Analysis'!$B$21:$B$24</c:f>
              <c:strCache>
                <c:ptCount val="3"/>
                <c:pt idx="0">
                  <c:v>Monthly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Pivot Analysis'!$D$21:$D$24</c:f>
              <c:numCache>
                <c:formatCode>General</c:formatCode>
                <c:ptCount val="3"/>
                <c:pt idx="0">
                  <c:v>118</c:v>
                </c:pt>
                <c:pt idx="1">
                  <c:v>67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F-4821-98A5-C14423D9D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763392"/>
        <c:axId val="712760512"/>
      </c:barChart>
      <c:catAx>
        <c:axId val="71276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60512"/>
        <c:crosses val="autoZero"/>
        <c:auto val="1"/>
        <c:lblAlgn val="ctr"/>
        <c:lblOffset val="100"/>
        <c:noMultiLvlLbl val="0"/>
      </c:catAx>
      <c:valAx>
        <c:axId val="7127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Churn by Region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Analysis'!$C$28:$C$29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Analysis'!$B$30:$B$34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Pivot Analysis'!$C$30:$C$34</c:f>
              <c:numCache>
                <c:formatCode>General</c:formatCode>
                <c:ptCount val="4"/>
                <c:pt idx="0">
                  <c:v>180</c:v>
                </c:pt>
                <c:pt idx="1">
                  <c:v>190</c:v>
                </c:pt>
                <c:pt idx="2">
                  <c:v>193</c:v>
                </c:pt>
                <c:pt idx="3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7-41AE-9D19-13CE998904FC}"/>
            </c:ext>
          </c:extLst>
        </c:ser>
        <c:ser>
          <c:idx val="1"/>
          <c:order val="1"/>
          <c:tx>
            <c:strRef>
              <c:f>'Churn Pivot Analysis'!$D$28:$D$29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Pivot Analysis'!$B$30:$B$34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Pivot Analysis'!$D$30:$D$34</c:f>
              <c:numCache>
                <c:formatCode>General</c:formatCode>
                <c:ptCount val="4"/>
                <c:pt idx="0">
                  <c:v>50</c:v>
                </c:pt>
                <c:pt idx="1">
                  <c:v>68</c:v>
                </c:pt>
                <c:pt idx="2">
                  <c:v>60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7-41AE-9D19-13CE99890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091952"/>
        <c:axId val="721089072"/>
      </c:barChart>
      <c:catAx>
        <c:axId val="72109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89072"/>
        <c:crosses val="autoZero"/>
        <c:auto val="1"/>
        <c:lblAlgn val="ctr"/>
        <c:lblOffset val="100"/>
        <c:noMultiLvlLbl val="0"/>
      </c:catAx>
      <c:valAx>
        <c:axId val="7210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09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Average Tenure by Churn Status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Analysis'!$B$38:$B$40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Pivot Analysis'!$C$38:$C$40</c:f>
              <c:numCache>
                <c:formatCode>0.0</c:formatCode>
                <c:ptCount val="2"/>
                <c:pt idx="0">
                  <c:v>35.39473684210526</c:v>
                </c:pt>
                <c:pt idx="1">
                  <c:v>36.891666666666666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0-48DB-BE87-81A82BFA5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082400"/>
        <c:axId val="843085760"/>
      </c:barChart>
      <c:catAx>
        <c:axId val="8430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5760"/>
        <c:crosses val="autoZero"/>
        <c:auto val="1"/>
        <c:lblAlgn val="ctr"/>
        <c:lblOffset val="100"/>
        <c:noMultiLvlLbl val="0"/>
      </c:catAx>
      <c:valAx>
        <c:axId val="8430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08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Churn by Payment Method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Analysis'!$C$46:$C$47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Analysis'!$B$48:$B$52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Pivot Analysis'!$C$48:$C$52</c:f>
              <c:numCache>
                <c:formatCode>General</c:formatCode>
                <c:ptCount val="4"/>
                <c:pt idx="0">
                  <c:v>166</c:v>
                </c:pt>
                <c:pt idx="1">
                  <c:v>179</c:v>
                </c:pt>
                <c:pt idx="2">
                  <c:v>199</c:v>
                </c:pt>
                <c:pt idx="3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D-42E4-86EF-AC9ECC156D2D}"/>
            </c:ext>
          </c:extLst>
        </c:ser>
        <c:ser>
          <c:idx val="1"/>
          <c:order val="1"/>
          <c:tx>
            <c:strRef>
              <c:f>'Churn Pivot Analysis'!$D$46:$D$47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Pivot Analysis'!$B$48:$B$52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Pivot Analysis'!$D$48:$D$52</c:f>
              <c:numCache>
                <c:formatCode>General</c:formatCode>
                <c:ptCount val="4"/>
                <c:pt idx="0">
                  <c:v>67</c:v>
                </c:pt>
                <c:pt idx="1">
                  <c:v>43</c:v>
                </c:pt>
                <c:pt idx="2">
                  <c:v>65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D-42E4-86EF-AC9ECC156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767200"/>
        <c:axId val="835767680"/>
      </c:barChart>
      <c:catAx>
        <c:axId val="8357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767680"/>
        <c:crosses val="autoZero"/>
        <c:auto val="1"/>
        <c:lblAlgn val="ctr"/>
        <c:lblOffset val="100"/>
        <c:noMultiLvlLbl val="0"/>
      </c:catAx>
      <c:valAx>
        <c:axId val="8357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76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&amp; Subscription Analysis.xlsx]Churn Pivot 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Average Satisfaction by Subscription Plan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Pivot Analysis'!$C$55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Pivot Analysis'!$B$56:$B$59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Pivot Analysis'!$C$56:$C$59</c:f>
              <c:numCache>
                <c:formatCode>0.00</c:formatCode>
                <c:ptCount val="3"/>
                <c:pt idx="0">
                  <c:v>3.0220125786163523</c:v>
                </c:pt>
                <c:pt idx="1">
                  <c:v>3.0234604105571847</c:v>
                </c:pt>
                <c:pt idx="2">
                  <c:v>2.9765395894428153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5-46B9-AD15-FA5FCBF8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7754864"/>
        <c:axId val="547760144"/>
      </c:barChart>
      <c:catAx>
        <c:axId val="5477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60144"/>
        <c:crosses val="autoZero"/>
        <c:auto val="1"/>
        <c:lblAlgn val="ctr"/>
        <c:lblOffset val="100"/>
        <c:noMultiLvlLbl val="0"/>
      </c:catAx>
      <c:valAx>
        <c:axId val="5477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5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28575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14C7D-764B-437D-A102-6BE8C0438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9525</xdr:colOff>
      <xdr:row>19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067F0B-D9DE-4ECB-AF38-B85C7C76D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16</xdr:col>
      <xdr:colOff>19050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406160-6C69-4524-91C5-4BBA356A7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6</xdr:col>
      <xdr:colOff>9525</xdr:colOff>
      <xdr:row>31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28DD89-C885-4D7C-A963-B587DE700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11</xdr:col>
      <xdr:colOff>19050</xdr:colOff>
      <xdr:row>31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907E95-DA45-469D-969C-D335B37FC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16</xdr:col>
      <xdr:colOff>9525</xdr:colOff>
      <xdr:row>32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94AC9F-AA1A-4C32-990D-FAD71C782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0</xdr:colOff>
      <xdr:row>44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B4EBD5-ED32-4A0F-B02F-29F4CF78F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dula, Amrutha" refreshedDate="46249.710247685187" createdVersion="8" refreshedVersion="8" minRefreshableVersion="3" recordCount="1000" xr:uid="{B848A298-2763-4F56-BCE6-BC0ABA9AEB79}">
  <cacheSource type="worksheet">
    <worksheetSource name="Raw_Data"/>
  </cacheSource>
  <cacheFields count="13">
    <cacheField name="Customer_ID" numFmtId="0">
      <sharedItems/>
    </cacheField>
    <cacheField name="Gender" numFmtId="0">
      <sharedItems/>
    </cacheField>
    <cacheField name="Age" numFmtId="1">
      <sharedItems containsSemiMixedTypes="0" containsString="0" containsNumber="1" containsInteger="1" minValue="18" maxValue="70"/>
    </cacheField>
    <cacheField name="Region" numFmtId="0">
      <sharedItems count="4">
        <s v="Midwest"/>
        <s v="Northeast"/>
        <s v="South"/>
        <s v="West"/>
      </sharedItems>
    </cacheField>
    <cacheField name="Contract_Type" numFmtId="0">
      <sharedItems count="3">
        <s v="Monthly"/>
        <s v="Two Year"/>
        <s v="One Year"/>
      </sharedItems>
    </cacheField>
    <cacheField name="Subscription_Plan" numFmtId="0">
      <sharedItems count="3">
        <s v="Basic"/>
        <s v="Standard"/>
        <s v="Premium"/>
      </sharedItems>
    </cacheField>
    <cacheField name="Tenure_Months" numFmtId="1">
      <sharedItems containsSemiMixedTypes="0" containsString="0" containsNumber="1" containsInteger="1" minValue="1" maxValue="72"/>
    </cacheField>
    <cacheField name="Monthly_Charges" numFmtId="166">
      <sharedItems containsSemiMixedTypes="0" containsString="0" containsNumber="1" minValue="30.03" maxValue="99.98"/>
    </cacheField>
    <cacheField name="Payment_Method" numFmtId="0">
      <sharedItems count="4">
        <s v="Credit Card"/>
        <s v="Mailed Check"/>
        <s v="Electronic Check"/>
        <s v="Bank Transfer"/>
      </sharedItems>
    </cacheField>
    <cacheField name="Support_Tickets" numFmtId="1">
      <sharedItems containsSemiMixedTypes="0" containsString="0" containsNumber="1" containsInteger="1" minValue="0" maxValue="8"/>
    </cacheField>
    <cacheField name="Satisfaction_Score" numFmtId="1">
      <sharedItems containsSemiMixedTypes="0" containsString="0" containsNumber="1" containsInteger="1" minValue="1" maxValue="5"/>
    </cacheField>
    <cacheField name="Churn" numFmtId="0">
      <sharedItems count="2">
        <s v="Yes"/>
        <s v="No"/>
      </sharedItems>
    </cacheField>
    <cacheField name="Join_Date" numFmtId="164">
      <sharedItems containsSemiMixedTypes="0" containsNonDate="0" containsDate="1" containsString="0" minDate="2021-01-05T00:00:00" maxDate="2025-12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0001"/>
    <s v="Female"/>
    <n v="19"/>
    <x v="0"/>
    <x v="0"/>
    <x v="0"/>
    <n v="18"/>
    <n v="41.05"/>
    <x v="0"/>
    <n v="6"/>
    <n v="1"/>
    <x v="0"/>
    <d v="2022-03-24T00:00:00"/>
  </r>
  <r>
    <s v="CUST0002"/>
    <s v="Female"/>
    <n v="50"/>
    <x v="1"/>
    <x v="1"/>
    <x v="0"/>
    <n v="70"/>
    <n v="36.29"/>
    <x v="1"/>
    <n v="4"/>
    <n v="1"/>
    <x v="1"/>
    <d v="2021-11-23T00:00:00"/>
  </r>
  <r>
    <s v="CUST0003"/>
    <s v="Male"/>
    <n v="39"/>
    <x v="0"/>
    <x v="0"/>
    <x v="0"/>
    <n v="44"/>
    <n v="31.53"/>
    <x v="1"/>
    <n v="1"/>
    <n v="3"/>
    <x v="1"/>
    <d v="2024-05-21T00:00:00"/>
  </r>
  <r>
    <s v="CUST0004"/>
    <s v="Male"/>
    <n v="69"/>
    <x v="1"/>
    <x v="1"/>
    <x v="1"/>
    <n v="69"/>
    <n v="56.87"/>
    <x v="1"/>
    <n v="1"/>
    <n v="5"/>
    <x v="1"/>
    <d v="2024-07-11T00:00:00"/>
  </r>
  <r>
    <s v="CUST0005"/>
    <s v="Male"/>
    <n v="54"/>
    <x v="2"/>
    <x v="1"/>
    <x v="0"/>
    <n v="6"/>
    <n v="39.92"/>
    <x v="2"/>
    <n v="1"/>
    <n v="2"/>
    <x v="1"/>
    <d v="2023-02-18T00:00:00"/>
  </r>
  <r>
    <s v="CUST0006"/>
    <s v="Male"/>
    <n v="47"/>
    <x v="0"/>
    <x v="0"/>
    <x v="1"/>
    <n v="46"/>
    <n v="58.14"/>
    <x v="2"/>
    <n v="1"/>
    <n v="5"/>
    <x v="1"/>
    <d v="2023-12-30T00:00:00"/>
  </r>
  <r>
    <s v="CUST0007"/>
    <s v="Female"/>
    <n v="28"/>
    <x v="3"/>
    <x v="2"/>
    <x v="1"/>
    <n v="72"/>
    <n v="58.29"/>
    <x v="2"/>
    <n v="0"/>
    <n v="2"/>
    <x v="1"/>
    <d v="2025-07-07T00:00:00"/>
  </r>
  <r>
    <s v="CUST0008"/>
    <s v="Male"/>
    <n v="43"/>
    <x v="0"/>
    <x v="0"/>
    <x v="0"/>
    <n v="41"/>
    <n v="33.19"/>
    <x v="1"/>
    <n v="6"/>
    <n v="4"/>
    <x v="0"/>
    <d v="2021-10-13T00:00:00"/>
  </r>
  <r>
    <s v="CUST0009"/>
    <s v="Female"/>
    <n v="65"/>
    <x v="0"/>
    <x v="1"/>
    <x v="2"/>
    <n v="55"/>
    <n v="98.47"/>
    <x v="1"/>
    <n v="5"/>
    <n v="2"/>
    <x v="1"/>
    <d v="2021-10-11T00:00:00"/>
  </r>
  <r>
    <s v="CUST0010"/>
    <s v="Male"/>
    <n v="23"/>
    <x v="1"/>
    <x v="0"/>
    <x v="0"/>
    <n v="21"/>
    <n v="41.88"/>
    <x v="1"/>
    <n v="1"/>
    <n v="4"/>
    <x v="1"/>
    <d v="2023-08-17T00:00:00"/>
  </r>
  <r>
    <s v="CUST0011"/>
    <s v="Male"/>
    <n v="53"/>
    <x v="1"/>
    <x v="1"/>
    <x v="2"/>
    <n v="15"/>
    <n v="95.23"/>
    <x v="2"/>
    <n v="5"/>
    <n v="1"/>
    <x v="1"/>
    <d v="2021-11-20T00:00:00"/>
  </r>
  <r>
    <s v="CUST0012"/>
    <s v="Male"/>
    <n v="18"/>
    <x v="0"/>
    <x v="1"/>
    <x v="0"/>
    <n v="65"/>
    <n v="43.69"/>
    <x v="2"/>
    <n v="8"/>
    <n v="5"/>
    <x v="1"/>
    <d v="2023-02-05T00:00:00"/>
  </r>
  <r>
    <s v="CUST0013"/>
    <s v="Female"/>
    <n v="52"/>
    <x v="1"/>
    <x v="1"/>
    <x v="1"/>
    <n v="63"/>
    <n v="55.29"/>
    <x v="2"/>
    <n v="4"/>
    <n v="2"/>
    <x v="0"/>
    <d v="2025-12-04T00:00:00"/>
  </r>
  <r>
    <s v="CUST0014"/>
    <s v="Female"/>
    <n v="23"/>
    <x v="3"/>
    <x v="0"/>
    <x v="2"/>
    <n v="17"/>
    <n v="86.93"/>
    <x v="1"/>
    <n v="8"/>
    <n v="2"/>
    <x v="0"/>
    <d v="2025-11-22T00:00:00"/>
  </r>
  <r>
    <s v="CUST0015"/>
    <s v="Male"/>
    <n v="31"/>
    <x v="2"/>
    <x v="1"/>
    <x v="1"/>
    <n v="52"/>
    <n v="69.930000000000007"/>
    <x v="2"/>
    <n v="7"/>
    <n v="5"/>
    <x v="1"/>
    <d v="2022-05-23T00:00:00"/>
  </r>
  <r>
    <s v="CUST0016"/>
    <s v="Female"/>
    <n v="22"/>
    <x v="0"/>
    <x v="0"/>
    <x v="2"/>
    <n v="71"/>
    <n v="88.45"/>
    <x v="3"/>
    <n v="0"/>
    <n v="1"/>
    <x v="1"/>
    <d v="2021-05-01T00:00:00"/>
  </r>
  <r>
    <s v="CUST0017"/>
    <s v="Female"/>
    <n v="22"/>
    <x v="1"/>
    <x v="2"/>
    <x v="0"/>
    <n v="66"/>
    <n v="33.57"/>
    <x v="1"/>
    <n v="3"/>
    <n v="5"/>
    <x v="1"/>
    <d v="2024-03-15T00:00:00"/>
  </r>
  <r>
    <s v="CUST0018"/>
    <s v="Male"/>
    <n v="33"/>
    <x v="3"/>
    <x v="2"/>
    <x v="0"/>
    <n v="13"/>
    <n v="31.45"/>
    <x v="1"/>
    <n v="5"/>
    <n v="4"/>
    <x v="1"/>
    <d v="2025-11-05T00:00:00"/>
  </r>
  <r>
    <s v="CUST0019"/>
    <s v="Female"/>
    <n v="61"/>
    <x v="1"/>
    <x v="0"/>
    <x v="1"/>
    <n v="44"/>
    <n v="67.010000000000005"/>
    <x v="0"/>
    <n v="3"/>
    <n v="2"/>
    <x v="0"/>
    <d v="2023-07-08T00:00:00"/>
  </r>
  <r>
    <s v="CUST0020"/>
    <s v="Female"/>
    <n v="45"/>
    <x v="2"/>
    <x v="2"/>
    <x v="1"/>
    <n v="32"/>
    <n v="68.12"/>
    <x v="0"/>
    <n v="7"/>
    <n v="5"/>
    <x v="0"/>
    <d v="2024-08-28T00:00:00"/>
  </r>
  <r>
    <s v="CUST0021"/>
    <s v="Female"/>
    <n v="23"/>
    <x v="2"/>
    <x v="0"/>
    <x v="1"/>
    <n v="63"/>
    <n v="62.22"/>
    <x v="1"/>
    <n v="0"/>
    <n v="2"/>
    <x v="1"/>
    <d v="2023-03-11T00:00:00"/>
  </r>
  <r>
    <s v="CUST0022"/>
    <s v="Male"/>
    <n v="68"/>
    <x v="3"/>
    <x v="2"/>
    <x v="1"/>
    <n v="72"/>
    <n v="64.930000000000007"/>
    <x v="1"/>
    <n v="2"/>
    <n v="2"/>
    <x v="1"/>
    <d v="2021-04-30T00:00:00"/>
  </r>
  <r>
    <s v="CUST0023"/>
    <s v="Female"/>
    <n v="65"/>
    <x v="0"/>
    <x v="0"/>
    <x v="0"/>
    <n v="62"/>
    <n v="37.54"/>
    <x v="3"/>
    <n v="0"/>
    <n v="5"/>
    <x v="0"/>
    <d v="2022-01-16T00:00:00"/>
  </r>
  <r>
    <s v="CUST0024"/>
    <s v="Female"/>
    <n v="56"/>
    <x v="1"/>
    <x v="1"/>
    <x v="0"/>
    <n v="52"/>
    <n v="31.8"/>
    <x v="3"/>
    <n v="0"/>
    <n v="5"/>
    <x v="1"/>
    <d v="2024-09-08T00:00:00"/>
  </r>
  <r>
    <s v="CUST0025"/>
    <s v="Male"/>
    <n v="34"/>
    <x v="2"/>
    <x v="1"/>
    <x v="2"/>
    <n v="41"/>
    <n v="88.58"/>
    <x v="1"/>
    <n v="2"/>
    <n v="3"/>
    <x v="1"/>
    <d v="2025-03-20T00:00:00"/>
  </r>
  <r>
    <s v="CUST0026"/>
    <s v="Female"/>
    <n v="18"/>
    <x v="3"/>
    <x v="1"/>
    <x v="2"/>
    <n v="13"/>
    <n v="86.1"/>
    <x v="3"/>
    <n v="8"/>
    <n v="3"/>
    <x v="0"/>
    <d v="2022-12-16T00:00:00"/>
  </r>
  <r>
    <s v="CUST0027"/>
    <s v="Female"/>
    <n v="33"/>
    <x v="0"/>
    <x v="2"/>
    <x v="0"/>
    <n v="57"/>
    <n v="42.51"/>
    <x v="2"/>
    <n v="8"/>
    <n v="1"/>
    <x v="1"/>
    <d v="2024-02-10T00:00:00"/>
  </r>
  <r>
    <s v="CUST0028"/>
    <s v="Male"/>
    <n v="60"/>
    <x v="1"/>
    <x v="0"/>
    <x v="1"/>
    <n v="15"/>
    <n v="68.349999999999994"/>
    <x v="3"/>
    <n v="4"/>
    <n v="3"/>
    <x v="1"/>
    <d v="2025-01-09T00:00:00"/>
  </r>
  <r>
    <s v="CUST0029"/>
    <s v="Male"/>
    <n v="31"/>
    <x v="0"/>
    <x v="1"/>
    <x v="1"/>
    <n v="33"/>
    <n v="68.58"/>
    <x v="0"/>
    <n v="1"/>
    <n v="4"/>
    <x v="1"/>
    <d v="2021-04-01T00:00:00"/>
  </r>
  <r>
    <s v="CUST0030"/>
    <s v="Female"/>
    <n v="39"/>
    <x v="2"/>
    <x v="1"/>
    <x v="1"/>
    <n v="21"/>
    <n v="66.12"/>
    <x v="1"/>
    <n v="8"/>
    <n v="1"/>
    <x v="0"/>
    <d v="2024-11-16T00:00:00"/>
  </r>
  <r>
    <s v="CUST0031"/>
    <s v="Female"/>
    <n v="52"/>
    <x v="1"/>
    <x v="2"/>
    <x v="2"/>
    <n v="71"/>
    <n v="87.22"/>
    <x v="3"/>
    <n v="0"/>
    <n v="3"/>
    <x v="1"/>
    <d v="2025-06-19T00:00:00"/>
  </r>
  <r>
    <s v="CUST0032"/>
    <s v="Female"/>
    <n v="40"/>
    <x v="2"/>
    <x v="1"/>
    <x v="0"/>
    <n v="14"/>
    <n v="35.31"/>
    <x v="1"/>
    <n v="2"/>
    <n v="2"/>
    <x v="1"/>
    <d v="2025-06-27T00:00:00"/>
  </r>
  <r>
    <s v="CUST0033"/>
    <s v="Female"/>
    <n v="44"/>
    <x v="1"/>
    <x v="0"/>
    <x v="2"/>
    <n v="43"/>
    <n v="96.74"/>
    <x v="1"/>
    <n v="3"/>
    <n v="3"/>
    <x v="0"/>
    <d v="2024-12-07T00:00:00"/>
  </r>
  <r>
    <s v="CUST0034"/>
    <s v="Female"/>
    <n v="42"/>
    <x v="1"/>
    <x v="2"/>
    <x v="0"/>
    <n v="26"/>
    <n v="42.25"/>
    <x v="1"/>
    <n v="5"/>
    <n v="3"/>
    <x v="1"/>
    <d v="2025-11-20T00:00:00"/>
  </r>
  <r>
    <s v="CUST0035"/>
    <s v="Female"/>
    <n v="32"/>
    <x v="1"/>
    <x v="1"/>
    <x v="0"/>
    <n v="52"/>
    <n v="34.92"/>
    <x v="0"/>
    <n v="4"/>
    <n v="3"/>
    <x v="1"/>
    <d v="2023-03-30T00:00:00"/>
  </r>
  <r>
    <s v="CUST0036"/>
    <s v="Male"/>
    <n v="19"/>
    <x v="1"/>
    <x v="2"/>
    <x v="0"/>
    <n v="34"/>
    <n v="30.57"/>
    <x v="1"/>
    <n v="5"/>
    <n v="3"/>
    <x v="1"/>
    <d v="2023-11-14T00:00:00"/>
  </r>
  <r>
    <s v="CUST0037"/>
    <s v="Female"/>
    <n v="42"/>
    <x v="2"/>
    <x v="2"/>
    <x v="0"/>
    <n v="56"/>
    <n v="30.03"/>
    <x v="3"/>
    <n v="5"/>
    <n v="4"/>
    <x v="0"/>
    <d v="2024-09-22T00:00:00"/>
  </r>
  <r>
    <s v="CUST0038"/>
    <s v="Male"/>
    <n v="57"/>
    <x v="0"/>
    <x v="1"/>
    <x v="0"/>
    <n v="39"/>
    <n v="37.61"/>
    <x v="1"/>
    <n v="5"/>
    <n v="4"/>
    <x v="1"/>
    <d v="2024-02-10T00:00:00"/>
  </r>
  <r>
    <s v="CUST0039"/>
    <s v="Female"/>
    <n v="30"/>
    <x v="3"/>
    <x v="1"/>
    <x v="1"/>
    <n v="23"/>
    <n v="64.23"/>
    <x v="2"/>
    <n v="6"/>
    <n v="5"/>
    <x v="1"/>
    <d v="2022-09-15T00:00:00"/>
  </r>
  <r>
    <s v="CUST0040"/>
    <s v="Male"/>
    <n v="31"/>
    <x v="3"/>
    <x v="1"/>
    <x v="2"/>
    <n v="42"/>
    <n v="91.97"/>
    <x v="1"/>
    <n v="3"/>
    <n v="5"/>
    <x v="1"/>
    <d v="2025-06-19T00:00:00"/>
  </r>
  <r>
    <s v="CUST0041"/>
    <s v="Female"/>
    <n v="60"/>
    <x v="1"/>
    <x v="2"/>
    <x v="2"/>
    <n v="43"/>
    <n v="86.4"/>
    <x v="3"/>
    <n v="4"/>
    <n v="2"/>
    <x v="1"/>
    <d v="2021-10-29T00:00:00"/>
  </r>
  <r>
    <s v="CUST0042"/>
    <s v="Female"/>
    <n v="20"/>
    <x v="2"/>
    <x v="2"/>
    <x v="2"/>
    <n v="10"/>
    <n v="91.83"/>
    <x v="3"/>
    <n v="6"/>
    <n v="4"/>
    <x v="1"/>
    <d v="2021-10-30T00:00:00"/>
  </r>
  <r>
    <s v="CUST0043"/>
    <s v="Female"/>
    <n v="66"/>
    <x v="1"/>
    <x v="2"/>
    <x v="0"/>
    <n v="23"/>
    <n v="42.06"/>
    <x v="1"/>
    <n v="0"/>
    <n v="5"/>
    <x v="1"/>
    <d v="2025-10-04T00:00:00"/>
  </r>
  <r>
    <s v="CUST0044"/>
    <s v="Female"/>
    <n v="47"/>
    <x v="2"/>
    <x v="2"/>
    <x v="2"/>
    <n v="68"/>
    <n v="99.82"/>
    <x v="2"/>
    <n v="7"/>
    <n v="5"/>
    <x v="1"/>
    <d v="2023-10-31T00:00:00"/>
  </r>
  <r>
    <s v="CUST0045"/>
    <s v="Male"/>
    <n v="53"/>
    <x v="3"/>
    <x v="0"/>
    <x v="2"/>
    <n v="61"/>
    <n v="91.75"/>
    <x v="3"/>
    <n v="4"/>
    <n v="5"/>
    <x v="1"/>
    <d v="2022-05-05T00:00:00"/>
  </r>
  <r>
    <s v="CUST0046"/>
    <s v="Male"/>
    <n v="46"/>
    <x v="1"/>
    <x v="1"/>
    <x v="1"/>
    <n v="31"/>
    <n v="59.08"/>
    <x v="2"/>
    <n v="8"/>
    <n v="1"/>
    <x v="0"/>
    <d v="2022-04-19T00:00:00"/>
  </r>
  <r>
    <s v="CUST0047"/>
    <s v="Male"/>
    <n v="62"/>
    <x v="2"/>
    <x v="1"/>
    <x v="0"/>
    <n v="9"/>
    <n v="36.22"/>
    <x v="2"/>
    <n v="8"/>
    <n v="4"/>
    <x v="1"/>
    <d v="2022-02-28T00:00:00"/>
  </r>
  <r>
    <s v="CUST0048"/>
    <s v="Male"/>
    <n v="42"/>
    <x v="1"/>
    <x v="1"/>
    <x v="1"/>
    <n v="62"/>
    <n v="55.09"/>
    <x v="2"/>
    <n v="4"/>
    <n v="4"/>
    <x v="1"/>
    <d v="2025-09-08T00:00:00"/>
  </r>
  <r>
    <s v="CUST0049"/>
    <s v="Male"/>
    <n v="52"/>
    <x v="2"/>
    <x v="2"/>
    <x v="0"/>
    <n v="35"/>
    <n v="36.54"/>
    <x v="0"/>
    <n v="6"/>
    <n v="3"/>
    <x v="1"/>
    <d v="2025-06-23T00:00:00"/>
  </r>
  <r>
    <s v="CUST0050"/>
    <s v="Male"/>
    <n v="64"/>
    <x v="2"/>
    <x v="2"/>
    <x v="0"/>
    <n v="69"/>
    <n v="30.4"/>
    <x v="1"/>
    <n v="0"/>
    <n v="1"/>
    <x v="1"/>
    <d v="2021-10-05T00:00:00"/>
  </r>
  <r>
    <s v="CUST0051"/>
    <s v="Male"/>
    <n v="29"/>
    <x v="1"/>
    <x v="2"/>
    <x v="1"/>
    <n v="42"/>
    <n v="58.17"/>
    <x v="2"/>
    <n v="5"/>
    <n v="4"/>
    <x v="1"/>
    <d v="2025-08-31T00:00:00"/>
  </r>
  <r>
    <s v="CUST0052"/>
    <s v="Male"/>
    <n v="34"/>
    <x v="1"/>
    <x v="2"/>
    <x v="0"/>
    <n v="70"/>
    <n v="30.78"/>
    <x v="2"/>
    <n v="3"/>
    <n v="1"/>
    <x v="1"/>
    <d v="2024-08-27T00:00:00"/>
  </r>
  <r>
    <s v="CUST0053"/>
    <s v="Female"/>
    <n v="66"/>
    <x v="1"/>
    <x v="0"/>
    <x v="0"/>
    <n v="3"/>
    <n v="39.32"/>
    <x v="3"/>
    <n v="2"/>
    <n v="4"/>
    <x v="1"/>
    <d v="2024-03-01T00:00:00"/>
  </r>
  <r>
    <s v="CUST0054"/>
    <s v="Female"/>
    <n v="47"/>
    <x v="0"/>
    <x v="2"/>
    <x v="0"/>
    <n v="15"/>
    <n v="41.67"/>
    <x v="3"/>
    <n v="4"/>
    <n v="1"/>
    <x v="1"/>
    <d v="2022-10-01T00:00:00"/>
  </r>
  <r>
    <s v="CUST0055"/>
    <s v="Male"/>
    <n v="43"/>
    <x v="2"/>
    <x v="0"/>
    <x v="2"/>
    <n v="32"/>
    <n v="86.53"/>
    <x v="2"/>
    <n v="1"/>
    <n v="5"/>
    <x v="1"/>
    <d v="2022-12-13T00:00:00"/>
  </r>
  <r>
    <s v="CUST0056"/>
    <s v="Male"/>
    <n v="60"/>
    <x v="0"/>
    <x v="0"/>
    <x v="2"/>
    <n v="44"/>
    <n v="85.19"/>
    <x v="1"/>
    <n v="7"/>
    <n v="1"/>
    <x v="1"/>
    <d v="2023-01-12T00:00:00"/>
  </r>
  <r>
    <s v="CUST0057"/>
    <s v="Male"/>
    <n v="63"/>
    <x v="2"/>
    <x v="2"/>
    <x v="0"/>
    <n v="67"/>
    <n v="44.48"/>
    <x v="2"/>
    <n v="8"/>
    <n v="4"/>
    <x v="1"/>
    <d v="2025-08-19T00:00:00"/>
  </r>
  <r>
    <s v="CUST0058"/>
    <s v="Male"/>
    <n v="38"/>
    <x v="2"/>
    <x v="0"/>
    <x v="1"/>
    <n v="58"/>
    <n v="58.66"/>
    <x v="1"/>
    <n v="6"/>
    <n v="3"/>
    <x v="0"/>
    <d v="2025-10-09T00:00:00"/>
  </r>
  <r>
    <s v="CUST0059"/>
    <s v="Male"/>
    <n v="29"/>
    <x v="3"/>
    <x v="0"/>
    <x v="1"/>
    <n v="34"/>
    <n v="60.11"/>
    <x v="2"/>
    <n v="8"/>
    <n v="1"/>
    <x v="1"/>
    <d v="2022-01-27T00:00:00"/>
  </r>
  <r>
    <s v="CUST0060"/>
    <s v="Female"/>
    <n v="33"/>
    <x v="3"/>
    <x v="2"/>
    <x v="2"/>
    <n v="31"/>
    <n v="95.36"/>
    <x v="1"/>
    <n v="7"/>
    <n v="1"/>
    <x v="0"/>
    <d v="2022-03-30T00:00:00"/>
  </r>
  <r>
    <s v="CUST0061"/>
    <s v="Male"/>
    <n v="62"/>
    <x v="2"/>
    <x v="2"/>
    <x v="2"/>
    <n v="48"/>
    <n v="92.1"/>
    <x v="2"/>
    <n v="6"/>
    <n v="5"/>
    <x v="1"/>
    <d v="2024-12-10T00:00:00"/>
  </r>
  <r>
    <s v="CUST0062"/>
    <s v="Male"/>
    <n v="35"/>
    <x v="0"/>
    <x v="2"/>
    <x v="0"/>
    <n v="16"/>
    <n v="40.82"/>
    <x v="2"/>
    <n v="1"/>
    <n v="5"/>
    <x v="1"/>
    <d v="2024-11-14T00:00:00"/>
  </r>
  <r>
    <s v="CUST0063"/>
    <s v="Female"/>
    <n v="30"/>
    <x v="2"/>
    <x v="1"/>
    <x v="1"/>
    <n v="36"/>
    <n v="65.87"/>
    <x v="2"/>
    <n v="1"/>
    <n v="2"/>
    <x v="1"/>
    <d v="2023-01-10T00:00:00"/>
  </r>
  <r>
    <s v="CUST0064"/>
    <s v="Female"/>
    <n v="37"/>
    <x v="1"/>
    <x v="1"/>
    <x v="2"/>
    <n v="17"/>
    <n v="89.11"/>
    <x v="0"/>
    <n v="8"/>
    <n v="3"/>
    <x v="1"/>
    <d v="2021-09-16T00:00:00"/>
  </r>
  <r>
    <s v="CUST0065"/>
    <s v="Male"/>
    <n v="24"/>
    <x v="1"/>
    <x v="1"/>
    <x v="1"/>
    <n v="61"/>
    <n v="62.18"/>
    <x v="2"/>
    <n v="2"/>
    <n v="1"/>
    <x v="1"/>
    <d v="2025-10-31T00:00:00"/>
  </r>
  <r>
    <s v="CUST0066"/>
    <s v="Male"/>
    <n v="25"/>
    <x v="1"/>
    <x v="2"/>
    <x v="1"/>
    <n v="10"/>
    <n v="63.66"/>
    <x v="0"/>
    <n v="2"/>
    <n v="2"/>
    <x v="1"/>
    <d v="2022-09-15T00:00:00"/>
  </r>
  <r>
    <s v="CUST0067"/>
    <s v="Female"/>
    <n v="33"/>
    <x v="1"/>
    <x v="1"/>
    <x v="1"/>
    <n v="29"/>
    <n v="66.64"/>
    <x v="1"/>
    <n v="7"/>
    <n v="4"/>
    <x v="1"/>
    <d v="2024-04-20T00:00:00"/>
  </r>
  <r>
    <s v="CUST0068"/>
    <s v="Male"/>
    <n v="37"/>
    <x v="1"/>
    <x v="1"/>
    <x v="2"/>
    <n v="13"/>
    <n v="99.21"/>
    <x v="3"/>
    <n v="3"/>
    <n v="3"/>
    <x v="1"/>
    <d v="2021-11-18T00:00:00"/>
  </r>
  <r>
    <s v="CUST0069"/>
    <s v="Female"/>
    <n v="29"/>
    <x v="1"/>
    <x v="0"/>
    <x v="0"/>
    <n v="53"/>
    <n v="36.76"/>
    <x v="1"/>
    <n v="4"/>
    <n v="1"/>
    <x v="0"/>
    <d v="2024-12-18T00:00:00"/>
  </r>
  <r>
    <s v="CUST0070"/>
    <s v="Male"/>
    <n v="62"/>
    <x v="3"/>
    <x v="0"/>
    <x v="2"/>
    <n v="30"/>
    <n v="98.86"/>
    <x v="3"/>
    <n v="6"/>
    <n v="1"/>
    <x v="1"/>
    <d v="2024-08-19T00:00:00"/>
  </r>
  <r>
    <s v="CUST0071"/>
    <s v="Female"/>
    <n v="35"/>
    <x v="2"/>
    <x v="0"/>
    <x v="0"/>
    <n v="22"/>
    <n v="41.89"/>
    <x v="2"/>
    <n v="7"/>
    <n v="1"/>
    <x v="1"/>
    <d v="2022-09-15T00:00:00"/>
  </r>
  <r>
    <s v="CUST0072"/>
    <s v="Male"/>
    <n v="35"/>
    <x v="3"/>
    <x v="2"/>
    <x v="0"/>
    <n v="6"/>
    <n v="43.34"/>
    <x v="2"/>
    <n v="4"/>
    <n v="1"/>
    <x v="0"/>
    <d v="2024-10-12T00:00:00"/>
  </r>
  <r>
    <s v="CUST0073"/>
    <s v="Female"/>
    <n v="66"/>
    <x v="0"/>
    <x v="1"/>
    <x v="0"/>
    <n v="23"/>
    <n v="37.06"/>
    <x v="1"/>
    <n v="4"/>
    <n v="2"/>
    <x v="1"/>
    <d v="2023-06-12T00:00:00"/>
  </r>
  <r>
    <s v="CUST0074"/>
    <s v="Male"/>
    <n v="23"/>
    <x v="3"/>
    <x v="2"/>
    <x v="1"/>
    <n v="43"/>
    <n v="59.82"/>
    <x v="0"/>
    <n v="2"/>
    <n v="3"/>
    <x v="1"/>
    <d v="2023-10-12T00:00:00"/>
  </r>
  <r>
    <s v="CUST0075"/>
    <s v="Male"/>
    <n v="60"/>
    <x v="3"/>
    <x v="1"/>
    <x v="0"/>
    <n v="59"/>
    <n v="31.32"/>
    <x v="2"/>
    <n v="5"/>
    <n v="1"/>
    <x v="1"/>
    <d v="2023-04-08T00:00:00"/>
  </r>
  <r>
    <s v="CUST0076"/>
    <s v="Female"/>
    <n v="60"/>
    <x v="3"/>
    <x v="2"/>
    <x v="0"/>
    <n v="25"/>
    <n v="37.78"/>
    <x v="1"/>
    <n v="7"/>
    <n v="1"/>
    <x v="0"/>
    <d v="2024-01-30T00:00:00"/>
  </r>
  <r>
    <s v="CUST0077"/>
    <s v="Female"/>
    <n v="36"/>
    <x v="3"/>
    <x v="1"/>
    <x v="1"/>
    <n v="16"/>
    <n v="55.43"/>
    <x v="3"/>
    <n v="2"/>
    <n v="3"/>
    <x v="1"/>
    <d v="2024-02-06T00:00:00"/>
  </r>
  <r>
    <s v="CUST0078"/>
    <s v="Male"/>
    <n v="23"/>
    <x v="2"/>
    <x v="0"/>
    <x v="1"/>
    <n v="16"/>
    <n v="64.72"/>
    <x v="3"/>
    <n v="7"/>
    <n v="3"/>
    <x v="1"/>
    <d v="2022-07-14T00:00:00"/>
  </r>
  <r>
    <s v="CUST0079"/>
    <s v="Male"/>
    <n v="48"/>
    <x v="3"/>
    <x v="0"/>
    <x v="1"/>
    <n v="71"/>
    <n v="57.17"/>
    <x v="3"/>
    <n v="8"/>
    <n v="2"/>
    <x v="1"/>
    <d v="2022-07-20T00:00:00"/>
  </r>
  <r>
    <s v="CUST0080"/>
    <s v="Male"/>
    <n v="39"/>
    <x v="0"/>
    <x v="0"/>
    <x v="1"/>
    <n v="39"/>
    <n v="67.56"/>
    <x v="1"/>
    <n v="2"/>
    <n v="4"/>
    <x v="1"/>
    <d v="2022-12-08T00:00:00"/>
  </r>
  <r>
    <s v="CUST0081"/>
    <s v="Male"/>
    <n v="53"/>
    <x v="3"/>
    <x v="2"/>
    <x v="1"/>
    <n v="25"/>
    <n v="69.709999999999994"/>
    <x v="3"/>
    <n v="6"/>
    <n v="2"/>
    <x v="1"/>
    <d v="2023-04-22T00:00:00"/>
  </r>
  <r>
    <s v="CUST0082"/>
    <s v="Female"/>
    <n v="38"/>
    <x v="3"/>
    <x v="1"/>
    <x v="1"/>
    <n v="50"/>
    <n v="69.83"/>
    <x v="3"/>
    <n v="7"/>
    <n v="1"/>
    <x v="0"/>
    <d v="2024-04-23T00:00:00"/>
  </r>
  <r>
    <s v="CUST0083"/>
    <s v="Male"/>
    <n v="24"/>
    <x v="3"/>
    <x v="0"/>
    <x v="2"/>
    <n v="59"/>
    <n v="85.23"/>
    <x v="3"/>
    <n v="6"/>
    <n v="2"/>
    <x v="0"/>
    <d v="2025-05-20T00:00:00"/>
  </r>
  <r>
    <s v="CUST0084"/>
    <s v="Male"/>
    <n v="39"/>
    <x v="3"/>
    <x v="1"/>
    <x v="0"/>
    <n v="43"/>
    <n v="42.79"/>
    <x v="1"/>
    <n v="5"/>
    <n v="4"/>
    <x v="1"/>
    <d v="2021-03-15T00:00:00"/>
  </r>
  <r>
    <s v="CUST0085"/>
    <s v="Female"/>
    <n v="33"/>
    <x v="0"/>
    <x v="0"/>
    <x v="2"/>
    <n v="12"/>
    <n v="91.51"/>
    <x v="0"/>
    <n v="1"/>
    <n v="4"/>
    <x v="0"/>
    <d v="2022-09-06T00:00:00"/>
  </r>
  <r>
    <s v="CUST0086"/>
    <s v="Female"/>
    <n v="20"/>
    <x v="0"/>
    <x v="0"/>
    <x v="1"/>
    <n v="46"/>
    <n v="60.62"/>
    <x v="3"/>
    <n v="3"/>
    <n v="5"/>
    <x v="1"/>
    <d v="2024-10-28T00:00:00"/>
  </r>
  <r>
    <s v="CUST0087"/>
    <s v="Female"/>
    <n v="28"/>
    <x v="2"/>
    <x v="0"/>
    <x v="2"/>
    <n v="49"/>
    <n v="94.3"/>
    <x v="3"/>
    <n v="7"/>
    <n v="5"/>
    <x v="0"/>
    <d v="2023-08-03T00:00:00"/>
  </r>
  <r>
    <s v="CUST0088"/>
    <s v="Male"/>
    <n v="47"/>
    <x v="0"/>
    <x v="1"/>
    <x v="0"/>
    <n v="60"/>
    <n v="43.52"/>
    <x v="3"/>
    <n v="1"/>
    <n v="4"/>
    <x v="1"/>
    <d v="2024-04-18T00:00:00"/>
  </r>
  <r>
    <s v="CUST0089"/>
    <s v="Male"/>
    <n v="58"/>
    <x v="3"/>
    <x v="1"/>
    <x v="1"/>
    <n v="59"/>
    <n v="67.680000000000007"/>
    <x v="3"/>
    <n v="6"/>
    <n v="4"/>
    <x v="0"/>
    <d v="2023-02-21T00:00:00"/>
  </r>
  <r>
    <s v="CUST0090"/>
    <s v="Male"/>
    <n v="54"/>
    <x v="0"/>
    <x v="1"/>
    <x v="1"/>
    <n v="3"/>
    <n v="69.67"/>
    <x v="1"/>
    <n v="4"/>
    <n v="1"/>
    <x v="1"/>
    <d v="2024-11-05T00:00:00"/>
  </r>
  <r>
    <s v="CUST0091"/>
    <s v="Female"/>
    <n v="56"/>
    <x v="3"/>
    <x v="2"/>
    <x v="0"/>
    <n v="46"/>
    <n v="33.29"/>
    <x v="3"/>
    <n v="4"/>
    <n v="2"/>
    <x v="1"/>
    <d v="2024-07-09T00:00:00"/>
  </r>
  <r>
    <s v="CUST0092"/>
    <s v="Female"/>
    <n v="37"/>
    <x v="3"/>
    <x v="0"/>
    <x v="2"/>
    <n v="47"/>
    <n v="95.99"/>
    <x v="0"/>
    <n v="4"/>
    <n v="3"/>
    <x v="1"/>
    <d v="2021-12-26T00:00:00"/>
  </r>
  <r>
    <s v="CUST0093"/>
    <s v="Female"/>
    <n v="26"/>
    <x v="0"/>
    <x v="1"/>
    <x v="2"/>
    <n v="35"/>
    <n v="97.46"/>
    <x v="2"/>
    <n v="7"/>
    <n v="3"/>
    <x v="1"/>
    <d v="2022-11-25T00:00:00"/>
  </r>
  <r>
    <s v="CUST0094"/>
    <s v="Female"/>
    <n v="47"/>
    <x v="1"/>
    <x v="0"/>
    <x v="0"/>
    <n v="51"/>
    <n v="44.51"/>
    <x v="2"/>
    <n v="1"/>
    <n v="4"/>
    <x v="0"/>
    <d v="2024-01-04T00:00:00"/>
  </r>
  <r>
    <s v="CUST0095"/>
    <s v="Female"/>
    <n v="47"/>
    <x v="0"/>
    <x v="1"/>
    <x v="2"/>
    <n v="34"/>
    <n v="93.77"/>
    <x v="2"/>
    <n v="1"/>
    <n v="2"/>
    <x v="1"/>
    <d v="2024-06-22T00:00:00"/>
  </r>
  <r>
    <s v="CUST0096"/>
    <s v="Male"/>
    <n v="57"/>
    <x v="2"/>
    <x v="1"/>
    <x v="0"/>
    <n v="60"/>
    <n v="43.64"/>
    <x v="2"/>
    <n v="6"/>
    <n v="1"/>
    <x v="0"/>
    <d v="2021-03-18T00:00:00"/>
  </r>
  <r>
    <s v="CUST0097"/>
    <s v="Male"/>
    <n v="49"/>
    <x v="1"/>
    <x v="0"/>
    <x v="0"/>
    <n v="69"/>
    <n v="32.03"/>
    <x v="1"/>
    <n v="5"/>
    <n v="5"/>
    <x v="1"/>
    <d v="2025-03-01T00:00:00"/>
  </r>
  <r>
    <s v="CUST0098"/>
    <s v="Female"/>
    <n v="44"/>
    <x v="1"/>
    <x v="2"/>
    <x v="2"/>
    <n v="53"/>
    <n v="99.09"/>
    <x v="2"/>
    <n v="0"/>
    <n v="3"/>
    <x v="1"/>
    <d v="2023-06-30T00:00:00"/>
  </r>
  <r>
    <s v="CUST0099"/>
    <s v="Female"/>
    <n v="41"/>
    <x v="1"/>
    <x v="1"/>
    <x v="1"/>
    <n v="70"/>
    <n v="68.53"/>
    <x v="2"/>
    <n v="0"/>
    <n v="4"/>
    <x v="1"/>
    <d v="2021-09-08T00:00:00"/>
  </r>
  <r>
    <s v="CUST0100"/>
    <s v="Male"/>
    <n v="23"/>
    <x v="2"/>
    <x v="1"/>
    <x v="2"/>
    <n v="3"/>
    <n v="85.76"/>
    <x v="2"/>
    <n v="3"/>
    <n v="2"/>
    <x v="1"/>
    <d v="2022-02-25T00:00:00"/>
  </r>
  <r>
    <s v="CUST0101"/>
    <s v="Female"/>
    <n v="66"/>
    <x v="2"/>
    <x v="1"/>
    <x v="0"/>
    <n v="30"/>
    <n v="34.93"/>
    <x v="3"/>
    <n v="0"/>
    <n v="3"/>
    <x v="1"/>
    <d v="2021-10-24T00:00:00"/>
  </r>
  <r>
    <s v="CUST0102"/>
    <s v="Female"/>
    <n v="52"/>
    <x v="0"/>
    <x v="0"/>
    <x v="0"/>
    <n v="4"/>
    <n v="31.98"/>
    <x v="2"/>
    <n v="3"/>
    <n v="5"/>
    <x v="1"/>
    <d v="2021-12-23T00:00:00"/>
  </r>
  <r>
    <s v="CUST0103"/>
    <s v="Male"/>
    <n v="21"/>
    <x v="2"/>
    <x v="1"/>
    <x v="1"/>
    <n v="68"/>
    <n v="56.7"/>
    <x v="0"/>
    <n v="7"/>
    <n v="4"/>
    <x v="1"/>
    <d v="2023-11-18T00:00:00"/>
  </r>
  <r>
    <s v="CUST0104"/>
    <s v="Female"/>
    <n v="46"/>
    <x v="2"/>
    <x v="1"/>
    <x v="0"/>
    <n v="67"/>
    <n v="34.520000000000003"/>
    <x v="0"/>
    <n v="0"/>
    <n v="4"/>
    <x v="1"/>
    <d v="2023-05-24T00:00:00"/>
  </r>
  <r>
    <s v="CUST0105"/>
    <s v="Female"/>
    <n v="49"/>
    <x v="3"/>
    <x v="0"/>
    <x v="0"/>
    <n v="42"/>
    <n v="39.119999999999997"/>
    <x v="0"/>
    <n v="2"/>
    <n v="3"/>
    <x v="1"/>
    <d v="2024-04-13T00:00:00"/>
  </r>
  <r>
    <s v="CUST0106"/>
    <s v="Male"/>
    <n v="42"/>
    <x v="0"/>
    <x v="2"/>
    <x v="2"/>
    <n v="56"/>
    <n v="86.49"/>
    <x v="0"/>
    <n v="8"/>
    <n v="2"/>
    <x v="1"/>
    <d v="2022-04-13T00:00:00"/>
  </r>
  <r>
    <s v="CUST0107"/>
    <s v="Male"/>
    <n v="39"/>
    <x v="3"/>
    <x v="2"/>
    <x v="1"/>
    <n v="13"/>
    <n v="59.69"/>
    <x v="2"/>
    <n v="4"/>
    <n v="3"/>
    <x v="1"/>
    <d v="2024-11-07T00:00:00"/>
  </r>
  <r>
    <s v="CUST0108"/>
    <s v="Male"/>
    <n v="22"/>
    <x v="1"/>
    <x v="0"/>
    <x v="0"/>
    <n v="56"/>
    <n v="31.45"/>
    <x v="2"/>
    <n v="2"/>
    <n v="5"/>
    <x v="0"/>
    <d v="2024-02-25T00:00:00"/>
  </r>
  <r>
    <s v="CUST0109"/>
    <s v="Male"/>
    <n v="60"/>
    <x v="1"/>
    <x v="2"/>
    <x v="1"/>
    <n v="55"/>
    <n v="68.02"/>
    <x v="0"/>
    <n v="4"/>
    <n v="5"/>
    <x v="1"/>
    <d v="2021-08-01T00:00:00"/>
  </r>
  <r>
    <s v="CUST0110"/>
    <s v="Female"/>
    <n v="27"/>
    <x v="3"/>
    <x v="0"/>
    <x v="0"/>
    <n v="45"/>
    <n v="42.68"/>
    <x v="2"/>
    <n v="1"/>
    <n v="3"/>
    <x v="1"/>
    <d v="2025-07-12T00:00:00"/>
  </r>
  <r>
    <s v="CUST0111"/>
    <s v="Male"/>
    <n v="53"/>
    <x v="1"/>
    <x v="1"/>
    <x v="2"/>
    <n v="35"/>
    <n v="85.43"/>
    <x v="2"/>
    <n v="4"/>
    <n v="3"/>
    <x v="1"/>
    <d v="2022-01-07T00:00:00"/>
  </r>
  <r>
    <s v="CUST0112"/>
    <s v="Female"/>
    <n v="54"/>
    <x v="3"/>
    <x v="0"/>
    <x v="0"/>
    <n v="4"/>
    <n v="31.38"/>
    <x v="3"/>
    <n v="6"/>
    <n v="4"/>
    <x v="1"/>
    <d v="2021-11-19T00:00:00"/>
  </r>
  <r>
    <s v="CUST0113"/>
    <s v="Male"/>
    <n v="37"/>
    <x v="0"/>
    <x v="1"/>
    <x v="2"/>
    <n v="11"/>
    <n v="98.25"/>
    <x v="3"/>
    <n v="2"/>
    <n v="5"/>
    <x v="0"/>
    <d v="2021-06-17T00:00:00"/>
  </r>
  <r>
    <s v="CUST0114"/>
    <s v="Male"/>
    <n v="46"/>
    <x v="3"/>
    <x v="2"/>
    <x v="2"/>
    <n v="57"/>
    <n v="91.21"/>
    <x v="3"/>
    <n v="8"/>
    <n v="1"/>
    <x v="1"/>
    <d v="2021-08-16T00:00:00"/>
  </r>
  <r>
    <s v="CUST0115"/>
    <s v="Male"/>
    <n v="61"/>
    <x v="3"/>
    <x v="1"/>
    <x v="2"/>
    <n v="40"/>
    <n v="85.68"/>
    <x v="1"/>
    <n v="0"/>
    <n v="1"/>
    <x v="1"/>
    <d v="2022-03-09T00:00:00"/>
  </r>
  <r>
    <s v="CUST0116"/>
    <s v="Female"/>
    <n v="66"/>
    <x v="0"/>
    <x v="2"/>
    <x v="1"/>
    <n v="16"/>
    <n v="55.12"/>
    <x v="1"/>
    <n v="2"/>
    <n v="2"/>
    <x v="1"/>
    <d v="2024-12-12T00:00:00"/>
  </r>
  <r>
    <s v="CUST0117"/>
    <s v="Female"/>
    <n v="50"/>
    <x v="0"/>
    <x v="0"/>
    <x v="1"/>
    <n v="6"/>
    <n v="61.54"/>
    <x v="1"/>
    <n v="1"/>
    <n v="3"/>
    <x v="1"/>
    <d v="2024-03-20T00:00:00"/>
  </r>
  <r>
    <s v="CUST0118"/>
    <s v="Male"/>
    <n v="63"/>
    <x v="3"/>
    <x v="2"/>
    <x v="0"/>
    <n v="52"/>
    <n v="30.31"/>
    <x v="2"/>
    <n v="2"/>
    <n v="5"/>
    <x v="1"/>
    <d v="2024-11-13T00:00:00"/>
  </r>
  <r>
    <s v="CUST0119"/>
    <s v="Male"/>
    <n v="23"/>
    <x v="3"/>
    <x v="0"/>
    <x v="0"/>
    <n v="56"/>
    <n v="38.83"/>
    <x v="0"/>
    <n v="6"/>
    <n v="3"/>
    <x v="1"/>
    <d v="2022-03-30T00:00:00"/>
  </r>
  <r>
    <s v="CUST0120"/>
    <s v="Male"/>
    <n v="67"/>
    <x v="2"/>
    <x v="0"/>
    <x v="2"/>
    <n v="15"/>
    <n v="92.96"/>
    <x v="3"/>
    <n v="5"/>
    <n v="3"/>
    <x v="1"/>
    <d v="2025-08-05T00:00:00"/>
  </r>
  <r>
    <s v="CUST0121"/>
    <s v="Female"/>
    <n v="33"/>
    <x v="1"/>
    <x v="0"/>
    <x v="1"/>
    <n v="26"/>
    <n v="57.6"/>
    <x v="3"/>
    <n v="1"/>
    <n v="2"/>
    <x v="1"/>
    <d v="2024-07-10T00:00:00"/>
  </r>
  <r>
    <s v="CUST0122"/>
    <s v="Male"/>
    <n v="47"/>
    <x v="3"/>
    <x v="1"/>
    <x v="2"/>
    <n v="42"/>
    <n v="97.96"/>
    <x v="2"/>
    <n v="2"/>
    <n v="4"/>
    <x v="0"/>
    <d v="2023-06-25T00:00:00"/>
  </r>
  <r>
    <s v="CUST0123"/>
    <s v="Male"/>
    <n v="68"/>
    <x v="0"/>
    <x v="1"/>
    <x v="0"/>
    <n v="46"/>
    <n v="37.61"/>
    <x v="2"/>
    <n v="7"/>
    <n v="4"/>
    <x v="0"/>
    <d v="2023-01-26T00:00:00"/>
  </r>
  <r>
    <s v="CUST0124"/>
    <s v="Male"/>
    <n v="22"/>
    <x v="1"/>
    <x v="1"/>
    <x v="2"/>
    <n v="65"/>
    <n v="90.77"/>
    <x v="0"/>
    <n v="7"/>
    <n v="5"/>
    <x v="1"/>
    <d v="2022-10-21T00:00:00"/>
  </r>
  <r>
    <s v="CUST0125"/>
    <s v="Male"/>
    <n v="50"/>
    <x v="2"/>
    <x v="0"/>
    <x v="1"/>
    <n v="14"/>
    <n v="67.16"/>
    <x v="2"/>
    <n v="1"/>
    <n v="5"/>
    <x v="1"/>
    <d v="2021-03-22T00:00:00"/>
  </r>
  <r>
    <s v="CUST0126"/>
    <s v="Female"/>
    <n v="63"/>
    <x v="3"/>
    <x v="2"/>
    <x v="2"/>
    <n v="67"/>
    <n v="94.15"/>
    <x v="2"/>
    <n v="5"/>
    <n v="3"/>
    <x v="1"/>
    <d v="2025-05-06T00:00:00"/>
  </r>
  <r>
    <s v="CUST0127"/>
    <s v="Male"/>
    <n v="61"/>
    <x v="1"/>
    <x v="1"/>
    <x v="2"/>
    <n v="43"/>
    <n v="85.99"/>
    <x v="0"/>
    <n v="8"/>
    <n v="4"/>
    <x v="1"/>
    <d v="2025-01-22T00:00:00"/>
  </r>
  <r>
    <s v="CUST0128"/>
    <s v="Female"/>
    <n v="39"/>
    <x v="1"/>
    <x v="1"/>
    <x v="2"/>
    <n v="19"/>
    <n v="98.75"/>
    <x v="2"/>
    <n v="6"/>
    <n v="2"/>
    <x v="1"/>
    <d v="2021-06-23T00:00:00"/>
  </r>
  <r>
    <s v="CUST0129"/>
    <s v="Male"/>
    <n v="53"/>
    <x v="3"/>
    <x v="1"/>
    <x v="1"/>
    <n v="17"/>
    <n v="65.05"/>
    <x v="0"/>
    <n v="6"/>
    <n v="5"/>
    <x v="1"/>
    <d v="2023-01-13T00:00:00"/>
  </r>
  <r>
    <s v="CUST0130"/>
    <s v="Male"/>
    <n v="29"/>
    <x v="2"/>
    <x v="2"/>
    <x v="1"/>
    <n v="25"/>
    <n v="58.4"/>
    <x v="3"/>
    <n v="2"/>
    <n v="1"/>
    <x v="1"/>
    <d v="2025-06-03T00:00:00"/>
  </r>
  <r>
    <s v="CUST0131"/>
    <s v="Female"/>
    <n v="50"/>
    <x v="1"/>
    <x v="1"/>
    <x v="1"/>
    <n v="17"/>
    <n v="63.96"/>
    <x v="3"/>
    <n v="2"/>
    <n v="2"/>
    <x v="1"/>
    <d v="2025-04-29T00:00:00"/>
  </r>
  <r>
    <s v="CUST0132"/>
    <s v="Female"/>
    <n v="64"/>
    <x v="3"/>
    <x v="0"/>
    <x v="1"/>
    <n v="47"/>
    <n v="65.150000000000006"/>
    <x v="3"/>
    <n v="7"/>
    <n v="5"/>
    <x v="1"/>
    <d v="2025-03-14T00:00:00"/>
  </r>
  <r>
    <s v="CUST0133"/>
    <s v="Male"/>
    <n v="32"/>
    <x v="2"/>
    <x v="2"/>
    <x v="1"/>
    <n v="25"/>
    <n v="60.52"/>
    <x v="1"/>
    <n v="7"/>
    <n v="3"/>
    <x v="1"/>
    <d v="2023-10-27T00:00:00"/>
  </r>
  <r>
    <s v="CUST0134"/>
    <s v="Male"/>
    <n v="28"/>
    <x v="2"/>
    <x v="1"/>
    <x v="0"/>
    <n v="33"/>
    <n v="30.78"/>
    <x v="1"/>
    <n v="5"/>
    <n v="5"/>
    <x v="1"/>
    <d v="2024-12-27T00:00:00"/>
  </r>
  <r>
    <s v="CUST0135"/>
    <s v="Female"/>
    <n v="36"/>
    <x v="1"/>
    <x v="0"/>
    <x v="1"/>
    <n v="58"/>
    <n v="68.58"/>
    <x v="3"/>
    <n v="6"/>
    <n v="1"/>
    <x v="1"/>
    <d v="2022-03-31T00:00:00"/>
  </r>
  <r>
    <s v="CUST0136"/>
    <s v="Male"/>
    <n v="40"/>
    <x v="1"/>
    <x v="2"/>
    <x v="0"/>
    <n v="51"/>
    <n v="37.53"/>
    <x v="3"/>
    <n v="6"/>
    <n v="1"/>
    <x v="1"/>
    <d v="2021-02-27T00:00:00"/>
  </r>
  <r>
    <s v="CUST0137"/>
    <s v="Male"/>
    <n v="24"/>
    <x v="0"/>
    <x v="0"/>
    <x v="0"/>
    <n v="5"/>
    <n v="34.299999999999997"/>
    <x v="1"/>
    <n v="2"/>
    <n v="4"/>
    <x v="1"/>
    <d v="2021-01-11T00:00:00"/>
  </r>
  <r>
    <s v="CUST0138"/>
    <s v="Female"/>
    <n v="19"/>
    <x v="0"/>
    <x v="0"/>
    <x v="0"/>
    <n v="71"/>
    <n v="44.1"/>
    <x v="1"/>
    <n v="1"/>
    <n v="3"/>
    <x v="1"/>
    <d v="2021-09-07T00:00:00"/>
  </r>
  <r>
    <s v="CUST0139"/>
    <s v="Female"/>
    <n v="33"/>
    <x v="3"/>
    <x v="1"/>
    <x v="2"/>
    <n v="59"/>
    <n v="85.94"/>
    <x v="1"/>
    <n v="8"/>
    <n v="1"/>
    <x v="1"/>
    <d v="2024-03-23T00:00:00"/>
  </r>
  <r>
    <s v="CUST0140"/>
    <s v="Female"/>
    <n v="63"/>
    <x v="2"/>
    <x v="2"/>
    <x v="1"/>
    <n v="1"/>
    <n v="64.22"/>
    <x v="3"/>
    <n v="6"/>
    <n v="2"/>
    <x v="1"/>
    <d v="2021-06-25T00:00:00"/>
  </r>
  <r>
    <s v="CUST0141"/>
    <s v="Male"/>
    <n v="22"/>
    <x v="1"/>
    <x v="2"/>
    <x v="1"/>
    <n v="6"/>
    <n v="64.540000000000006"/>
    <x v="2"/>
    <n v="4"/>
    <n v="1"/>
    <x v="1"/>
    <d v="2021-05-19T00:00:00"/>
  </r>
  <r>
    <s v="CUST0142"/>
    <s v="Male"/>
    <n v="33"/>
    <x v="1"/>
    <x v="1"/>
    <x v="2"/>
    <n v="43"/>
    <n v="87"/>
    <x v="2"/>
    <n v="8"/>
    <n v="3"/>
    <x v="1"/>
    <d v="2021-12-25T00:00:00"/>
  </r>
  <r>
    <s v="CUST0143"/>
    <s v="Male"/>
    <n v="62"/>
    <x v="3"/>
    <x v="1"/>
    <x v="0"/>
    <n v="18"/>
    <n v="30.95"/>
    <x v="1"/>
    <n v="0"/>
    <n v="3"/>
    <x v="1"/>
    <d v="2025-06-09T00:00:00"/>
  </r>
  <r>
    <s v="CUST0144"/>
    <s v="Female"/>
    <n v="20"/>
    <x v="0"/>
    <x v="2"/>
    <x v="2"/>
    <n v="51"/>
    <n v="99.84"/>
    <x v="1"/>
    <n v="4"/>
    <n v="1"/>
    <x v="1"/>
    <d v="2022-01-27T00:00:00"/>
  </r>
  <r>
    <s v="CUST0145"/>
    <s v="Male"/>
    <n v="40"/>
    <x v="1"/>
    <x v="1"/>
    <x v="1"/>
    <n v="35"/>
    <n v="56.87"/>
    <x v="2"/>
    <n v="6"/>
    <n v="4"/>
    <x v="1"/>
    <d v="2023-03-03T00:00:00"/>
  </r>
  <r>
    <s v="CUST0146"/>
    <s v="Male"/>
    <n v="29"/>
    <x v="3"/>
    <x v="1"/>
    <x v="1"/>
    <n v="48"/>
    <n v="68.86"/>
    <x v="2"/>
    <n v="1"/>
    <n v="4"/>
    <x v="0"/>
    <d v="2024-05-18T00:00:00"/>
  </r>
  <r>
    <s v="CUST0147"/>
    <s v="Female"/>
    <n v="52"/>
    <x v="0"/>
    <x v="2"/>
    <x v="0"/>
    <n v="11"/>
    <n v="34.92"/>
    <x v="2"/>
    <n v="4"/>
    <n v="4"/>
    <x v="1"/>
    <d v="2023-05-23T00:00:00"/>
  </r>
  <r>
    <s v="CUST0148"/>
    <s v="Female"/>
    <n v="62"/>
    <x v="3"/>
    <x v="2"/>
    <x v="1"/>
    <n v="6"/>
    <n v="65.900000000000006"/>
    <x v="2"/>
    <n v="6"/>
    <n v="3"/>
    <x v="1"/>
    <d v="2025-06-09T00:00:00"/>
  </r>
  <r>
    <s v="CUST0149"/>
    <s v="Female"/>
    <n v="22"/>
    <x v="3"/>
    <x v="2"/>
    <x v="2"/>
    <n v="21"/>
    <n v="99.29"/>
    <x v="3"/>
    <n v="7"/>
    <n v="1"/>
    <x v="0"/>
    <d v="2022-04-29T00:00:00"/>
  </r>
  <r>
    <s v="CUST0150"/>
    <s v="Male"/>
    <n v="41"/>
    <x v="3"/>
    <x v="1"/>
    <x v="0"/>
    <n v="20"/>
    <n v="40.19"/>
    <x v="2"/>
    <n v="5"/>
    <n v="4"/>
    <x v="1"/>
    <d v="2024-03-21T00:00:00"/>
  </r>
  <r>
    <s v="CUST0151"/>
    <s v="Female"/>
    <n v="51"/>
    <x v="0"/>
    <x v="2"/>
    <x v="1"/>
    <n v="36"/>
    <n v="58.74"/>
    <x v="0"/>
    <n v="0"/>
    <n v="2"/>
    <x v="1"/>
    <d v="2023-03-04T00:00:00"/>
  </r>
  <r>
    <s v="CUST0152"/>
    <s v="Female"/>
    <n v="34"/>
    <x v="0"/>
    <x v="1"/>
    <x v="1"/>
    <n v="28"/>
    <n v="69.95"/>
    <x v="2"/>
    <n v="7"/>
    <n v="2"/>
    <x v="0"/>
    <d v="2025-10-13T00:00:00"/>
  </r>
  <r>
    <s v="CUST0153"/>
    <s v="Female"/>
    <n v="46"/>
    <x v="2"/>
    <x v="1"/>
    <x v="1"/>
    <n v="12"/>
    <n v="67.16"/>
    <x v="2"/>
    <n v="5"/>
    <n v="1"/>
    <x v="1"/>
    <d v="2022-08-18T00:00:00"/>
  </r>
  <r>
    <s v="CUST0154"/>
    <s v="Male"/>
    <n v="28"/>
    <x v="2"/>
    <x v="2"/>
    <x v="2"/>
    <n v="29"/>
    <n v="86.82"/>
    <x v="3"/>
    <n v="2"/>
    <n v="2"/>
    <x v="1"/>
    <d v="2021-02-23T00:00:00"/>
  </r>
  <r>
    <s v="CUST0155"/>
    <s v="Male"/>
    <n v="53"/>
    <x v="0"/>
    <x v="2"/>
    <x v="2"/>
    <n v="17"/>
    <n v="94.18"/>
    <x v="0"/>
    <n v="1"/>
    <n v="3"/>
    <x v="1"/>
    <d v="2025-01-08T00:00:00"/>
  </r>
  <r>
    <s v="CUST0156"/>
    <s v="Male"/>
    <n v="51"/>
    <x v="3"/>
    <x v="2"/>
    <x v="2"/>
    <n v="10"/>
    <n v="86.88"/>
    <x v="2"/>
    <n v="1"/>
    <n v="4"/>
    <x v="1"/>
    <d v="2023-11-26T00:00:00"/>
  </r>
  <r>
    <s v="CUST0157"/>
    <s v="Male"/>
    <n v="26"/>
    <x v="2"/>
    <x v="0"/>
    <x v="1"/>
    <n v="65"/>
    <n v="68.66"/>
    <x v="0"/>
    <n v="1"/>
    <n v="5"/>
    <x v="0"/>
    <d v="2021-12-04T00:00:00"/>
  </r>
  <r>
    <s v="CUST0158"/>
    <s v="Female"/>
    <n v="38"/>
    <x v="2"/>
    <x v="2"/>
    <x v="2"/>
    <n v="37"/>
    <n v="97.69"/>
    <x v="2"/>
    <n v="3"/>
    <n v="5"/>
    <x v="1"/>
    <d v="2024-07-04T00:00:00"/>
  </r>
  <r>
    <s v="CUST0159"/>
    <s v="Male"/>
    <n v="57"/>
    <x v="1"/>
    <x v="1"/>
    <x v="2"/>
    <n v="22"/>
    <n v="93.88"/>
    <x v="3"/>
    <n v="2"/>
    <n v="5"/>
    <x v="1"/>
    <d v="2024-05-24T00:00:00"/>
  </r>
  <r>
    <s v="CUST0160"/>
    <s v="Male"/>
    <n v="54"/>
    <x v="1"/>
    <x v="0"/>
    <x v="0"/>
    <n v="6"/>
    <n v="44.23"/>
    <x v="2"/>
    <n v="3"/>
    <n v="5"/>
    <x v="1"/>
    <d v="2024-08-01T00:00:00"/>
  </r>
  <r>
    <s v="CUST0161"/>
    <s v="Female"/>
    <n v="49"/>
    <x v="0"/>
    <x v="1"/>
    <x v="1"/>
    <n v="62"/>
    <n v="58.67"/>
    <x v="1"/>
    <n v="4"/>
    <n v="4"/>
    <x v="0"/>
    <d v="2021-05-03T00:00:00"/>
  </r>
  <r>
    <s v="CUST0162"/>
    <s v="Female"/>
    <n v="46"/>
    <x v="3"/>
    <x v="2"/>
    <x v="1"/>
    <n v="27"/>
    <n v="60.1"/>
    <x v="3"/>
    <n v="5"/>
    <n v="3"/>
    <x v="1"/>
    <d v="2025-10-29T00:00:00"/>
  </r>
  <r>
    <s v="CUST0163"/>
    <s v="Male"/>
    <n v="43"/>
    <x v="2"/>
    <x v="2"/>
    <x v="2"/>
    <n v="72"/>
    <n v="86.59"/>
    <x v="3"/>
    <n v="7"/>
    <n v="1"/>
    <x v="0"/>
    <d v="2022-05-23T00:00:00"/>
  </r>
  <r>
    <s v="CUST0164"/>
    <s v="Female"/>
    <n v="24"/>
    <x v="1"/>
    <x v="2"/>
    <x v="1"/>
    <n v="54"/>
    <n v="58.72"/>
    <x v="3"/>
    <n v="5"/>
    <n v="5"/>
    <x v="1"/>
    <d v="2022-01-24T00:00:00"/>
  </r>
  <r>
    <s v="CUST0165"/>
    <s v="Female"/>
    <n v="49"/>
    <x v="3"/>
    <x v="2"/>
    <x v="1"/>
    <n v="64"/>
    <n v="55.35"/>
    <x v="1"/>
    <n v="8"/>
    <n v="4"/>
    <x v="1"/>
    <d v="2022-03-17T00:00:00"/>
  </r>
  <r>
    <s v="CUST0166"/>
    <s v="Male"/>
    <n v="21"/>
    <x v="1"/>
    <x v="2"/>
    <x v="1"/>
    <n v="61"/>
    <n v="59.29"/>
    <x v="0"/>
    <n v="1"/>
    <n v="4"/>
    <x v="1"/>
    <d v="2022-06-26T00:00:00"/>
  </r>
  <r>
    <s v="CUST0167"/>
    <s v="Male"/>
    <n v="66"/>
    <x v="3"/>
    <x v="2"/>
    <x v="0"/>
    <n v="52"/>
    <n v="30.77"/>
    <x v="3"/>
    <n v="5"/>
    <n v="5"/>
    <x v="1"/>
    <d v="2023-03-03T00:00:00"/>
  </r>
  <r>
    <s v="CUST0168"/>
    <s v="Male"/>
    <n v="66"/>
    <x v="0"/>
    <x v="1"/>
    <x v="2"/>
    <n v="16"/>
    <n v="86.93"/>
    <x v="0"/>
    <n v="6"/>
    <n v="3"/>
    <x v="1"/>
    <d v="2022-11-26T00:00:00"/>
  </r>
  <r>
    <s v="CUST0169"/>
    <s v="Male"/>
    <n v="66"/>
    <x v="2"/>
    <x v="0"/>
    <x v="2"/>
    <n v="66"/>
    <n v="91.02"/>
    <x v="0"/>
    <n v="0"/>
    <n v="1"/>
    <x v="0"/>
    <d v="2022-11-14T00:00:00"/>
  </r>
  <r>
    <s v="CUST0170"/>
    <s v="Male"/>
    <n v="51"/>
    <x v="3"/>
    <x v="0"/>
    <x v="2"/>
    <n v="66"/>
    <n v="87.1"/>
    <x v="2"/>
    <n v="2"/>
    <n v="4"/>
    <x v="1"/>
    <d v="2025-02-23T00:00:00"/>
  </r>
  <r>
    <s v="CUST0171"/>
    <s v="Male"/>
    <n v="55"/>
    <x v="0"/>
    <x v="1"/>
    <x v="2"/>
    <n v="69"/>
    <n v="92.35"/>
    <x v="2"/>
    <n v="7"/>
    <n v="1"/>
    <x v="1"/>
    <d v="2024-10-11T00:00:00"/>
  </r>
  <r>
    <s v="CUST0172"/>
    <s v="Female"/>
    <n v="44"/>
    <x v="0"/>
    <x v="1"/>
    <x v="2"/>
    <n v="4"/>
    <n v="93.95"/>
    <x v="2"/>
    <n v="3"/>
    <n v="1"/>
    <x v="1"/>
    <d v="2021-12-16T00:00:00"/>
  </r>
  <r>
    <s v="CUST0173"/>
    <s v="Male"/>
    <n v="27"/>
    <x v="2"/>
    <x v="0"/>
    <x v="2"/>
    <n v="15"/>
    <n v="87.86"/>
    <x v="1"/>
    <n v="5"/>
    <n v="4"/>
    <x v="0"/>
    <d v="2024-11-15T00:00:00"/>
  </r>
  <r>
    <s v="CUST0174"/>
    <s v="Female"/>
    <n v="44"/>
    <x v="3"/>
    <x v="1"/>
    <x v="2"/>
    <n v="8"/>
    <n v="95.59"/>
    <x v="3"/>
    <n v="8"/>
    <n v="3"/>
    <x v="1"/>
    <d v="2023-09-07T00:00:00"/>
  </r>
  <r>
    <s v="CUST0175"/>
    <s v="Male"/>
    <n v="38"/>
    <x v="2"/>
    <x v="2"/>
    <x v="2"/>
    <n v="44"/>
    <n v="93.19"/>
    <x v="2"/>
    <n v="7"/>
    <n v="2"/>
    <x v="1"/>
    <d v="2022-07-26T00:00:00"/>
  </r>
  <r>
    <s v="CUST0176"/>
    <s v="Male"/>
    <n v="32"/>
    <x v="0"/>
    <x v="2"/>
    <x v="2"/>
    <n v="27"/>
    <n v="95.35"/>
    <x v="1"/>
    <n v="5"/>
    <n v="4"/>
    <x v="1"/>
    <d v="2025-06-17T00:00:00"/>
  </r>
  <r>
    <s v="CUST0177"/>
    <s v="Male"/>
    <n v="36"/>
    <x v="1"/>
    <x v="1"/>
    <x v="2"/>
    <n v="70"/>
    <n v="90.7"/>
    <x v="1"/>
    <n v="5"/>
    <n v="2"/>
    <x v="1"/>
    <d v="2022-08-13T00:00:00"/>
  </r>
  <r>
    <s v="CUST0178"/>
    <s v="Female"/>
    <n v="40"/>
    <x v="3"/>
    <x v="1"/>
    <x v="1"/>
    <n v="62"/>
    <n v="58.21"/>
    <x v="2"/>
    <n v="8"/>
    <n v="3"/>
    <x v="0"/>
    <d v="2024-06-14T00:00:00"/>
  </r>
  <r>
    <s v="CUST0179"/>
    <s v="Female"/>
    <n v="33"/>
    <x v="1"/>
    <x v="1"/>
    <x v="2"/>
    <n v="29"/>
    <n v="94.57"/>
    <x v="0"/>
    <n v="1"/>
    <n v="4"/>
    <x v="1"/>
    <d v="2023-08-26T00:00:00"/>
  </r>
  <r>
    <s v="CUST0180"/>
    <s v="Female"/>
    <n v="61"/>
    <x v="2"/>
    <x v="0"/>
    <x v="2"/>
    <n v="21"/>
    <n v="91.1"/>
    <x v="1"/>
    <n v="7"/>
    <n v="2"/>
    <x v="1"/>
    <d v="2022-08-12T00:00:00"/>
  </r>
  <r>
    <s v="CUST0181"/>
    <s v="Male"/>
    <n v="36"/>
    <x v="1"/>
    <x v="0"/>
    <x v="2"/>
    <n v="30"/>
    <n v="93.03"/>
    <x v="0"/>
    <n v="2"/>
    <n v="4"/>
    <x v="1"/>
    <d v="2021-12-27T00:00:00"/>
  </r>
  <r>
    <s v="CUST0182"/>
    <s v="Female"/>
    <n v="43"/>
    <x v="3"/>
    <x v="0"/>
    <x v="2"/>
    <n v="38"/>
    <n v="98.15"/>
    <x v="0"/>
    <n v="4"/>
    <n v="5"/>
    <x v="1"/>
    <d v="2022-11-18T00:00:00"/>
  </r>
  <r>
    <s v="CUST0183"/>
    <s v="Male"/>
    <n v="47"/>
    <x v="3"/>
    <x v="0"/>
    <x v="2"/>
    <n v="60"/>
    <n v="89.09"/>
    <x v="0"/>
    <n v="5"/>
    <n v="2"/>
    <x v="1"/>
    <d v="2024-08-20T00:00:00"/>
  </r>
  <r>
    <s v="CUST0184"/>
    <s v="Male"/>
    <n v="63"/>
    <x v="2"/>
    <x v="0"/>
    <x v="2"/>
    <n v="44"/>
    <n v="96.86"/>
    <x v="3"/>
    <n v="2"/>
    <n v="5"/>
    <x v="1"/>
    <d v="2023-04-11T00:00:00"/>
  </r>
  <r>
    <s v="CUST0185"/>
    <s v="Male"/>
    <n v="50"/>
    <x v="0"/>
    <x v="0"/>
    <x v="1"/>
    <n v="13"/>
    <n v="57.77"/>
    <x v="3"/>
    <n v="7"/>
    <n v="3"/>
    <x v="1"/>
    <d v="2021-01-14T00:00:00"/>
  </r>
  <r>
    <s v="CUST0186"/>
    <s v="Male"/>
    <n v="42"/>
    <x v="2"/>
    <x v="2"/>
    <x v="1"/>
    <n v="43"/>
    <n v="59.53"/>
    <x v="0"/>
    <n v="4"/>
    <n v="3"/>
    <x v="1"/>
    <d v="2021-05-08T00:00:00"/>
  </r>
  <r>
    <s v="CUST0187"/>
    <s v="Female"/>
    <n v="47"/>
    <x v="0"/>
    <x v="0"/>
    <x v="1"/>
    <n v="65"/>
    <n v="68.849999999999994"/>
    <x v="2"/>
    <n v="1"/>
    <n v="3"/>
    <x v="1"/>
    <d v="2022-03-29T00:00:00"/>
  </r>
  <r>
    <s v="CUST0188"/>
    <s v="Female"/>
    <n v="26"/>
    <x v="3"/>
    <x v="0"/>
    <x v="1"/>
    <n v="48"/>
    <n v="61.24"/>
    <x v="1"/>
    <n v="8"/>
    <n v="2"/>
    <x v="1"/>
    <d v="2024-10-25T00:00:00"/>
  </r>
  <r>
    <s v="CUST0189"/>
    <s v="Female"/>
    <n v="51"/>
    <x v="3"/>
    <x v="1"/>
    <x v="2"/>
    <n v="47"/>
    <n v="86.17"/>
    <x v="0"/>
    <n v="0"/>
    <n v="5"/>
    <x v="1"/>
    <d v="2022-02-19T00:00:00"/>
  </r>
  <r>
    <s v="CUST0190"/>
    <s v="Female"/>
    <n v="28"/>
    <x v="0"/>
    <x v="1"/>
    <x v="1"/>
    <n v="15"/>
    <n v="65.2"/>
    <x v="1"/>
    <n v="1"/>
    <n v="5"/>
    <x v="1"/>
    <d v="2021-04-24T00:00:00"/>
  </r>
  <r>
    <s v="CUST0191"/>
    <s v="Male"/>
    <n v="26"/>
    <x v="3"/>
    <x v="2"/>
    <x v="2"/>
    <n v="8"/>
    <n v="93.38"/>
    <x v="2"/>
    <n v="0"/>
    <n v="4"/>
    <x v="1"/>
    <d v="2021-01-07T00:00:00"/>
  </r>
  <r>
    <s v="CUST0192"/>
    <s v="Female"/>
    <n v="55"/>
    <x v="1"/>
    <x v="0"/>
    <x v="1"/>
    <n v="45"/>
    <n v="65.510000000000005"/>
    <x v="0"/>
    <n v="1"/>
    <n v="4"/>
    <x v="0"/>
    <d v="2023-04-18T00:00:00"/>
  </r>
  <r>
    <s v="CUST0193"/>
    <s v="Female"/>
    <n v="67"/>
    <x v="2"/>
    <x v="1"/>
    <x v="2"/>
    <n v="54"/>
    <n v="90.62"/>
    <x v="1"/>
    <n v="7"/>
    <n v="4"/>
    <x v="1"/>
    <d v="2024-10-30T00:00:00"/>
  </r>
  <r>
    <s v="CUST0194"/>
    <s v="Female"/>
    <n v="59"/>
    <x v="0"/>
    <x v="0"/>
    <x v="0"/>
    <n v="69"/>
    <n v="35.9"/>
    <x v="3"/>
    <n v="3"/>
    <n v="1"/>
    <x v="1"/>
    <d v="2022-09-04T00:00:00"/>
  </r>
  <r>
    <s v="CUST0195"/>
    <s v="Male"/>
    <n v="61"/>
    <x v="3"/>
    <x v="1"/>
    <x v="1"/>
    <n v="30"/>
    <n v="58.71"/>
    <x v="2"/>
    <n v="2"/>
    <n v="3"/>
    <x v="1"/>
    <d v="2025-11-28T00:00:00"/>
  </r>
  <r>
    <s v="CUST0196"/>
    <s v="Female"/>
    <n v="20"/>
    <x v="3"/>
    <x v="1"/>
    <x v="0"/>
    <n v="31"/>
    <n v="33.090000000000003"/>
    <x v="0"/>
    <n v="0"/>
    <n v="4"/>
    <x v="1"/>
    <d v="2024-12-11T00:00:00"/>
  </r>
  <r>
    <s v="CUST0197"/>
    <s v="Female"/>
    <n v="33"/>
    <x v="1"/>
    <x v="2"/>
    <x v="1"/>
    <n v="30"/>
    <n v="63.1"/>
    <x v="0"/>
    <n v="2"/>
    <n v="5"/>
    <x v="1"/>
    <d v="2022-04-25T00:00:00"/>
  </r>
  <r>
    <s v="CUST0198"/>
    <s v="Male"/>
    <n v="54"/>
    <x v="0"/>
    <x v="0"/>
    <x v="1"/>
    <n v="19"/>
    <n v="69.790000000000006"/>
    <x v="3"/>
    <n v="6"/>
    <n v="3"/>
    <x v="0"/>
    <d v="2024-02-15T00:00:00"/>
  </r>
  <r>
    <s v="CUST0199"/>
    <s v="Female"/>
    <n v="58"/>
    <x v="3"/>
    <x v="1"/>
    <x v="1"/>
    <n v="7"/>
    <n v="69.58"/>
    <x v="1"/>
    <n v="8"/>
    <n v="3"/>
    <x v="1"/>
    <d v="2023-04-17T00:00:00"/>
  </r>
  <r>
    <s v="CUST0200"/>
    <s v="Female"/>
    <n v="37"/>
    <x v="3"/>
    <x v="0"/>
    <x v="2"/>
    <n v="61"/>
    <n v="88.61"/>
    <x v="3"/>
    <n v="4"/>
    <n v="2"/>
    <x v="1"/>
    <d v="2021-04-29T00:00:00"/>
  </r>
  <r>
    <s v="CUST0201"/>
    <s v="Male"/>
    <n v="44"/>
    <x v="2"/>
    <x v="2"/>
    <x v="0"/>
    <n v="33"/>
    <n v="33.049999999999997"/>
    <x v="0"/>
    <n v="7"/>
    <n v="3"/>
    <x v="0"/>
    <d v="2025-01-23T00:00:00"/>
  </r>
  <r>
    <s v="CUST0202"/>
    <s v="Female"/>
    <n v="21"/>
    <x v="0"/>
    <x v="2"/>
    <x v="2"/>
    <n v="6"/>
    <n v="98.1"/>
    <x v="3"/>
    <n v="8"/>
    <n v="2"/>
    <x v="1"/>
    <d v="2025-11-16T00:00:00"/>
  </r>
  <r>
    <s v="CUST0203"/>
    <s v="Male"/>
    <n v="37"/>
    <x v="1"/>
    <x v="0"/>
    <x v="0"/>
    <n v="16"/>
    <n v="41.2"/>
    <x v="1"/>
    <n v="3"/>
    <n v="5"/>
    <x v="1"/>
    <d v="2023-03-24T00:00:00"/>
  </r>
  <r>
    <s v="CUST0204"/>
    <s v="Female"/>
    <n v="53"/>
    <x v="0"/>
    <x v="2"/>
    <x v="1"/>
    <n v="60"/>
    <n v="63"/>
    <x v="2"/>
    <n v="4"/>
    <n v="3"/>
    <x v="1"/>
    <d v="2023-10-16T00:00:00"/>
  </r>
  <r>
    <s v="CUST0205"/>
    <s v="Male"/>
    <n v="24"/>
    <x v="3"/>
    <x v="2"/>
    <x v="0"/>
    <n v="48"/>
    <n v="34.69"/>
    <x v="0"/>
    <n v="3"/>
    <n v="2"/>
    <x v="0"/>
    <d v="2024-02-08T00:00:00"/>
  </r>
  <r>
    <s v="CUST0206"/>
    <s v="Male"/>
    <n v="36"/>
    <x v="2"/>
    <x v="0"/>
    <x v="1"/>
    <n v="30"/>
    <n v="60.7"/>
    <x v="3"/>
    <n v="7"/>
    <n v="5"/>
    <x v="1"/>
    <d v="2024-11-03T00:00:00"/>
  </r>
  <r>
    <s v="CUST0207"/>
    <s v="Male"/>
    <n v="34"/>
    <x v="3"/>
    <x v="1"/>
    <x v="2"/>
    <n v="63"/>
    <n v="91.91"/>
    <x v="2"/>
    <n v="2"/>
    <n v="2"/>
    <x v="1"/>
    <d v="2023-09-28T00:00:00"/>
  </r>
  <r>
    <s v="CUST0208"/>
    <s v="Female"/>
    <n v="52"/>
    <x v="1"/>
    <x v="1"/>
    <x v="0"/>
    <n v="10"/>
    <n v="44.18"/>
    <x v="0"/>
    <n v="0"/>
    <n v="4"/>
    <x v="0"/>
    <d v="2024-07-15T00:00:00"/>
  </r>
  <r>
    <s v="CUST0209"/>
    <s v="Female"/>
    <n v="22"/>
    <x v="2"/>
    <x v="0"/>
    <x v="0"/>
    <n v="65"/>
    <n v="36.840000000000003"/>
    <x v="0"/>
    <n v="7"/>
    <n v="4"/>
    <x v="0"/>
    <d v="2023-12-26T00:00:00"/>
  </r>
  <r>
    <s v="CUST0210"/>
    <s v="Male"/>
    <n v="18"/>
    <x v="1"/>
    <x v="1"/>
    <x v="2"/>
    <n v="36"/>
    <n v="93.04"/>
    <x v="2"/>
    <n v="0"/>
    <n v="5"/>
    <x v="1"/>
    <d v="2024-10-12T00:00:00"/>
  </r>
  <r>
    <s v="CUST0211"/>
    <s v="Male"/>
    <n v="69"/>
    <x v="2"/>
    <x v="0"/>
    <x v="0"/>
    <n v="68"/>
    <n v="32.229999999999997"/>
    <x v="3"/>
    <n v="8"/>
    <n v="3"/>
    <x v="1"/>
    <d v="2022-07-02T00:00:00"/>
  </r>
  <r>
    <s v="CUST0212"/>
    <s v="Male"/>
    <n v="23"/>
    <x v="0"/>
    <x v="2"/>
    <x v="1"/>
    <n v="32"/>
    <n v="69.849999999999994"/>
    <x v="3"/>
    <n v="4"/>
    <n v="1"/>
    <x v="1"/>
    <d v="2025-10-24T00:00:00"/>
  </r>
  <r>
    <s v="CUST0213"/>
    <s v="Female"/>
    <n v="23"/>
    <x v="3"/>
    <x v="2"/>
    <x v="1"/>
    <n v="71"/>
    <n v="62.14"/>
    <x v="0"/>
    <n v="2"/>
    <n v="1"/>
    <x v="1"/>
    <d v="2023-06-08T00:00:00"/>
  </r>
  <r>
    <s v="CUST0214"/>
    <s v="Male"/>
    <n v="54"/>
    <x v="1"/>
    <x v="1"/>
    <x v="0"/>
    <n v="30"/>
    <n v="33.17"/>
    <x v="1"/>
    <n v="4"/>
    <n v="1"/>
    <x v="1"/>
    <d v="2024-11-02T00:00:00"/>
  </r>
  <r>
    <s v="CUST0215"/>
    <s v="Male"/>
    <n v="52"/>
    <x v="1"/>
    <x v="0"/>
    <x v="1"/>
    <n v="3"/>
    <n v="69.42"/>
    <x v="3"/>
    <n v="6"/>
    <n v="1"/>
    <x v="0"/>
    <d v="2024-02-29T00:00:00"/>
  </r>
  <r>
    <s v="CUST0216"/>
    <s v="Female"/>
    <n v="54"/>
    <x v="3"/>
    <x v="1"/>
    <x v="2"/>
    <n v="43"/>
    <n v="90.76"/>
    <x v="3"/>
    <n v="1"/>
    <n v="5"/>
    <x v="1"/>
    <d v="2022-12-10T00:00:00"/>
  </r>
  <r>
    <s v="CUST0217"/>
    <s v="Female"/>
    <n v="24"/>
    <x v="3"/>
    <x v="0"/>
    <x v="0"/>
    <n v="44"/>
    <n v="39.08"/>
    <x v="1"/>
    <n v="5"/>
    <n v="1"/>
    <x v="1"/>
    <d v="2025-05-24T00:00:00"/>
  </r>
  <r>
    <s v="CUST0218"/>
    <s v="Male"/>
    <n v="49"/>
    <x v="2"/>
    <x v="2"/>
    <x v="2"/>
    <n v="49"/>
    <n v="91.48"/>
    <x v="1"/>
    <n v="1"/>
    <n v="5"/>
    <x v="1"/>
    <d v="2022-05-20T00:00:00"/>
  </r>
  <r>
    <s v="CUST0219"/>
    <s v="Female"/>
    <n v="23"/>
    <x v="0"/>
    <x v="0"/>
    <x v="1"/>
    <n v="20"/>
    <n v="66.09"/>
    <x v="2"/>
    <n v="5"/>
    <n v="1"/>
    <x v="0"/>
    <d v="2022-09-24T00:00:00"/>
  </r>
  <r>
    <s v="CUST0220"/>
    <s v="Male"/>
    <n v="41"/>
    <x v="0"/>
    <x v="0"/>
    <x v="0"/>
    <n v="12"/>
    <n v="32.81"/>
    <x v="1"/>
    <n v="8"/>
    <n v="5"/>
    <x v="1"/>
    <d v="2021-07-31T00:00:00"/>
  </r>
  <r>
    <s v="CUST0221"/>
    <s v="Female"/>
    <n v="23"/>
    <x v="0"/>
    <x v="1"/>
    <x v="0"/>
    <n v="42"/>
    <n v="42.96"/>
    <x v="0"/>
    <n v="4"/>
    <n v="4"/>
    <x v="1"/>
    <d v="2021-06-23T00:00:00"/>
  </r>
  <r>
    <s v="CUST0222"/>
    <s v="Female"/>
    <n v="54"/>
    <x v="2"/>
    <x v="1"/>
    <x v="1"/>
    <n v="22"/>
    <n v="57.08"/>
    <x v="2"/>
    <n v="4"/>
    <n v="4"/>
    <x v="1"/>
    <d v="2021-12-09T00:00:00"/>
  </r>
  <r>
    <s v="CUST0223"/>
    <s v="Male"/>
    <n v="35"/>
    <x v="3"/>
    <x v="2"/>
    <x v="1"/>
    <n v="10"/>
    <n v="60.42"/>
    <x v="3"/>
    <n v="7"/>
    <n v="5"/>
    <x v="1"/>
    <d v="2023-07-27T00:00:00"/>
  </r>
  <r>
    <s v="CUST0224"/>
    <s v="Female"/>
    <n v="26"/>
    <x v="0"/>
    <x v="0"/>
    <x v="1"/>
    <n v="43"/>
    <n v="67.62"/>
    <x v="1"/>
    <n v="5"/>
    <n v="4"/>
    <x v="1"/>
    <d v="2025-07-29T00:00:00"/>
  </r>
  <r>
    <s v="CUST0225"/>
    <s v="Female"/>
    <n v="37"/>
    <x v="0"/>
    <x v="1"/>
    <x v="2"/>
    <n v="26"/>
    <n v="92.19"/>
    <x v="3"/>
    <n v="6"/>
    <n v="3"/>
    <x v="1"/>
    <d v="2024-11-24T00:00:00"/>
  </r>
  <r>
    <s v="CUST0226"/>
    <s v="Male"/>
    <n v="54"/>
    <x v="2"/>
    <x v="2"/>
    <x v="1"/>
    <n v="36"/>
    <n v="67.25"/>
    <x v="1"/>
    <n v="5"/>
    <n v="1"/>
    <x v="1"/>
    <d v="2022-02-14T00:00:00"/>
  </r>
  <r>
    <s v="CUST0227"/>
    <s v="Female"/>
    <n v="61"/>
    <x v="1"/>
    <x v="1"/>
    <x v="1"/>
    <n v="27"/>
    <n v="61.58"/>
    <x v="2"/>
    <n v="1"/>
    <n v="4"/>
    <x v="1"/>
    <d v="2021-10-13T00:00:00"/>
  </r>
  <r>
    <s v="CUST0228"/>
    <s v="Male"/>
    <n v="33"/>
    <x v="0"/>
    <x v="1"/>
    <x v="0"/>
    <n v="55"/>
    <n v="41.84"/>
    <x v="0"/>
    <n v="7"/>
    <n v="5"/>
    <x v="1"/>
    <d v="2023-04-01T00:00:00"/>
  </r>
  <r>
    <s v="CUST0229"/>
    <s v="Male"/>
    <n v="52"/>
    <x v="1"/>
    <x v="2"/>
    <x v="2"/>
    <n v="69"/>
    <n v="93.91"/>
    <x v="0"/>
    <n v="1"/>
    <n v="2"/>
    <x v="1"/>
    <d v="2022-12-29T00:00:00"/>
  </r>
  <r>
    <s v="CUST0230"/>
    <s v="Female"/>
    <n v="59"/>
    <x v="1"/>
    <x v="1"/>
    <x v="2"/>
    <n v="52"/>
    <n v="99.5"/>
    <x v="2"/>
    <n v="6"/>
    <n v="1"/>
    <x v="0"/>
    <d v="2022-06-14T00:00:00"/>
  </r>
  <r>
    <s v="CUST0231"/>
    <s v="Female"/>
    <n v="50"/>
    <x v="2"/>
    <x v="2"/>
    <x v="1"/>
    <n v="51"/>
    <n v="61.95"/>
    <x v="3"/>
    <n v="5"/>
    <n v="1"/>
    <x v="1"/>
    <d v="2022-08-29T00:00:00"/>
  </r>
  <r>
    <s v="CUST0232"/>
    <s v="Male"/>
    <n v="23"/>
    <x v="1"/>
    <x v="1"/>
    <x v="0"/>
    <n v="45"/>
    <n v="34.68"/>
    <x v="1"/>
    <n v="3"/>
    <n v="5"/>
    <x v="1"/>
    <d v="2023-09-03T00:00:00"/>
  </r>
  <r>
    <s v="CUST0233"/>
    <s v="Female"/>
    <n v="46"/>
    <x v="3"/>
    <x v="2"/>
    <x v="0"/>
    <n v="39"/>
    <n v="30.67"/>
    <x v="0"/>
    <n v="0"/>
    <n v="3"/>
    <x v="1"/>
    <d v="2024-10-18T00:00:00"/>
  </r>
  <r>
    <s v="CUST0234"/>
    <s v="Female"/>
    <n v="65"/>
    <x v="2"/>
    <x v="1"/>
    <x v="0"/>
    <n v="71"/>
    <n v="32.4"/>
    <x v="1"/>
    <n v="7"/>
    <n v="2"/>
    <x v="1"/>
    <d v="2024-07-13T00:00:00"/>
  </r>
  <r>
    <s v="CUST0235"/>
    <s v="Female"/>
    <n v="29"/>
    <x v="3"/>
    <x v="2"/>
    <x v="0"/>
    <n v="26"/>
    <n v="36.74"/>
    <x v="1"/>
    <n v="6"/>
    <n v="1"/>
    <x v="1"/>
    <d v="2022-02-26T00:00:00"/>
  </r>
  <r>
    <s v="CUST0236"/>
    <s v="Male"/>
    <n v="66"/>
    <x v="1"/>
    <x v="1"/>
    <x v="0"/>
    <n v="69"/>
    <n v="32.799999999999997"/>
    <x v="2"/>
    <n v="3"/>
    <n v="4"/>
    <x v="1"/>
    <d v="2024-10-05T00:00:00"/>
  </r>
  <r>
    <s v="CUST0237"/>
    <s v="Male"/>
    <n v="51"/>
    <x v="0"/>
    <x v="1"/>
    <x v="1"/>
    <n v="51"/>
    <n v="63.81"/>
    <x v="2"/>
    <n v="5"/>
    <n v="4"/>
    <x v="1"/>
    <d v="2025-07-25T00:00:00"/>
  </r>
  <r>
    <s v="CUST0238"/>
    <s v="Male"/>
    <n v="57"/>
    <x v="1"/>
    <x v="1"/>
    <x v="0"/>
    <n v="41"/>
    <n v="31.77"/>
    <x v="2"/>
    <n v="1"/>
    <n v="2"/>
    <x v="1"/>
    <d v="2021-10-17T00:00:00"/>
  </r>
  <r>
    <s v="CUST0239"/>
    <s v="Male"/>
    <n v="44"/>
    <x v="2"/>
    <x v="1"/>
    <x v="1"/>
    <n v="55"/>
    <n v="57.79"/>
    <x v="3"/>
    <n v="8"/>
    <n v="2"/>
    <x v="1"/>
    <d v="2021-10-15T00:00:00"/>
  </r>
  <r>
    <s v="CUST0240"/>
    <s v="Female"/>
    <n v="38"/>
    <x v="3"/>
    <x v="1"/>
    <x v="0"/>
    <n v="46"/>
    <n v="44.28"/>
    <x v="1"/>
    <n v="2"/>
    <n v="2"/>
    <x v="1"/>
    <d v="2024-02-25T00:00:00"/>
  </r>
  <r>
    <s v="CUST0241"/>
    <s v="Male"/>
    <n v="44"/>
    <x v="3"/>
    <x v="2"/>
    <x v="2"/>
    <n v="57"/>
    <n v="92.33"/>
    <x v="0"/>
    <n v="0"/>
    <n v="2"/>
    <x v="1"/>
    <d v="2022-07-17T00:00:00"/>
  </r>
  <r>
    <s v="CUST0242"/>
    <s v="Female"/>
    <n v="52"/>
    <x v="0"/>
    <x v="0"/>
    <x v="1"/>
    <n v="64"/>
    <n v="63.25"/>
    <x v="0"/>
    <n v="1"/>
    <n v="3"/>
    <x v="1"/>
    <d v="2025-08-14T00:00:00"/>
  </r>
  <r>
    <s v="CUST0243"/>
    <s v="Male"/>
    <n v="52"/>
    <x v="1"/>
    <x v="1"/>
    <x v="1"/>
    <n v="70"/>
    <n v="58.28"/>
    <x v="1"/>
    <n v="1"/>
    <n v="2"/>
    <x v="1"/>
    <d v="2021-03-08T00:00:00"/>
  </r>
  <r>
    <s v="CUST0244"/>
    <s v="Male"/>
    <n v="34"/>
    <x v="0"/>
    <x v="0"/>
    <x v="1"/>
    <n v="16"/>
    <n v="66.63"/>
    <x v="3"/>
    <n v="3"/>
    <n v="5"/>
    <x v="1"/>
    <d v="2025-10-30T00:00:00"/>
  </r>
  <r>
    <s v="CUST0245"/>
    <s v="Male"/>
    <n v="28"/>
    <x v="2"/>
    <x v="0"/>
    <x v="0"/>
    <n v="8"/>
    <n v="38.549999999999997"/>
    <x v="2"/>
    <n v="8"/>
    <n v="2"/>
    <x v="0"/>
    <d v="2024-12-12T00:00:00"/>
  </r>
  <r>
    <s v="CUST0246"/>
    <s v="Male"/>
    <n v="36"/>
    <x v="0"/>
    <x v="1"/>
    <x v="2"/>
    <n v="13"/>
    <n v="87.03"/>
    <x v="1"/>
    <n v="0"/>
    <n v="3"/>
    <x v="1"/>
    <d v="2021-09-17T00:00:00"/>
  </r>
  <r>
    <s v="CUST0247"/>
    <s v="Female"/>
    <n v="33"/>
    <x v="2"/>
    <x v="1"/>
    <x v="1"/>
    <n v="32"/>
    <n v="66.42"/>
    <x v="1"/>
    <n v="7"/>
    <n v="2"/>
    <x v="1"/>
    <d v="2022-07-05T00:00:00"/>
  </r>
  <r>
    <s v="CUST0248"/>
    <s v="Male"/>
    <n v="42"/>
    <x v="3"/>
    <x v="0"/>
    <x v="2"/>
    <n v="12"/>
    <n v="91.04"/>
    <x v="2"/>
    <n v="5"/>
    <n v="4"/>
    <x v="1"/>
    <d v="2022-11-02T00:00:00"/>
  </r>
  <r>
    <s v="CUST0249"/>
    <s v="Female"/>
    <n v="67"/>
    <x v="1"/>
    <x v="1"/>
    <x v="1"/>
    <n v="46"/>
    <n v="67.75"/>
    <x v="1"/>
    <n v="3"/>
    <n v="4"/>
    <x v="1"/>
    <d v="2023-10-11T00:00:00"/>
  </r>
  <r>
    <s v="CUST0250"/>
    <s v="Male"/>
    <n v="38"/>
    <x v="0"/>
    <x v="2"/>
    <x v="2"/>
    <n v="17"/>
    <n v="93.49"/>
    <x v="1"/>
    <n v="5"/>
    <n v="1"/>
    <x v="0"/>
    <d v="2024-07-06T00:00:00"/>
  </r>
  <r>
    <s v="CUST0251"/>
    <s v="Male"/>
    <n v="19"/>
    <x v="1"/>
    <x v="0"/>
    <x v="1"/>
    <n v="59"/>
    <n v="55.01"/>
    <x v="1"/>
    <n v="3"/>
    <n v="2"/>
    <x v="1"/>
    <d v="2022-09-11T00:00:00"/>
  </r>
  <r>
    <s v="CUST0252"/>
    <s v="Female"/>
    <n v="35"/>
    <x v="1"/>
    <x v="1"/>
    <x v="1"/>
    <n v="33"/>
    <n v="56.24"/>
    <x v="3"/>
    <n v="0"/>
    <n v="4"/>
    <x v="1"/>
    <d v="2025-01-26T00:00:00"/>
  </r>
  <r>
    <s v="CUST0253"/>
    <s v="Female"/>
    <n v="45"/>
    <x v="1"/>
    <x v="1"/>
    <x v="0"/>
    <n v="1"/>
    <n v="33.200000000000003"/>
    <x v="0"/>
    <n v="2"/>
    <n v="5"/>
    <x v="1"/>
    <d v="2024-10-24T00:00:00"/>
  </r>
  <r>
    <s v="CUST0254"/>
    <s v="Male"/>
    <n v="18"/>
    <x v="1"/>
    <x v="1"/>
    <x v="1"/>
    <n v="16"/>
    <n v="69.819999999999993"/>
    <x v="1"/>
    <n v="2"/>
    <n v="4"/>
    <x v="0"/>
    <d v="2023-02-24T00:00:00"/>
  </r>
  <r>
    <s v="CUST0255"/>
    <s v="Female"/>
    <n v="64"/>
    <x v="1"/>
    <x v="0"/>
    <x v="1"/>
    <n v="48"/>
    <n v="68.209999999999994"/>
    <x v="3"/>
    <n v="6"/>
    <n v="2"/>
    <x v="1"/>
    <d v="2024-10-18T00:00:00"/>
  </r>
  <r>
    <s v="CUST0256"/>
    <s v="Female"/>
    <n v="22"/>
    <x v="1"/>
    <x v="1"/>
    <x v="2"/>
    <n v="22"/>
    <n v="91.6"/>
    <x v="3"/>
    <n v="2"/>
    <n v="4"/>
    <x v="1"/>
    <d v="2023-06-26T00:00:00"/>
  </r>
  <r>
    <s v="CUST0257"/>
    <s v="Female"/>
    <n v="23"/>
    <x v="1"/>
    <x v="0"/>
    <x v="0"/>
    <n v="50"/>
    <n v="35.270000000000003"/>
    <x v="1"/>
    <n v="5"/>
    <n v="2"/>
    <x v="0"/>
    <d v="2024-08-13T00:00:00"/>
  </r>
  <r>
    <s v="CUST0258"/>
    <s v="Female"/>
    <n v="33"/>
    <x v="0"/>
    <x v="1"/>
    <x v="0"/>
    <n v="39"/>
    <n v="33.08"/>
    <x v="3"/>
    <n v="6"/>
    <n v="3"/>
    <x v="1"/>
    <d v="2025-05-25T00:00:00"/>
  </r>
  <r>
    <s v="CUST0259"/>
    <s v="Female"/>
    <n v="49"/>
    <x v="3"/>
    <x v="0"/>
    <x v="0"/>
    <n v="64"/>
    <n v="39.57"/>
    <x v="0"/>
    <n v="8"/>
    <n v="1"/>
    <x v="1"/>
    <d v="2022-10-11T00:00:00"/>
  </r>
  <r>
    <s v="CUST0260"/>
    <s v="Female"/>
    <n v="42"/>
    <x v="3"/>
    <x v="2"/>
    <x v="2"/>
    <n v="23"/>
    <n v="96.44"/>
    <x v="0"/>
    <n v="0"/>
    <n v="5"/>
    <x v="0"/>
    <d v="2022-06-21T00:00:00"/>
  </r>
  <r>
    <s v="CUST0261"/>
    <s v="Female"/>
    <n v="20"/>
    <x v="1"/>
    <x v="2"/>
    <x v="2"/>
    <n v="37"/>
    <n v="94.43"/>
    <x v="1"/>
    <n v="6"/>
    <n v="4"/>
    <x v="0"/>
    <d v="2024-01-04T00:00:00"/>
  </r>
  <r>
    <s v="CUST0262"/>
    <s v="Female"/>
    <n v="35"/>
    <x v="1"/>
    <x v="2"/>
    <x v="0"/>
    <n v="66"/>
    <n v="43.81"/>
    <x v="3"/>
    <n v="8"/>
    <n v="3"/>
    <x v="1"/>
    <d v="2024-07-23T00:00:00"/>
  </r>
  <r>
    <s v="CUST0263"/>
    <s v="Female"/>
    <n v="37"/>
    <x v="3"/>
    <x v="1"/>
    <x v="0"/>
    <n v="8"/>
    <n v="33.67"/>
    <x v="1"/>
    <n v="1"/>
    <n v="4"/>
    <x v="1"/>
    <d v="2021-04-23T00:00:00"/>
  </r>
  <r>
    <s v="CUST0264"/>
    <s v="Male"/>
    <n v="60"/>
    <x v="2"/>
    <x v="0"/>
    <x v="0"/>
    <n v="18"/>
    <n v="40.520000000000003"/>
    <x v="3"/>
    <n v="7"/>
    <n v="3"/>
    <x v="1"/>
    <d v="2025-05-23T00:00:00"/>
  </r>
  <r>
    <s v="CUST0265"/>
    <s v="Male"/>
    <n v="28"/>
    <x v="0"/>
    <x v="0"/>
    <x v="2"/>
    <n v="35"/>
    <n v="95.99"/>
    <x v="0"/>
    <n v="0"/>
    <n v="3"/>
    <x v="1"/>
    <d v="2022-07-12T00:00:00"/>
  </r>
  <r>
    <s v="CUST0266"/>
    <s v="Female"/>
    <n v="34"/>
    <x v="1"/>
    <x v="2"/>
    <x v="1"/>
    <n v="66"/>
    <n v="60.4"/>
    <x v="1"/>
    <n v="2"/>
    <n v="3"/>
    <x v="1"/>
    <d v="2025-05-03T00:00:00"/>
  </r>
  <r>
    <s v="CUST0267"/>
    <s v="Female"/>
    <n v="54"/>
    <x v="1"/>
    <x v="0"/>
    <x v="2"/>
    <n v="66"/>
    <n v="85.04"/>
    <x v="0"/>
    <n v="3"/>
    <n v="1"/>
    <x v="1"/>
    <d v="2023-02-24T00:00:00"/>
  </r>
  <r>
    <s v="CUST0268"/>
    <s v="Female"/>
    <n v="29"/>
    <x v="1"/>
    <x v="1"/>
    <x v="2"/>
    <n v="54"/>
    <n v="88.37"/>
    <x v="3"/>
    <n v="6"/>
    <n v="3"/>
    <x v="1"/>
    <d v="2021-06-09T00:00:00"/>
  </r>
  <r>
    <s v="CUST0269"/>
    <s v="Male"/>
    <n v="25"/>
    <x v="1"/>
    <x v="0"/>
    <x v="0"/>
    <n v="67"/>
    <n v="44.72"/>
    <x v="1"/>
    <n v="1"/>
    <n v="4"/>
    <x v="1"/>
    <d v="2025-05-04T00:00:00"/>
  </r>
  <r>
    <s v="CUST0270"/>
    <s v="Male"/>
    <n v="38"/>
    <x v="1"/>
    <x v="1"/>
    <x v="1"/>
    <n v="2"/>
    <n v="60.53"/>
    <x v="2"/>
    <n v="4"/>
    <n v="5"/>
    <x v="1"/>
    <d v="2023-01-25T00:00:00"/>
  </r>
  <r>
    <s v="CUST0271"/>
    <s v="Male"/>
    <n v="67"/>
    <x v="2"/>
    <x v="1"/>
    <x v="2"/>
    <n v="32"/>
    <n v="87.26"/>
    <x v="1"/>
    <n v="0"/>
    <n v="2"/>
    <x v="1"/>
    <d v="2024-07-26T00:00:00"/>
  </r>
  <r>
    <s v="CUST0272"/>
    <s v="Female"/>
    <n v="39"/>
    <x v="1"/>
    <x v="1"/>
    <x v="1"/>
    <n v="40"/>
    <n v="56.56"/>
    <x v="3"/>
    <n v="6"/>
    <n v="4"/>
    <x v="1"/>
    <d v="2021-10-19T00:00:00"/>
  </r>
  <r>
    <s v="CUST0273"/>
    <s v="Male"/>
    <n v="23"/>
    <x v="1"/>
    <x v="0"/>
    <x v="2"/>
    <n v="53"/>
    <n v="95.51"/>
    <x v="2"/>
    <n v="7"/>
    <n v="1"/>
    <x v="1"/>
    <d v="2023-11-02T00:00:00"/>
  </r>
  <r>
    <s v="CUST0274"/>
    <s v="Female"/>
    <n v="58"/>
    <x v="3"/>
    <x v="0"/>
    <x v="2"/>
    <n v="8"/>
    <n v="91.52"/>
    <x v="3"/>
    <n v="3"/>
    <n v="3"/>
    <x v="0"/>
    <d v="2022-10-08T00:00:00"/>
  </r>
  <r>
    <s v="CUST0275"/>
    <s v="Male"/>
    <n v="62"/>
    <x v="0"/>
    <x v="2"/>
    <x v="1"/>
    <n v="35"/>
    <n v="58.5"/>
    <x v="3"/>
    <n v="2"/>
    <n v="5"/>
    <x v="0"/>
    <d v="2021-08-05T00:00:00"/>
  </r>
  <r>
    <s v="CUST0276"/>
    <s v="Female"/>
    <n v="46"/>
    <x v="3"/>
    <x v="2"/>
    <x v="1"/>
    <n v="16"/>
    <n v="63.04"/>
    <x v="3"/>
    <n v="7"/>
    <n v="3"/>
    <x v="1"/>
    <d v="2025-10-12T00:00:00"/>
  </r>
  <r>
    <s v="CUST0277"/>
    <s v="Female"/>
    <n v="23"/>
    <x v="2"/>
    <x v="1"/>
    <x v="1"/>
    <n v="6"/>
    <n v="58.23"/>
    <x v="2"/>
    <n v="2"/>
    <n v="1"/>
    <x v="1"/>
    <d v="2022-12-30T00:00:00"/>
  </r>
  <r>
    <s v="CUST0278"/>
    <s v="Male"/>
    <n v="50"/>
    <x v="1"/>
    <x v="1"/>
    <x v="1"/>
    <n v="34"/>
    <n v="67.3"/>
    <x v="3"/>
    <n v="0"/>
    <n v="4"/>
    <x v="1"/>
    <d v="2024-02-13T00:00:00"/>
  </r>
  <r>
    <s v="CUST0279"/>
    <s v="Female"/>
    <n v="24"/>
    <x v="3"/>
    <x v="0"/>
    <x v="0"/>
    <n v="16"/>
    <n v="30.18"/>
    <x v="3"/>
    <n v="2"/>
    <n v="2"/>
    <x v="1"/>
    <d v="2023-02-02T00:00:00"/>
  </r>
  <r>
    <s v="CUST0280"/>
    <s v="Female"/>
    <n v="55"/>
    <x v="0"/>
    <x v="0"/>
    <x v="0"/>
    <n v="9"/>
    <n v="32.97"/>
    <x v="1"/>
    <n v="2"/>
    <n v="1"/>
    <x v="1"/>
    <d v="2025-08-26T00:00:00"/>
  </r>
  <r>
    <s v="CUST0281"/>
    <s v="Male"/>
    <n v="25"/>
    <x v="1"/>
    <x v="2"/>
    <x v="0"/>
    <n v="22"/>
    <n v="43.86"/>
    <x v="1"/>
    <n v="6"/>
    <n v="4"/>
    <x v="0"/>
    <d v="2024-10-31T00:00:00"/>
  </r>
  <r>
    <s v="CUST0282"/>
    <s v="Male"/>
    <n v="29"/>
    <x v="0"/>
    <x v="0"/>
    <x v="0"/>
    <n v="36"/>
    <n v="34.200000000000003"/>
    <x v="3"/>
    <n v="0"/>
    <n v="5"/>
    <x v="1"/>
    <d v="2022-05-19T00:00:00"/>
  </r>
  <r>
    <s v="CUST0283"/>
    <s v="Male"/>
    <n v="49"/>
    <x v="3"/>
    <x v="1"/>
    <x v="1"/>
    <n v="8"/>
    <n v="56.32"/>
    <x v="1"/>
    <n v="2"/>
    <n v="4"/>
    <x v="1"/>
    <d v="2025-06-21T00:00:00"/>
  </r>
  <r>
    <s v="CUST0284"/>
    <s v="Female"/>
    <n v="58"/>
    <x v="1"/>
    <x v="2"/>
    <x v="2"/>
    <n v="46"/>
    <n v="92.2"/>
    <x v="1"/>
    <n v="5"/>
    <n v="5"/>
    <x v="1"/>
    <d v="2023-03-07T00:00:00"/>
  </r>
  <r>
    <s v="CUST0285"/>
    <s v="Male"/>
    <n v="29"/>
    <x v="1"/>
    <x v="2"/>
    <x v="2"/>
    <n v="29"/>
    <n v="85.44"/>
    <x v="2"/>
    <n v="0"/>
    <n v="4"/>
    <x v="1"/>
    <d v="2025-04-20T00:00:00"/>
  </r>
  <r>
    <s v="CUST0286"/>
    <s v="Female"/>
    <n v="28"/>
    <x v="1"/>
    <x v="0"/>
    <x v="2"/>
    <n v="31"/>
    <n v="89"/>
    <x v="0"/>
    <n v="3"/>
    <n v="5"/>
    <x v="1"/>
    <d v="2025-06-22T00:00:00"/>
  </r>
  <r>
    <s v="CUST0287"/>
    <s v="Male"/>
    <n v="40"/>
    <x v="2"/>
    <x v="0"/>
    <x v="0"/>
    <n v="41"/>
    <n v="42.09"/>
    <x v="2"/>
    <n v="0"/>
    <n v="3"/>
    <x v="1"/>
    <d v="2024-02-29T00:00:00"/>
  </r>
  <r>
    <s v="CUST0288"/>
    <s v="Female"/>
    <n v="54"/>
    <x v="2"/>
    <x v="2"/>
    <x v="2"/>
    <n v="40"/>
    <n v="87.63"/>
    <x v="0"/>
    <n v="1"/>
    <n v="1"/>
    <x v="1"/>
    <d v="2022-03-25T00:00:00"/>
  </r>
  <r>
    <s v="CUST0289"/>
    <s v="Female"/>
    <n v="51"/>
    <x v="3"/>
    <x v="0"/>
    <x v="1"/>
    <n v="26"/>
    <n v="67.099999999999994"/>
    <x v="2"/>
    <n v="2"/>
    <n v="3"/>
    <x v="0"/>
    <d v="2021-10-30T00:00:00"/>
  </r>
  <r>
    <s v="CUST0290"/>
    <s v="Female"/>
    <n v="67"/>
    <x v="1"/>
    <x v="1"/>
    <x v="1"/>
    <n v="10"/>
    <n v="60.6"/>
    <x v="1"/>
    <n v="1"/>
    <n v="3"/>
    <x v="1"/>
    <d v="2021-10-07T00:00:00"/>
  </r>
  <r>
    <s v="CUST0291"/>
    <s v="Female"/>
    <n v="64"/>
    <x v="3"/>
    <x v="1"/>
    <x v="1"/>
    <n v="41"/>
    <n v="57.61"/>
    <x v="2"/>
    <n v="3"/>
    <n v="5"/>
    <x v="1"/>
    <d v="2023-02-14T00:00:00"/>
  </r>
  <r>
    <s v="CUST0292"/>
    <s v="Male"/>
    <n v="64"/>
    <x v="0"/>
    <x v="0"/>
    <x v="0"/>
    <n v="1"/>
    <n v="44.23"/>
    <x v="1"/>
    <n v="0"/>
    <n v="2"/>
    <x v="1"/>
    <d v="2025-07-15T00:00:00"/>
  </r>
  <r>
    <s v="CUST0293"/>
    <s v="Female"/>
    <n v="58"/>
    <x v="1"/>
    <x v="2"/>
    <x v="0"/>
    <n v="43"/>
    <n v="41.18"/>
    <x v="3"/>
    <n v="5"/>
    <n v="3"/>
    <x v="0"/>
    <d v="2021-07-01T00:00:00"/>
  </r>
  <r>
    <s v="CUST0294"/>
    <s v="Male"/>
    <n v="46"/>
    <x v="1"/>
    <x v="2"/>
    <x v="0"/>
    <n v="32"/>
    <n v="40.4"/>
    <x v="2"/>
    <n v="4"/>
    <n v="1"/>
    <x v="1"/>
    <d v="2021-04-09T00:00:00"/>
  </r>
  <r>
    <s v="CUST0295"/>
    <s v="Male"/>
    <n v="46"/>
    <x v="3"/>
    <x v="0"/>
    <x v="1"/>
    <n v="64"/>
    <n v="68.23"/>
    <x v="2"/>
    <n v="8"/>
    <n v="4"/>
    <x v="0"/>
    <d v="2023-09-09T00:00:00"/>
  </r>
  <r>
    <s v="CUST0296"/>
    <s v="Female"/>
    <n v="28"/>
    <x v="3"/>
    <x v="0"/>
    <x v="0"/>
    <n v="38"/>
    <n v="30.3"/>
    <x v="2"/>
    <n v="1"/>
    <n v="1"/>
    <x v="1"/>
    <d v="2023-02-08T00:00:00"/>
  </r>
  <r>
    <s v="CUST0297"/>
    <s v="Female"/>
    <n v="64"/>
    <x v="1"/>
    <x v="1"/>
    <x v="0"/>
    <n v="44"/>
    <n v="38.909999999999997"/>
    <x v="1"/>
    <n v="0"/>
    <n v="4"/>
    <x v="1"/>
    <d v="2021-12-04T00:00:00"/>
  </r>
  <r>
    <s v="CUST0298"/>
    <s v="Male"/>
    <n v="28"/>
    <x v="1"/>
    <x v="0"/>
    <x v="1"/>
    <n v="27"/>
    <n v="69.62"/>
    <x v="1"/>
    <n v="8"/>
    <n v="5"/>
    <x v="0"/>
    <d v="2022-07-31T00:00:00"/>
  </r>
  <r>
    <s v="CUST0299"/>
    <s v="Male"/>
    <n v="33"/>
    <x v="1"/>
    <x v="0"/>
    <x v="1"/>
    <n v="71"/>
    <n v="67.599999999999994"/>
    <x v="3"/>
    <n v="0"/>
    <n v="3"/>
    <x v="0"/>
    <d v="2021-06-29T00:00:00"/>
  </r>
  <r>
    <s v="CUST0300"/>
    <s v="Male"/>
    <n v="70"/>
    <x v="3"/>
    <x v="0"/>
    <x v="0"/>
    <n v="4"/>
    <n v="33.1"/>
    <x v="2"/>
    <n v="1"/>
    <n v="4"/>
    <x v="1"/>
    <d v="2022-09-24T00:00:00"/>
  </r>
  <r>
    <s v="CUST0301"/>
    <s v="Male"/>
    <n v="48"/>
    <x v="3"/>
    <x v="1"/>
    <x v="1"/>
    <n v="12"/>
    <n v="64.63"/>
    <x v="1"/>
    <n v="2"/>
    <n v="3"/>
    <x v="1"/>
    <d v="2023-01-27T00:00:00"/>
  </r>
  <r>
    <s v="CUST0302"/>
    <s v="Female"/>
    <n v="46"/>
    <x v="1"/>
    <x v="2"/>
    <x v="1"/>
    <n v="60"/>
    <n v="58.95"/>
    <x v="2"/>
    <n v="0"/>
    <n v="2"/>
    <x v="1"/>
    <d v="2024-09-28T00:00:00"/>
  </r>
  <r>
    <s v="CUST0303"/>
    <s v="Female"/>
    <n v="23"/>
    <x v="0"/>
    <x v="1"/>
    <x v="1"/>
    <n v="30"/>
    <n v="63.3"/>
    <x v="1"/>
    <n v="8"/>
    <n v="4"/>
    <x v="1"/>
    <d v="2024-11-08T00:00:00"/>
  </r>
  <r>
    <s v="CUST0304"/>
    <s v="Male"/>
    <n v="54"/>
    <x v="2"/>
    <x v="2"/>
    <x v="1"/>
    <n v="11"/>
    <n v="60.92"/>
    <x v="0"/>
    <n v="8"/>
    <n v="5"/>
    <x v="1"/>
    <d v="2025-06-28T00:00:00"/>
  </r>
  <r>
    <s v="CUST0305"/>
    <s v="Female"/>
    <n v="25"/>
    <x v="3"/>
    <x v="0"/>
    <x v="0"/>
    <n v="28"/>
    <n v="42.13"/>
    <x v="3"/>
    <n v="0"/>
    <n v="4"/>
    <x v="0"/>
    <d v="2024-10-31T00:00:00"/>
  </r>
  <r>
    <s v="CUST0306"/>
    <s v="Male"/>
    <n v="30"/>
    <x v="2"/>
    <x v="1"/>
    <x v="1"/>
    <n v="41"/>
    <n v="68.66"/>
    <x v="0"/>
    <n v="1"/>
    <n v="4"/>
    <x v="1"/>
    <d v="2024-02-05T00:00:00"/>
  </r>
  <r>
    <s v="CUST0307"/>
    <s v="Male"/>
    <n v="35"/>
    <x v="3"/>
    <x v="0"/>
    <x v="2"/>
    <n v="67"/>
    <n v="96.73"/>
    <x v="0"/>
    <n v="6"/>
    <n v="2"/>
    <x v="0"/>
    <d v="2024-04-19T00:00:00"/>
  </r>
  <r>
    <s v="CUST0308"/>
    <s v="Female"/>
    <n v="24"/>
    <x v="1"/>
    <x v="2"/>
    <x v="2"/>
    <n v="45"/>
    <n v="98.17"/>
    <x v="2"/>
    <n v="6"/>
    <n v="4"/>
    <x v="1"/>
    <d v="2023-08-27T00:00:00"/>
  </r>
  <r>
    <s v="CUST0309"/>
    <s v="Female"/>
    <n v="29"/>
    <x v="0"/>
    <x v="2"/>
    <x v="0"/>
    <n v="52"/>
    <n v="30.58"/>
    <x v="2"/>
    <n v="3"/>
    <n v="1"/>
    <x v="1"/>
    <d v="2022-07-05T00:00:00"/>
  </r>
  <r>
    <s v="CUST0310"/>
    <s v="Male"/>
    <n v="19"/>
    <x v="0"/>
    <x v="2"/>
    <x v="1"/>
    <n v="36"/>
    <n v="67.64"/>
    <x v="0"/>
    <n v="3"/>
    <n v="2"/>
    <x v="1"/>
    <d v="2025-03-04T00:00:00"/>
  </r>
  <r>
    <s v="CUST0311"/>
    <s v="Male"/>
    <n v="67"/>
    <x v="0"/>
    <x v="2"/>
    <x v="2"/>
    <n v="54"/>
    <n v="94.07"/>
    <x v="0"/>
    <n v="3"/>
    <n v="4"/>
    <x v="1"/>
    <d v="2025-08-15T00:00:00"/>
  </r>
  <r>
    <s v="CUST0312"/>
    <s v="Male"/>
    <n v="65"/>
    <x v="3"/>
    <x v="1"/>
    <x v="1"/>
    <n v="8"/>
    <n v="62.73"/>
    <x v="3"/>
    <n v="1"/>
    <n v="3"/>
    <x v="1"/>
    <d v="2023-04-07T00:00:00"/>
  </r>
  <r>
    <s v="CUST0313"/>
    <s v="Female"/>
    <n v="67"/>
    <x v="1"/>
    <x v="0"/>
    <x v="0"/>
    <n v="26"/>
    <n v="42.55"/>
    <x v="3"/>
    <n v="0"/>
    <n v="4"/>
    <x v="0"/>
    <d v="2023-01-09T00:00:00"/>
  </r>
  <r>
    <s v="CUST0314"/>
    <s v="Female"/>
    <n v="35"/>
    <x v="0"/>
    <x v="2"/>
    <x v="2"/>
    <n v="51"/>
    <n v="94.53"/>
    <x v="0"/>
    <n v="0"/>
    <n v="2"/>
    <x v="1"/>
    <d v="2024-05-01T00:00:00"/>
  </r>
  <r>
    <s v="CUST0315"/>
    <s v="Male"/>
    <n v="29"/>
    <x v="3"/>
    <x v="1"/>
    <x v="2"/>
    <n v="45"/>
    <n v="90.16"/>
    <x v="2"/>
    <n v="1"/>
    <n v="3"/>
    <x v="0"/>
    <d v="2021-04-12T00:00:00"/>
  </r>
  <r>
    <s v="CUST0316"/>
    <s v="Female"/>
    <n v="54"/>
    <x v="2"/>
    <x v="0"/>
    <x v="2"/>
    <n v="29"/>
    <n v="95.17"/>
    <x v="2"/>
    <n v="6"/>
    <n v="5"/>
    <x v="0"/>
    <d v="2025-05-18T00:00:00"/>
  </r>
  <r>
    <s v="CUST0317"/>
    <s v="Female"/>
    <n v="48"/>
    <x v="2"/>
    <x v="1"/>
    <x v="0"/>
    <n v="2"/>
    <n v="33.36"/>
    <x v="2"/>
    <n v="4"/>
    <n v="4"/>
    <x v="1"/>
    <d v="2025-10-11T00:00:00"/>
  </r>
  <r>
    <s v="CUST0318"/>
    <s v="Male"/>
    <n v="47"/>
    <x v="0"/>
    <x v="0"/>
    <x v="1"/>
    <n v="39"/>
    <n v="65.16"/>
    <x v="1"/>
    <n v="1"/>
    <n v="1"/>
    <x v="1"/>
    <d v="2024-09-18T00:00:00"/>
  </r>
  <r>
    <s v="CUST0319"/>
    <s v="Male"/>
    <n v="53"/>
    <x v="0"/>
    <x v="2"/>
    <x v="2"/>
    <n v="14"/>
    <n v="92.23"/>
    <x v="2"/>
    <n v="4"/>
    <n v="3"/>
    <x v="1"/>
    <d v="2022-06-19T00:00:00"/>
  </r>
  <r>
    <s v="CUST0320"/>
    <s v="Male"/>
    <n v="30"/>
    <x v="2"/>
    <x v="1"/>
    <x v="0"/>
    <n v="8"/>
    <n v="42.08"/>
    <x v="1"/>
    <n v="5"/>
    <n v="2"/>
    <x v="1"/>
    <d v="2024-09-04T00:00:00"/>
  </r>
  <r>
    <s v="CUST0321"/>
    <s v="Male"/>
    <n v="36"/>
    <x v="0"/>
    <x v="2"/>
    <x v="1"/>
    <n v="50"/>
    <n v="66.05"/>
    <x v="3"/>
    <n v="5"/>
    <n v="2"/>
    <x v="1"/>
    <d v="2024-07-31T00:00:00"/>
  </r>
  <r>
    <s v="CUST0322"/>
    <s v="Male"/>
    <n v="60"/>
    <x v="0"/>
    <x v="1"/>
    <x v="1"/>
    <n v="22"/>
    <n v="67.61"/>
    <x v="3"/>
    <n v="4"/>
    <n v="1"/>
    <x v="1"/>
    <d v="2025-02-26T00:00:00"/>
  </r>
  <r>
    <s v="CUST0323"/>
    <s v="Male"/>
    <n v="64"/>
    <x v="2"/>
    <x v="1"/>
    <x v="1"/>
    <n v="12"/>
    <n v="58.33"/>
    <x v="3"/>
    <n v="4"/>
    <n v="4"/>
    <x v="1"/>
    <d v="2022-11-10T00:00:00"/>
  </r>
  <r>
    <s v="CUST0324"/>
    <s v="Male"/>
    <n v="34"/>
    <x v="0"/>
    <x v="2"/>
    <x v="0"/>
    <n v="61"/>
    <n v="30.81"/>
    <x v="0"/>
    <n v="7"/>
    <n v="2"/>
    <x v="1"/>
    <d v="2025-11-12T00:00:00"/>
  </r>
  <r>
    <s v="CUST0325"/>
    <s v="Male"/>
    <n v="51"/>
    <x v="0"/>
    <x v="2"/>
    <x v="0"/>
    <n v="20"/>
    <n v="32.06"/>
    <x v="3"/>
    <n v="5"/>
    <n v="4"/>
    <x v="1"/>
    <d v="2023-07-27T00:00:00"/>
  </r>
  <r>
    <s v="CUST0326"/>
    <s v="Female"/>
    <n v="38"/>
    <x v="2"/>
    <x v="0"/>
    <x v="1"/>
    <n v="43"/>
    <n v="64.47"/>
    <x v="3"/>
    <n v="5"/>
    <n v="1"/>
    <x v="0"/>
    <d v="2022-07-15T00:00:00"/>
  </r>
  <r>
    <s v="CUST0327"/>
    <s v="Female"/>
    <n v="66"/>
    <x v="2"/>
    <x v="1"/>
    <x v="0"/>
    <n v="63"/>
    <n v="41.78"/>
    <x v="0"/>
    <n v="2"/>
    <n v="5"/>
    <x v="1"/>
    <d v="2023-05-30T00:00:00"/>
  </r>
  <r>
    <s v="CUST0328"/>
    <s v="Male"/>
    <n v="45"/>
    <x v="3"/>
    <x v="2"/>
    <x v="0"/>
    <n v="5"/>
    <n v="38.01"/>
    <x v="2"/>
    <n v="0"/>
    <n v="3"/>
    <x v="1"/>
    <d v="2023-12-24T00:00:00"/>
  </r>
  <r>
    <s v="CUST0329"/>
    <s v="Female"/>
    <n v="19"/>
    <x v="1"/>
    <x v="1"/>
    <x v="2"/>
    <n v="32"/>
    <n v="88.39"/>
    <x v="2"/>
    <n v="4"/>
    <n v="2"/>
    <x v="0"/>
    <d v="2023-10-28T00:00:00"/>
  </r>
  <r>
    <s v="CUST0330"/>
    <s v="Male"/>
    <n v="28"/>
    <x v="1"/>
    <x v="0"/>
    <x v="1"/>
    <n v="38"/>
    <n v="61.84"/>
    <x v="2"/>
    <n v="6"/>
    <n v="2"/>
    <x v="0"/>
    <d v="2023-10-01T00:00:00"/>
  </r>
  <r>
    <s v="CUST0331"/>
    <s v="Male"/>
    <n v="66"/>
    <x v="2"/>
    <x v="0"/>
    <x v="1"/>
    <n v="3"/>
    <n v="58.43"/>
    <x v="3"/>
    <n v="3"/>
    <n v="1"/>
    <x v="1"/>
    <d v="2021-12-13T00:00:00"/>
  </r>
  <r>
    <s v="CUST0332"/>
    <s v="Female"/>
    <n v="41"/>
    <x v="1"/>
    <x v="2"/>
    <x v="2"/>
    <n v="33"/>
    <n v="96.57"/>
    <x v="0"/>
    <n v="0"/>
    <n v="1"/>
    <x v="1"/>
    <d v="2021-02-10T00:00:00"/>
  </r>
  <r>
    <s v="CUST0333"/>
    <s v="Female"/>
    <n v="62"/>
    <x v="1"/>
    <x v="2"/>
    <x v="1"/>
    <n v="49"/>
    <n v="56.85"/>
    <x v="2"/>
    <n v="7"/>
    <n v="2"/>
    <x v="0"/>
    <d v="2024-11-05T00:00:00"/>
  </r>
  <r>
    <s v="CUST0334"/>
    <s v="Female"/>
    <n v="37"/>
    <x v="3"/>
    <x v="1"/>
    <x v="0"/>
    <n v="67"/>
    <n v="34.049999999999997"/>
    <x v="3"/>
    <n v="6"/>
    <n v="1"/>
    <x v="1"/>
    <d v="2024-06-19T00:00:00"/>
  </r>
  <r>
    <s v="CUST0335"/>
    <s v="Female"/>
    <n v="36"/>
    <x v="1"/>
    <x v="0"/>
    <x v="1"/>
    <n v="26"/>
    <n v="64.14"/>
    <x v="2"/>
    <n v="8"/>
    <n v="2"/>
    <x v="0"/>
    <d v="2023-04-20T00:00:00"/>
  </r>
  <r>
    <s v="CUST0336"/>
    <s v="Male"/>
    <n v="28"/>
    <x v="1"/>
    <x v="1"/>
    <x v="1"/>
    <n v="27"/>
    <n v="65.319999999999993"/>
    <x v="1"/>
    <n v="5"/>
    <n v="2"/>
    <x v="0"/>
    <d v="2024-10-07T00:00:00"/>
  </r>
  <r>
    <s v="CUST0337"/>
    <s v="Female"/>
    <n v="25"/>
    <x v="3"/>
    <x v="0"/>
    <x v="0"/>
    <n v="66"/>
    <n v="31.13"/>
    <x v="0"/>
    <n v="4"/>
    <n v="2"/>
    <x v="1"/>
    <d v="2022-08-30T00:00:00"/>
  </r>
  <r>
    <s v="CUST0338"/>
    <s v="Male"/>
    <n v="47"/>
    <x v="1"/>
    <x v="0"/>
    <x v="0"/>
    <n v="6"/>
    <n v="42.78"/>
    <x v="2"/>
    <n v="5"/>
    <n v="4"/>
    <x v="1"/>
    <d v="2021-07-14T00:00:00"/>
  </r>
  <r>
    <s v="CUST0339"/>
    <s v="Female"/>
    <n v="18"/>
    <x v="2"/>
    <x v="1"/>
    <x v="2"/>
    <n v="22"/>
    <n v="89.93"/>
    <x v="1"/>
    <n v="4"/>
    <n v="1"/>
    <x v="1"/>
    <d v="2022-12-03T00:00:00"/>
  </r>
  <r>
    <s v="CUST0340"/>
    <s v="Female"/>
    <n v="25"/>
    <x v="3"/>
    <x v="2"/>
    <x v="1"/>
    <n v="35"/>
    <n v="67.540000000000006"/>
    <x v="1"/>
    <n v="6"/>
    <n v="2"/>
    <x v="0"/>
    <d v="2024-11-26T00:00:00"/>
  </r>
  <r>
    <s v="CUST0341"/>
    <s v="Female"/>
    <n v="28"/>
    <x v="1"/>
    <x v="2"/>
    <x v="2"/>
    <n v="62"/>
    <n v="97.03"/>
    <x v="1"/>
    <n v="2"/>
    <n v="5"/>
    <x v="1"/>
    <d v="2023-01-05T00:00:00"/>
  </r>
  <r>
    <s v="CUST0342"/>
    <s v="Female"/>
    <n v="61"/>
    <x v="2"/>
    <x v="2"/>
    <x v="1"/>
    <n v="15"/>
    <n v="68.31"/>
    <x v="1"/>
    <n v="0"/>
    <n v="1"/>
    <x v="1"/>
    <d v="2022-10-06T00:00:00"/>
  </r>
  <r>
    <s v="CUST0343"/>
    <s v="Female"/>
    <n v="63"/>
    <x v="2"/>
    <x v="1"/>
    <x v="1"/>
    <n v="67"/>
    <n v="62.85"/>
    <x v="0"/>
    <n v="6"/>
    <n v="2"/>
    <x v="1"/>
    <d v="2024-09-21T00:00:00"/>
  </r>
  <r>
    <s v="CUST0344"/>
    <s v="Male"/>
    <n v="27"/>
    <x v="1"/>
    <x v="0"/>
    <x v="2"/>
    <n v="21"/>
    <n v="92.58"/>
    <x v="1"/>
    <n v="7"/>
    <n v="2"/>
    <x v="0"/>
    <d v="2023-10-04T00:00:00"/>
  </r>
  <r>
    <s v="CUST0345"/>
    <s v="Male"/>
    <n v="33"/>
    <x v="0"/>
    <x v="2"/>
    <x v="0"/>
    <n v="65"/>
    <n v="33.340000000000003"/>
    <x v="1"/>
    <n v="6"/>
    <n v="2"/>
    <x v="0"/>
    <d v="2023-06-29T00:00:00"/>
  </r>
  <r>
    <s v="CUST0346"/>
    <s v="Male"/>
    <n v="23"/>
    <x v="3"/>
    <x v="2"/>
    <x v="1"/>
    <n v="16"/>
    <n v="69.709999999999994"/>
    <x v="0"/>
    <n v="1"/>
    <n v="4"/>
    <x v="1"/>
    <d v="2024-02-16T00:00:00"/>
  </r>
  <r>
    <s v="CUST0347"/>
    <s v="Female"/>
    <n v="70"/>
    <x v="1"/>
    <x v="1"/>
    <x v="2"/>
    <n v="39"/>
    <n v="98.35"/>
    <x v="3"/>
    <n v="7"/>
    <n v="3"/>
    <x v="1"/>
    <d v="2021-04-22T00:00:00"/>
  </r>
  <r>
    <s v="CUST0348"/>
    <s v="Female"/>
    <n v="47"/>
    <x v="0"/>
    <x v="1"/>
    <x v="2"/>
    <n v="61"/>
    <n v="95.75"/>
    <x v="2"/>
    <n v="7"/>
    <n v="1"/>
    <x v="0"/>
    <d v="2024-09-11T00:00:00"/>
  </r>
  <r>
    <s v="CUST0349"/>
    <s v="Female"/>
    <n v="18"/>
    <x v="0"/>
    <x v="2"/>
    <x v="2"/>
    <n v="38"/>
    <n v="93.22"/>
    <x v="2"/>
    <n v="1"/>
    <n v="1"/>
    <x v="1"/>
    <d v="2023-10-06T00:00:00"/>
  </r>
  <r>
    <s v="CUST0350"/>
    <s v="Female"/>
    <n v="70"/>
    <x v="3"/>
    <x v="0"/>
    <x v="1"/>
    <n v="26"/>
    <n v="57.81"/>
    <x v="1"/>
    <n v="3"/>
    <n v="4"/>
    <x v="1"/>
    <d v="2022-01-26T00:00:00"/>
  </r>
  <r>
    <s v="CUST0351"/>
    <s v="Male"/>
    <n v="24"/>
    <x v="3"/>
    <x v="0"/>
    <x v="2"/>
    <n v="16"/>
    <n v="96.58"/>
    <x v="1"/>
    <n v="7"/>
    <n v="5"/>
    <x v="1"/>
    <d v="2021-10-03T00:00:00"/>
  </r>
  <r>
    <s v="CUST0352"/>
    <s v="Male"/>
    <n v="18"/>
    <x v="1"/>
    <x v="1"/>
    <x v="1"/>
    <n v="62"/>
    <n v="68.87"/>
    <x v="3"/>
    <n v="2"/>
    <n v="2"/>
    <x v="0"/>
    <d v="2024-09-08T00:00:00"/>
  </r>
  <r>
    <s v="CUST0353"/>
    <s v="Male"/>
    <n v="50"/>
    <x v="3"/>
    <x v="2"/>
    <x v="2"/>
    <n v="32"/>
    <n v="89.1"/>
    <x v="2"/>
    <n v="4"/>
    <n v="4"/>
    <x v="1"/>
    <d v="2021-10-10T00:00:00"/>
  </r>
  <r>
    <s v="CUST0354"/>
    <s v="Male"/>
    <n v="56"/>
    <x v="0"/>
    <x v="1"/>
    <x v="2"/>
    <n v="41"/>
    <n v="95.68"/>
    <x v="3"/>
    <n v="3"/>
    <n v="2"/>
    <x v="1"/>
    <d v="2022-08-19T00:00:00"/>
  </r>
  <r>
    <s v="CUST0355"/>
    <s v="Male"/>
    <n v="61"/>
    <x v="2"/>
    <x v="1"/>
    <x v="2"/>
    <n v="23"/>
    <n v="92.56"/>
    <x v="2"/>
    <n v="1"/>
    <n v="3"/>
    <x v="1"/>
    <d v="2024-04-08T00:00:00"/>
  </r>
  <r>
    <s v="CUST0356"/>
    <s v="Male"/>
    <n v="61"/>
    <x v="0"/>
    <x v="2"/>
    <x v="0"/>
    <n v="67"/>
    <n v="31.6"/>
    <x v="1"/>
    <n v="2"/>
    <n v="1"/>
    <x v="1"/>
    <d v="2022-02-14T00:00:00"/>
  </r>
  <r>
    <s v="CUST0357"/>
    <s v="Male"/>
    <n v="66"/>
    <x v="2"/>
    <x v="2"/>
    <x v="2"/>
    <n v="33"/>
    <n v="87.2"/>
    <x v="0"/>
    <n v="4"/>
    <n v="2"/>
    <x v="1"/>
    <d v="2021-03-08T00:00:00"/>
  </r>
  <r>
    <s v="CUST0358"/>
    <s v="Male"/>
    <n v="70"/>
    <x v="3"/>
    <x v="0"/>
    <x v="2"/>
    <n v="72"/>
    <n v="97.97"/>
    <x v="1"/>
    <n v="3"/>
    <n v="5"/>
    <x v="1"/>
    <d v="2025-06-24T00:00:00"/>
  </r>
  <r>
    <s v="CUST0359"/>
    <s v="Male"/>
    <n v="62"/>
    <x v="1"/>
    <x v="2"/>
    <x v="1"/>
    <n v="54"/>
    <n v="69.349999999999994"/>
    <x v="2"/>
    <n v="8"/>
    <n v="1"/>
    <x v="0"/>
    <d v="2022-05-30T00:00:00"/>
  </r>
  <r>
    <s v="CUST0360"/>
    <s v="Female"/>
    <n v="57"/>
    <x v="3"/>
    <x v="0"/>
    <x v="2"/>
    <n v="48"/>
    <n v="96.33"/>
    <x v="3"/>
    <n v="3"/>
    <n v="3"/>
    <x v="1"/>
    <d v="2024-10-30T00:00:00"/>
  </r>
  <r>
    <s v="CUST0361"/>
    <s v="Female"/>
    <n v="29"/>
    <x v="2"/>
    <x v="1"/>
    <x v="2"/>
    <n v="16"/>
    <n v="90.66"/>
    <x v="1"/>
    <n v="4"/>
    <n v="5"/>
    <x v="1"/>
    <d v="2021-11-26T00:00:00"/>
  </r>
  <r>
    <s v="CUST0362"/>
    <s v="Male"/>
    <n v="18"/>
    <x v="0"/>
    <x v="2"/>
    <x v="2"/>
    <n v="20"/>
    <n v="85.6"/>
    <x v="2"/>
    <n v="0"/>
    <n v="5"/>
    <x v="1"/>
    <d v="2022-09-09T00:00:00"/>
  </r>
  <r>
    <s v="CUST0363"/>
    <s v="Male"/>
    <n v="68"/>
    <x v="0"/>
    <x v="0"/>
    <x v="2"/>
    <n v="41"/>
    <n v="92.88"/>
    <x v="3"/>
    <n v="8"/>
    <n v="1"/>
    <x v="1"/>
    <d v="2021-11-23T00:00:00"/>
  </r>
  <r>
    <s v="CUST0364"/>
    <s v="Male"/>
    <n v="52"/>
    <x v="3"/>
    <x v="0"/>
    <x v="1"/>
    <n v="29"/>
    <n v="68.25"/>
    <x v="2"/>
    <n v="5"/>
    <n v="3"/>
    <x v="0"/>
    <d v="2025-03-22T00:00:00"/>
  </r>
  <r>
    <s v="CUST0365"/>
    <s v="Male"/>
    <n v="53"/>
    <x v="1"/>
    <x v="0"/>
    <x v="2"/>
    <n v="45"/>
    <n v="91.69"/>
    <x v="3"/>
    <n v="0"/>
    <n v="3"/>
    <x v="1"/>
    <d v="2025-06-19T00:00:00"/>
  </r>
  <r>
    <s v="CUST0366"/>
    <s v="Female"/>
    <n v="42"/>
    <x v="0"/>
    <x v="1"/>
    <x v="2"/>
    <n v="37"/>
    <n v="85.37"/>
    <x v="2"/>
    <n v="8"/>
    <n v="5"/>
    <x v="1"/>
    <d v="2021-03-31T00:00:00"/>
  </r>
  <r>
    <s v="CUST0367"/>
    <s v="Male"/>
    <n v="59"/>
    <x v="2"/>
    <x v="2"/>
    <x v="2"/>
    <n v="11"/>
    <n v="99.22"/>
    <x v="3"/>
    <n v="8"/>
    <n v="5"/>
    <x v="0"/>
    <d v="2021-05-15T00:00:00"/>
  </r>
  <r>
    <s v="CUST0368"/>
    <s v="Female"/>
    <n v="60"/>
    <x v="2"/>
    <x v="1"/>
    <x v="1"/>
    <n v="14"/>
    <n v="58.08"/>
    <x v="1"/>
    <n v="1"/>
    <n v="2"/>
    <x v="0"/>
    <d v="2025-01-08T00:00:00"/>
  </r>
  <r>
    <s v="CUST0369"/>
    <s v="Male"/>
    <n v="20"/>
    <x v="1"/>
    <x v="0"/>
    <x v="0"/>
    <n v="23"/>
    <n v="41.91"/>
    <x v="0"/>
    <n v="3"/>
    <n v="3"/>
    <x v="1"/>
    <d v="2023-07-13T00:00:00"/>
  </r>
  <r>
    <s v="CUST0370"/>
    <s v="Male"/>
    <n v="45"/>
    <x v="0"/>
    <x v="0"/>
    <x v="1"/>
    <n v="16"/>
    <n v="63.02"/>
    <x v="0"/>
    <n v="0"/>
    <n v="1"/>
    <x v="1"/>
    <d v="2023-10-27T00:00:00"/>
  </r>
  <r>
    <s v="CUST0371"/>
    <s v="Female"/>
    <n v="36"/>
    <x v="0"/>
    <x v="1"/>
    <x v="0"/>
    <n v="37"/>
    <n v="41.48"/>
    <x v="1"/>
    <n v="6"/>
    <n v="4"/>
    <x v="1"/>
    <d v="2021-03-05T00:00:00"/>
  </r>
  <r>
    <s v="CUST0372"/>
    <s v="Male"/>
    <n v="28"/>
    <x v="2"/>
    <x v="0"/>
    <x v="2"/>
    <n v="51"/>
    <n v="96.95"/>
    <x v="2"/>
    <n v="2"/>
    <n v="3"/>
    <x v="1"/>
    <d v="2025-06-17T00:00:00"/>
  </r>
  <r>
    <s v="CUST0373"/>
    <s v="Male"/>
    <n v="18"/>
    <x v="2"/>
    <x v="0"/>
    <x v="0"/>
    <n v="1"/>
    <n v="38.590000000000003"/>
    <x v="1"/>
    <n v="8"/>
    <n v="5"/>
    <x v="1"/>
    <d v="2022-09-17T00:00:00"/>
  </r>
  <r>
    <s v="CUST0374"/>
    <s v="Female"/>
    <n v="65"/>
    <x v="0"/>
    <x v="0"/>
    <x v="1"/>
    <n v="66"/>
    <n v="57.14"/>
    <x v="3"/>
    <n v="3"/>
    <n v="5"/>
    <x v="1"/>
    <d v="2022-02-02T00:00:00"/>
  </r>
  <r>
    <s v="CUST0375"/>
    <s v="Female"/>
    <n v="29"/>
    <x v="1"/>
    <x v="1"/>
    <x v="1"/>
    <n v="71"/>
    <n v="56.1"/>
    <x v="0"/>
    <n v="4"/>
    <n v="1"/>
    <x v="1"/>
    <d v="2024-04-04T00:00:00"/>
  </r>
  <r>
    <s v="CUST0376"/>
    <s v="Male"/>
    <n v="39"/>
    <x v="0"/>
    <x v="0"/>
    <x v="2"/>
    <n v="31"/>
    <n v="86.5"/>
    <x v="0"/>
    <n v="3"/>
    <n v="3"/>
    <x v="1"/>
    <d v="2022-11-04T00:00:00"/>
  </r>
  <r>
    <s v="CUST0377"/>
    <s v="Male"/>
    <n v="62"/>
    <x v="2"/>
    <x v="1"/>
    <x v="2"/>
    <n v="47"/>
    <n v="97.12"/>
    <x v="1"/>
    <n v="2"/>
    <n v="1"/>
    <x v="1"/>
    <d v="2025-05-29T00:00:00"/>
  </r>
  <r>
    <s v="CUST0378"/>
    <s v="Female"/>
    <n v="63"/>
    <x v="3"/>
    <x v="2"/>
    <x v="1"/>
    <n v="18"/>
    <n v="65.19"/>
    <x v="2"/>
    <n v="7"/>
    <n v="4"/>
    <x v="1"/>
    <d v="2025-05-06T00:00:00"/>
  </r>
  <r>
    <s v="CUST0379"/>
    <s v="Male"/>
    <n v="49"/>
    <x v="1"/>
    <x v="0"/>
    <x v="2"/>
    <n v="11"/>
    <n v="97.63"/>
    <x v="3"/>
    <n v="8"/>
    <n v="2"/>
    <x v="0"/>
    <d v="2024-07-07T00:00:00"/>
  </r>
  <r>
    <s v="CUST0380"/>
    <s v="Female"/>
    <n v="64"/>
    <x v="1"/>
    <x v="0"/>
    <x v="2"/>
    <n v="4"/>
    <n v="97.19"/>
    <x v="1"/>
    <n v="3"/>
    <n v="1"/>
    <x v="1"/>
    <d v="2024-01-19T00:00:00"/>
  </r>
  <r>
    <s v="CUST0381"/>
    <s v="Male"/>
    <n v="59"/>
    <x v="2"/>
    <x v="2"/>
    <x v="1"/>
    <n v="29"/>
    <n v="68.37"/>
    <x v="2"/>
    <n v="2"/>
    <n v="4"/>
    <x v="1"/>
    <d v="2021-07-05T00:00:00"/>
  </r>
  <r>
    <s v="CUST0382"/>
    <s v="Male"/>
    <n v="41"/>
    <x v="1"/>
    <x v="1"/>
    <x v="0"/>
    <n v="22"/>
    <n v="41.36"/>
    <x v="3"/>
    <n v="7"/>
    <n v="2"/>
    <x v="0"/>
    <d v="2024-03-04T00:00:00"/>
  </r>
  <r>
    <s v="CUST0383"/>
    <s v="Female"/>
    <n v="65"/>
    <x v="3"/>
    <x v="2"/>
    <x v="0"/>
    <n v="29"/>
    <n v="41.42"/>
    <x v="3"/>
    <n v="1"/>
    <n v="3"/>
    <x v="1"/>
    <d v="2021-03-29T00:00:00"/>
  </r>
  <r>
    <s v="CUST0384"/>
    <s v="Female"/>
    <n v="51"/>
    <x v="0"/>
    <x v="2"/>
    <x v="1"/>
    <n v="59"/>
    <n v="68.22"/>
    <x v="0"/>
    <n v="5"/>
    <n v="1"/>
    <x v="1"/>
    <d v="2023-12-04T00:00:00"/>
  </r>
  <r>
    <s v="CUST0385"/>
    <s v="Male"/>
    <n v="65"/>
    <x v="0"/>
    <x v="1"/>
    <x v="2"/>
    <n v="23"/>
    <n v="90.65"/>
    <x v="1"/>
    <n v="5"/>
    <n v="5"/>
    <x v="1"/>
    <d v="2025-09-08T00:00:00"/>
  </r>
  <r>
    <s v="CUST0386"/>
    <s v="Female"/>
    <n v="51"/>
    <x v="0"/>
    <x v="2"/>
    <x v="0"/>
    <n v="67"/>
    <n v="36.090000000000003"/>
    <x v="2"/>
    <n v="7"/>
    <n v="4"/>
    <x v="1"/>
    <d v="2021-01-14T00:00:00"/>
  </r>
  <r>
    <s v="CUST0387"/>
    <s v="Female"/>
    <n v="46"/>
    <x v="2"/>
    <x v="0"/>
    <x v="0"/>
    <n v="66"/>
    <n v="39.65"/>
    <x v="3"/>
    <n v="2"/>
    <n v="2"/>
    <x v="0"/>
    <d v="2024-05-17T00:00:00"/>
  </r>
  <r>
    <s v="CUST0388"/>
    <s v="Female"/>
    <n v="60"/>
    <x v="2"/>
    <x v="2"/>
    <x v="1"/>
    <n v="15"/>
    <n v="62.22"/>
    <x v="1"/>
    <n v="7"/>
    <n v="2"/>
    <x v="1"/>
    <d v="2024-08-18T00:00:00"/>
  </r>
  <r>
    <s v="CUST0389"/>
    <s v="Male"/>
    <n v="19"/>
    <x v="2"/>
    <x v="0"/>
    <x v="0"/>
    <n v="21"/>
    <n v="32.020000000000003"/>
    <x v="0"/>
    <n v="2"/>
    <n v="1"/>
    <x v="0"/>
    <d v="2022-01-04T00:00:00"/>
  </r>
  <r>
    <s v="CUST0390"/>
    <s v="Male"/>
    <n v="56"/>
    <x v="1"/>
    <x v="1"/>
    <x v="2"/>
    <n v="37"/>
    <n v="99.21"/>
    <x v="3"/>
    <n v="7"/>
    <n v="5"/>
    <x v="1"/>
    <d v="2025-11-12T00:00:00"/>
  </r>
  <r>
    <s v="CUST0391"/>
    <s v="Male"/>
    <n v="28"/>
    <x v="2"/>
    <x v="2"/>
    <x v="2"/>
    <n v="19"/>
    <n v="96.92"/>
    <x v="3"/>
    <n v="8"/>
    <n v="3"/>
    <x v="0"/>
    <d v="2024-11-05T00:00:00"/>
  </r>
  <r>
    <s v="CUST0392"/>
    <s v="Male"/>
    <n v="47"/>
    <x v="1"/>
    <x v="0"/>
    <x v="1"/>
    <n v="50"/>
    <n v="56.98"/>
    <x v="0"/>
    <n v="3"/>
    <n v="5"/>
    <x v="1"/>
    <d v="2023-10-30T00:00:00"/>
  </r>
  <r>
    <s v="CUST0393"/>
    <s v="Male"/>
    <n v="70"/>
    <x v="2"/>
    <x v="1"/>
    <x v="0"/>
    <n v="23"/>
    <n v="37.14"/>
    <x v="0"/>
    <n v="8"/>
    <n v="5"/>
    <x v="1"/>
    <d v="2021-07-10T00:00:00"/>
  </r>
  <r>
    <s v="CUST0394"/>
    <s v="Male"/>
    <n v="60"/>
    <x v="2"/>
    <x v="1"/>
    <x v="2"/>
    <n v="1"/>
    <n v="98.45"/>
    <x v="1"/>
    <n v="8"/>
    <n v="4"/>
    <x v="1"/>
    <d v="2021-03-30T00:00:00"/>
  </r>
  <r>
    <s v="CUST0395"/>
    <s v="Male"/>
    <n v="32"/>
    <x v="3"/>
    <x v="2"/>
    <x v="1"/>
    <n v="13"/>
    <n v="61.38"/>
    <x v="2"/>
    <n v="7"/>
    <n v="2"/>
    <x v="1"/>
    <d v="2021-06-21T00:00:00"/>
  </r>
  <r>
    <s v="CUST0396"/>
    <s v="Male"/>
    <n v="56"/>
    <x v="3"/>
    <x v="2"/>
    <x v="0"/>
    <n v="1"/>
    <n v="40.64"/>
    <x v="0"/>
    <n v="8"/>
    <n v="1"/>
    <x v="1"/>
    <d v="2023-02-08T00:00:00"/>
  </r>
  <r>
    <s v="CUST0397"/>
    <s v="Female"/>
    <n v="62"/>
    <x v="0"/>
    <x v="2"/>
    <x v="1"/>
    <n v="14"/>
    <n v="57.32"/>
    <x v="2"/>
    <n v="4"/>
    <n v="5"/>
    <x v="1"/>
    <d v="2023-01-19T00:00:00"/>
  </r>
  <r>
    <s v="CUST0398"/>
    <s v="Male"/>
    <n v="61"/>
    <x v="3"/>
    <x v="0"/>
    <x v="1"/>
    <n v="71"/>
    <n v="66.760000000000005"/>
    <x v="1"/>
    <n v="2"/>
    <n v="3"/>
    <x v="1"/>
    <d v="2023-09-18T00:00:00"/>
  </r>
  <r>
    <s v="CUST0399"/>
    <s v="Male"/>
    <n v="37"/>
    <x v="0"/>
    <x v="1"/>
    <x v="1"/>
    <n v="18"/>
    <n v="67.819999999999993"/>
    <x v="0"/>
    <n v="3"/>
    <n v="4"/>
    <x v="1"/>
    <d v="2021-11-28T00:00:00"/>
  </r>
  <r>
    <s v="CUST0400"/>
    <s v="Female"/>
    <n v="31"/>
    <x v="3"/>
    <x v="2"/>
    <x v="2"/>
    <n v="7"/>
    <n v="87.41"/>
    <x v="0"/>
    <n v="1"/>
    <n v="2"/>
    <x v="1"/>
    <d v="2024-05-14T00:00:00"/>
  </r>
  <r>
    <s v="CUST0401"/>
    <s v="Male"/>
    <n v="23"/>
    <x v="1"/>
    <x v="2"/>
    <x v="0"/>
    <n v="48"/>
    <n v="31.2"/>
    <x v="0"/>
    <n v="6"/>
    <n v="4"/>
    <x v="1"/>
    <d v="2023-12-04T00:00:00"/>
  </r>
  <r>
    <s v="CUST0402"/>
    <s v="Male"/>
    <n v="63"/>
    <x v="1"/>
    <x v="0"/>
    <x v="2"/>
    <n v="64"/>
    <n v="91.58"/>
    <x v="3"/>
    <n v="8"/>
    <n v="3"/>
    <x v="0"/>
    <d v="2025-05-25T00:00:00"/>
  </r>
  <r>
    <s v="CUST0403"/>
    <s v="Female"/>
    <n v="57"/>
    <x v="2"/>
    <x v="1"/>
    <x v="0"/>
    <n v="47"/>
    <n v="33.590000000000003"/>
    <x v="0"/>
    <n v="2"/>
    <n v="1"/>
    <x v="1"/>
    <d v="2025-05-16T00:00:00"/>
  </r>
  <r>
    <s v="CUST0404"/>
    <s v="Male"/>
    <n v="40"/>
    <x v="3"/>
    <x v="2"/>
    <x v="2"/>
    <n v="26"/>
    <n v="92.77"/>
    <x v="0"/>
    <n v="1"/>
    <n v="5"/>
    <x v="1"/>
    <d v="2025-08-27T00:00:00"/>
  </r>
  <r>
    <s v="CUST0405"/>
    <s v="Male"/>
    <n v="40"/>
    <x v="0"/>
    <x v="0"/>
    <x v="2"/>
    <n v="25"/>
    <n v="91.82"/>
    <x v="1"/>
    <n v="0"/>
    <n v="3"/>
    <x v="0"/>
    <d v="2023-11-03T00:00:00"/>
  </r>
  <r>
    <s v="CUST0406"/>
    <s v="Female"/>
    <n v="53"/>
    <x v="1"/>
    <x v="1"/>
    <x v="1"/>
    <n v="44"/>
    <n v="69.209999999999994"/>
    <x v="2"/>
    <n v="8"/>
    <n v="5"/>
    <x v="1"/>
    <d v="2023-06-26T00:00:00"/>
  </r>
  <r>
    <s v="CUST0407"/>
    <s v="Male"/>
    <n v="54"/>
    <x v="3"/>
    <x v="0"/>
    <x v="1"/>
    <n v="59"/>
    <n v="65.22"/>
    <x v="0"/>
    <n v="7"/>
    <n v="1"/>
    <x v="0"/>
    <d v="2023-02-23T00:00:00"/>
  </r>
  <r>
    <s v="CUST0408"/>
    <s v="Female"/>
    <n v="61"/>
    <x v="2"/>
    <x v="2"/>
    <x v="1"/>
    <n v="46"/>
    <n v="62.75"/>
    <x v="0"/>
    <n v="4"/>
    <n v="2"/>
    <x v="1"/>
    <d v="2023-03-29T00:00:00"/>
  </r>
  <r>
    <s v="CUST0409"/>
    <s v="Male"/>
    <n v="22"/>
    <x v="2"/>
    <x v="2"/>
    <x v="1"/>
    <n v="46"/>
    <n v="58.28"/>
    <x v="2"/>
    <n v="2"/>
    <n v="2"/>
    <x v="1"/>
    <d v="2022-02-13T00:00:00"/>
  </r>
  <r>
    <s v="CUST0410"/>
    <s v="Female"/>
    <n v="65"/>
    <x v="2"/>
    <x v="2"/>
    <x v="0"/>
    <n v="30"/>
    <n v="33.04"/>
    <x v="3"/>
    <n v="5"/>
    <n v="2"/>
    <x v="1"/>
    <d v="2021-09-03T00:00:00"/>
  </r>
  <r>
    <s v="CUST0411"/>
    <s v="Female"/>
    <n v="61"/>
    <x v="3"/>
    <x v="1"/>
    <x v="0"/>
    <n v="70"/>
    <n v="44.37"/>
    <x v="1"/>
    <n v="5"/>
    <n v="5"/>
    <x v="1"/>
    <d v="2024-03-22T00:00:00"/>
  </r>
  <r>
    <s v="CUST0412"/>
    <s v="Male"/>
    <n v="49"/>
    <x v="2"/>
    <x v="1"/>
    <x v="1"/>
    <n v="51"/>
    <n v="58.33"/>
    <x v="3"/>
    <n v="0"/>
    <n v="5"/>
    <x v="1"/>
    <d v="2023-09-07T00:00:00"/>
  </r>
  <r>
    <s v="CUST0413"/>
    <s v="Female"/>
    <n v="50"/>
    <x v="0"/>
    <x v="2"/>
    <x v="2"/>
    <n v="23"/>
    <n v="91.86"/>
    <x v="0"/>
    <n v="8"/>
    <n v="4"/>
    <x v="1"/>
    <d v="2021-01-18T00:00:00"/>
  </r>
  <r>
    <s v="CUST0414"/>
    <s v="Female"/>
    <n v="61"/>
    <x v="2"/>
    <x v="2"/>
    <x v="2"/>
    <n v="13"/>
    <n v="89.88"/>
    <x v="2"/>
    <n v="2"/>
    <n v="5"/>
    <x v="1"/>
    <d v="2022-07-06T00:00:00"/>
  </r>
  <r>
    <s v="CUST0415"/>
    <s v="Male"/>
    <n v="57"/>
    <x v="0"/>
    <x v="2"/>
    <x v="0"/>
    <n v="64"/>
    <n v="36.36"/>
    <x v="1"/>
    <n v="5"/>
    <n v="3"/>
    <x v="1"/>
    <d v="2022-07-27T00:00:00"/>
  </r>
  <r>
    <s v="CUST0416"/>
    <s v="Male"/>
    <n v="29"/>
    <x v="2"/>
    <x v="1"/>
    <x v="2"/>
    <n v="30"/>
    <n v="97.21"/>
    <x v="2"/>
    <n v="3"/>
    <n v="5"/>
    <x v="1"/>
    <d v="2023-02-20T00:00:00"/>
  </r>
  <r>
    <s v="CUST0417"/>
    <s v="Female"/>
    <n v="27"/>
    <x v="2"/>
    <x v="2"/>
    <x v="0"/>
    <n v="23"/>
    <n v="36.32"/>
    <x v="3"/>
    <n v="8"/>
    <n v="5"/>
    <x v="1"/>
    <d v="2025-05-28T00:00:00"/>
  </r>
  <r>
    <s v="CUST0418"/>
    <s v="Male"/>
    <n v="37"/>
    <x v="0"/>
    <x v="1"/>
    <x v="2"/>
    <n v="7"/>
    <n v="90.98"/>
    <x v="3"/>
    <n v="0"/>
    <n v="2"/>
    <x v="1"/>
    <d v="2023-09-03T00:00:00"/>
  </r>
  <r>
    <s v="CUST0419"/>
    <s v="Female"/>
    <n v="46"/>
    <x v="0"/>
    <x v="2"/>
    <x v="1"/>
    <n v="47"/>
    <n v="63.41"/>
    <x v="2"/>
    <n v="5"/>
    <n v="1"/>
    <x v="1"/>
    <d v="2022-12-21T00:00:00"/>
  </r>
  <r>
    <s v="CUST0420"/>
    <s v="Female"/>
    <n v="54"/>
    <x v="2"/>
    <x v="2"/>
    <x v="1"/>
    <n v="42"/>
    <n v="65.099999999999994"/>
    <x v="1"/>
    <n v="7"/>
    <n v="1"/>
    <x v="1"/>
    <d v="2022-08-10T00:00:00"/>
  </r>
  <r>
    <s v="CUST0421"/>
    <s v="Male"/>
    <n v="58"/>
    <x v="2"/>
    <x v="0"/>
    <x v="2"/>
    <n v="44"/>
    <n v="91.33"/>
    <x v="1"/>
    <n v="1"/>
    <n v="1"/>
    <x v="0"/>
    <d v="2022-04-13T00:00:00"/>
  </r>
  <r>
    <s v="CUST0422"/>
    <s v="Male"/>
    <n v="38"/>
    <x v="0"/>
    <x v="1"/>
    <x v="1"/>
    <n v="51"/>
    <n v="59.07"/>
    <x v="1"/>
    <n v="5"/>
    <n v="5"/>
    <x v="1"/>
    <d v="2023-07-12T00:00:00"/>
  </r>
  <r>
    <s v="CUST0423"/>
    <s v="Male"/>
    <n v="28"/>
    <x v="2"/>
    <x v="0"/>
    <x v="0"/>
    <n v="31"/>
    <n v="39.93"/>
    <x v="0"/>
    <n v="3"/>
    <n v="2"/>
    <x v="1"/>
    <d v="2021-07-15T00:00:00"/>
  </r>
  <r>
    <s v="CUST0424"/>
    <s v="Female"/>
    <n v="48"/>
    <x v="1"/>
    <x v="0"/>
    <x v="1"/>
    <n v="68"/>
    <n v="66.47"/>
    <x v="0"/>
    <n v="1"/>
    <n v="3"/>
    <x v="1"/>
    <d v="2021-06-22T00:00:00"/>
  </r>
  <r>
    <s v="CUST0425"/>
    <s v="Male"/>
    <n v="37"/>
    <x v="2"/>
    <x v="0"/>
    <x v="2"/>
    <n v="37"/>
    <n v="91.65"/>
    <x v="3"/>
    <n v="2"/>
    <n v="5"/>
    <x v="1"/>
    <d v="2021-02-28T00:00:00"/>
  </r>
  <r>
    <s v="CUST0426"/>
    <s v="Female"/>
    <n v="60"/>
    <x v="0"/>
    <x v="2"/>
    <x v="1"/>
    <n v="60"/>
    <n v="69.62"/>
    <x v="2"/>
    <n v="8"/>
    <n v="4"/>
    <x v="0"/>
    <d v="2024-11-29T00:00:00"/>
  </r>
  <r>
    <s v="CUST0427"/>
    <s v="Female"/>
    <n v="55"/>
    <x v="3"/>
    <x v="1"/>
    <x v="2"/>
    <n v="56"/>
    <n v="92.85"/>
    <x v="2"/>
    <n v="5"/>
    <n v="4"/>
    <x v="1"/>
    <d v="2025-07-07T00:00:00"/>
  </r>
  <r>
    <s v="CUST0428"/>
    <s v="Female"/>
    <n v="46"/>
    <x v="0"/>
    <x v="2"/>
    <x v="1"/>
    <n v="34"/>
    <n v="57.34"/>
    <x v="0"/>
    <n v="0"/>
    <n v="5"/>
    <x v="1"/>
    <d v="2025-10-03T00:00:00"/>
  </r>
  <r>
    <s v="CUST0429"/>
    <s v="Female"/>
    <n v="40"/>
    <x v="0"/>
    <x v="2"/>
    <x v="2"/>
    <n v="2"/>
    <n v="95.32"/>
    <x v="1"/>
    <n v="7"/>
    <n v="3"/>
    <x v="0"/>
    <d v="2023-06-01T00:00:00"/>
  </r>
  <r>
    <s v="CUST0430"/>
    <s v="Male"/>
    <n v="56"/>
    <x v="2"/>
    <x v="0"/>
    <x v="2"/>
    <n v="48"/>
    <n v="87.83"/>
    <x v="1"/>
    <n v="6"/>
    <n v="2"/>
    <x v="0"/>
    <d v="2025-02-18T00:00:00"/>
  </r>
  <r>
    <s v="CUST0431"/>
    <s v="Male"/>
    <n v="42"/>
    <x v="2"/>
    <x v="2"/>
    <x v="0"/>
    <n v="55"/>
    <n v="39.380000000000003"/>
    <x v="2"/>
    <n v="4"/>
    <n v="5"/>
    <x v="1"/>
    <d v="2023-04-26T00:00:00"/>
  </r>
  <r>
    <s v="CUST0432"/>
    <s v="Female"/>
    <n v="22"/>
    <x v="2"/>
    <x v="0"/>
    <x v="1"/>
    <n v="15"/>
    <n v="64.55"/>
    <x v="1"/>
    <n v="4"/>
    <n v="5"/>
    <x v="1"/>
    <d v="2022-10-19T00:00:00"/>
  </r>
  <r>
    <s v="CUST0433"/>
    <s v="Female"/>
    <n v="27"/>
    <x v="1"/>
    <x v="1"/>
    <x v="0"/>
    <n v="24"/>
    <n v="44.58"/>
    <x v="2"/>
    <n v="4"/>
    <n v="2"/>
    <x v="1"/>
    <d v="2025-01-29T00:00:00"/>
  </r>
  <r>
    <s v="CUST0434"/>
    <s v="Female"/>
    <n v="32"/>
    <x v="1"/>
    <x v="0"/>
    <x v="0"/>
    <n v="64"/>
    <n v="33.26"/>
    <x v="1"/>
    <n v="4"/>
    <n v="4"/>
    <x v="1"/>
    <d v="2023-08-08T00:00:00"/>
  </r>
  <r>
    <s v="CUST0435"/>
    <s v="Female"/>
    <n v="39"/>
    <x v="1"/>
    <x v="0"/>
    <x v="0"/>
    <n v="35"/>
    <n v="41.63"/>
    <x v="0"/>
    <n v="8"/>
    <n v="4"/>
    <x v="0"/>
    <d v="2025-09-20T00:00:00"/>
  </r>
  <r>
    <s v="CUST0436"/>
    <s v="Male"/>
    <n v="70"/>
    <x v="3"/>
    <x v="0"/>
    <x v="0"/>
    <n v="32"/>
    <n v="35.770000000000003"/>
    <x v="1"/>
    <n v="3"/>
    <n v="1"/>
    <x v="0"/>
    <d v="2025-02-14T00:00:00"/>
  </r>
  <r>
    <s v="CUST0437"/>
    <s v="Female"/>
    <n v="51"/>
    <x v="2"/>
    <x v="2"/>
    <x v="1"/>
    <n v="40"/>
    <n v="69.040000000000006"/>
    <x v="3"/>
    <n v="0"/>
    <n v="5"/>
    <x v="1"/>
    <d v="2022-06-03T00:00:00"/>
  </r>
  <r>
    <s v="CUST0438"/>
    <s v="Male"/>
    <n v="58"/>
    <x v="0"/>
    <x v="0"/>
    <x v="1"/>
    <n v="7"/>
    <n v="67.95"/>
    <x v="3"/>
    <n v="1"/>
    <n v="2"/>
    <x v="1"/>
    <d v="2022-10-27T00:00:00"/>
  </r>
  <r>
    <s v="CUST0439"/>
    <s v="Female"/>
    <n v="28"/>
    <x v="0"/>
    <x v="1"/>
    <x v="0"/>
    <n v="51"/>
    <n v="41.84"/>
    <x v="0"/>
    <n v="0"/>
    <n v="5"/>
    <x v="1"/>
    <d v="2023-09-01T00:00:00"/>
  </r>
  <r>
    <s v="CUST0440"/>
    <s v="Female"/>
    <n v="41"/>
    <x v="1"/>
    <x v="0"/>
    <x v="0"/>
    <n v="64"/>
    <n v="31.37"/>
    <x v="2"/>
    <n v="0"/>
    <n v="1"/>
    <x v="1"/>
    <d v="2021-11-12T00:00:00"/>
  </r>
  <r>
    <s v="CUST0441"/>
    <s v="Female"/>
    <n v="26"/>
    <x v="3"/>
    <x v="0"/>
    <x v="1"/>
    <n v="72"/>
    <n v="66.83"/>
    <x v="2"/>
    <n v="7"/>
    <n v="2"/>
    <x v="0"/>
    <d v="2023-02-13T00:00:00"/>
  </r>
  <r>
    <s v="CUST0442"/>
    <s v="Male"/>
    <n v="64"/>
    <x v="2"/>
    <x v="2"/>
    <x v="0"/>
    <n v="63"/>
    <n v="40.6"/>
    <x v="2"/>
    <n v="8"/>
    <n v="4"/>
    <x v="0"/>
    <d v="2022-01-18T00:00:00"/>
  </r>
  <r>
    <s v="CUST0443"/>
    <s v="Male"/>
    <n v="38"/>
    <x v="3"/>
    <x v="2"/>
    <x v="2"/>
    <n v="71"/>
    <n v="87.41"/>
    <x v="3"/>
    <n v="7"/>
    <n v="3"/>
    <x v="1"/>
    <d v="2024-01-15T00:00:00"/>
  </r>
  <r>
    <s v="CUST0444"/>
    <s v="Male"/>
    <n v="47"/>
    <x v="1"/>
    <x v="1"/>
    <x v="2"/>
    <n v="49"/>
    <n v="96"/>
    <x v="0"/>
    <n v="5"/>
    <n v="5"/>
    <x v="1"/>
    <d v="2025-01-16T00:00:00"/>
  </r>
  <r>
    <s v="CUST0445"/>
    <s v="Female"/>
    <n v="60"/>
    <x v="3"/>
    <x v="0"/>
    <x v="2"/>
    <n v="64"/>
    <n v="96.49"/>
    <x v="3"/>
    <n v="4"/>
    <n v="3"/>
    <x v="1"/>
    <d v="2022-10-22T00:00:00"/>
  </r>
  <r>
    <s v="CUST0446"/>
    <s v="Female"/>
    <n v="24"/>
    <x v="1"/>
    <x v="0"/>
    <x v="0"/>
    <n v="23"/>
    <n v="43.1"/>
    <x v="3"/>
    <n v="1"/>
    <n v="4"/>
    <x v="0"/>
    <d v="2021-03-07T00:00:00"/>
  </r>
  <r>
    <s v="CUST0447"/>
    <s v="Male"/>
    <n v="60"/>
    <x v="3"/>
    <x v="1"/>
    <x v="2"/>
    <n v="33"/>
    <n v="85.74"/>
    <x v="3"/>
    <n v="1"/>
    <n v="1"/>
    <x v="1"/>
    <d v="2022-03-04T00:00:00"/>
  </r>
  <r>
    <s v="CUST0448"/>
    <s v="Male"/>
    <n v="23"/>
    <x v="3"/>
    <x v="1"/>
    <x v="0"/>
    <n v="47"/>
    <n v="38.369999999999997"/>
    <x v="1"/>
    <n v="5"/>
    <n v="1"/>
    <x v="1"/>
    <d v="2022-06-29T00:00:00"/>
  </r>
  <r>
    <s v="CUST0449"/>
    <s v="Female"/>
    <n v="64"/>
    <x v="1"/>
    <x v="2"/>
    <x v="0"/>
    <n v="28"/>
    <n v="44.41"/>
    <x v="0"/>
    <n v="1"/>
    <n v="2"/>
    <x v="1"/>
    <d v="2022-01-24T00:00:00"/>
  </r>
  <r>
    <s v="CUST0450"/>
    <s v="Female"/>
    <n v="51"/>
    <x v="2"/>
    <x v="1"/>
    <x v="2"/>
    <n v="23"/>
    <n v="93.38"/>
    <x v="1"/>
    <n v="1"/>
    <n v="5"/>
    <x v="1"/>
    <d v="2023-07-29T00:00:00"/>
  </r>
  <r>
    <s v="CUST0451"/>
    <s v="Male"/>
    <n v="24"/>
    <x v="2"/>
    <x v="0"/>
    <x v="2"/>
    <n v="52"/>
    <n v="92.57"/>
    <x v="3"/>
    <n v="8"/>
    <n v="5"/>
    <x v="1"/>
    <d v="2022-12-23T00:00:00"/>
  </r>
  <r>
    <s v="CUST0452"/>
    <s v="Male"/>
    <n v="53"/>
    <x v="0"/>
    <x v="2"/>
    <x v="1"/>
    <n v="56"/>
    <n v="67.39"/>
    <x v="2"/>
    <n v="3"/>
    <n v="5"/>
    <x v="1"/>
    <d v="2023-02-08T00:00:00"/>
  </r>
  <r>
    <s v="CUST0453"/>
    <s v="Male"/>
    <n v="41"/>
    <x v="3"/>
    <x v="2"/>
    <x v="1"/>
    <n v="1"/>
    <n v="65.89"/>
    <x v="2"/>
    <n v="0"/>
    <n v="5"/>
    <x v="0"/>
    <d v="2022-09-11T00:00:00"/>
  </r>
  <r>
    <s v="CUST0454"/>
    <s v="Female"/>
    <n v="37"/>
    <x v="2"/>
    <x v="0"/>
    <x v="1"/>
    <n v="3"/>
    <n v="66.569999999999993"/>
    <x v="2"/>
    <n v="8"/>
    <n v="5"/>
    <x v="1"/>
    <d v="2024-03-16T00:00:00"/>
  </r>
  <r>
    <s v="CUST0455"/>
    <s v="Female"/>
    <n v="24"/>
    <x v="1"/>
    <x v="2"/>
    <x v="1"/>
    <n v="20"/>
    <n v="57.08"/>
    <x v="2"/>
    <n v="3"/>
    <n v="2"/>
    <x v="1"/>
    <d v="2022-09-08T00:00:00"/>
  </r>
  <r>
    <s v="CUST0456"/>
    <s v="Female"/>
    <n v="54"/>
    <x v="3"/>
    <x v="1"/>
    <x v="0"/>
    <n v="10"/>
    <n v="40.85"/>
    <x v="1"/>
    <n v="2"/>
    <n v="4"/>
    <x v="1"/>
    <d v="2024-11-13T00:00:00"/>
  </r>
  <r>
    <s v="CUST0457"/>
    <s v="Female"/>
    <n v="56"/>
    <x v="0"/>
    <x v="0"/>
    <x v="2"/>
    <n v="49"/>
    <n v="86.18"/>
    <x v="0"/>
    <n v="5"/>
    <n v="3"/>
    <x v="1"/>
    <d v="2023-06-09T00:00:00"/>
  </r>
  <r>
    <s v="CUST0458"/>
    <s v="Male"/>
    <n v="25"/>
    <x v="2"/>
    <x v="1"/>
    <x v="2"/>
    <n v="2"/>
    <n v="94.51"/>
    <x v="1"/>
    <n v="0"/>
    <n v="3"/>
    <x v="1"/>
    <d v="2022-10-16T00:00:00"/>
  </r>
  <r>
    <s v="CUST0459"/>
    <s v="Female"/>
    <n v="38"/>
    <x v="2"/>
    <x v="0"/>
    <x v="0"/>
    <n v="51"/>
    <n v="44.57"/>
    <x v="0"/>
    <n v="3"/>
    <n v="4"/>
    <x v="1"/>
    <d v="2023-03-19T00:00:00"/>
  </r>
  <r>
    <s v="CUST0460"/>
    <s v="Female"/>
    <n v="26"/>
    <x v="0"/>
    <x v="0"/>
    <x v="1"/>
    <n v="7"/>
    <n v="63.22"/>
    <x v="2"/>
    <n v="1"/>
    <n v="4"/>
    <x v="1"/>
    <d v="2025-05-04T00:00:00"/>
  </r>
  <r>
    <s v="CUST0461"/>
    <s v="Female"/>
    <n v="66"/>
    <x v="2"/>
    <x v="2"/>
    <x v="2"/>
    <n v="26"/>
    <n v="92.32"/>
    <x v="3"/>
    <n v="8"/>
    <n v="5"/>
    <x v="1"/>
    <d v="2023-12-10T00:00:00"/>
  </r>
  <r>
    <s v="CUST0462"/>
    <s v="Female"/>
    <n v="33"/>
    <x v="1"/>
    <x v="2"/>
    <x v="1"/>
    <n v="42"/>
    <n v="65.27"/>
    <x v="0"/>
    <n v="1"/>
    <n v="4"/>
    <x v="1"/>
    <d v="2022-12-15T00:00:00"/>
  </r>
  <r>
    <s v="CUST0463"/>
    <s v="Female"/>
    <n v="38"/>
    <x v="0"/>
    <x v="1"/>
    <x v="2"/>
    <n v="4"/>
    <n v="96.55"/>
    <x v="3"/>
    <n v="5"/>
    <n v="5"/>
    <x v="1"/>
    <d v="2025-07-03T00:00:00"/>
  </r>
  <r>
    <s v="CUST0464"/>
    <s v="Male"/>
    <n v="57"/>
    <x v="2"/>
    <x v="2"/>
    <x v="0"/>
    <n v="30"/>
    <n v="33"/>
    <x v="2"/>
    <n v="2"/>
    <n v="1"/>
    <x v="0"/>
    <d v="2021-04-22T00:00:00"/>
  </r>
  <r>
    <s v="CUST0465"/>
    <s v="Female"/>
    <n v="57"/>
    <x v="2"/>
    <x v="2"/>
    <x v="0"/>
    <n v="44"/>
    <n v="40.409999999999997"/>
    <x v="0"/>
    <n v="4"/>
    <n v="4"/>
    <x v="1"/>
    <d v="2022-11-11T00:00:00"/>
  </r>
  <r>
    <s v="CUST0466"/>
    <s v="Female"/>
    <n v="65"/>
    <x v="2"/>
    <x v="0"/>
    <x v="2"/>
    <n v="67"/>
    <n v="96.26"/>
    <x v="1"/>
    <n v="2"/>
    <n v="1"/>
    <x v="1"/>
    <d v="2024-09-20T00:00:00"/>
  </r>
  <r>
    <s v="CUST0467"/>
    <s v="Female"/>
    <n v="34"/>
    <x v="2"/>
    <x v="0"/>
    <x v="1"/>
    <n v="26"/>
    <n v="66.84"/>
    <x v="2"/>
    <n v="0"/>
    <n v="4"/>
    <x v="1"/>
    <d v="2021-01-18T00:00:00"/>
  </r>
  <r>
    <s v="CUST0468"/>
    <s v="Female"/>
    <n v="42"/>
    <x v="0"/>
    <x v="1"/>
    <x v="2"/>
    <n v="47"/>
    <n v="97.96"/>
    <x v="0"/>
    <n v="4"/>
    <n v="4"/>
    <x v="1"/>
    <d v="2023-02-19T00:00:00"/>
  </r>
  <r>
    <s v="CUST0469"/>
    <s v="Female"/>
    <n v="38"/>
    <x v="3"/>
    <x v="1"/>
    <x v="2"/>
    <n v="12"/>
    <n v="87.8"/>
    <x v="1"/>
    <n v="8"/>
    <n v="1"/>
    <x v="0"/>
    <d v="2023-12-21T00:00:00"/>
  </r>
  <r>
    <s v="CUST0470"/>
    <s v="Male"/>
    <n v="39"/>
    <x v="3"/>
    <x v="2"/>
    <x v="2"/>
    <n v="21"/>
    <n v="85.28"/>
    <x v="2"/>
    <n v="5"/>
    <n v="3"/>
    <x v="1"/>
    <d v="2023-10-24T00:00:00"/>
  </r>
  <r>
    <s v="CUST0471"/>
    <s v="Male"/>
    <n v="69"/>
    <x v="1"/>
    <x v="1"/>
    <x v="1"/>
    <n v="50"/>
    <n v="68.36"/>
    <x v="0"/>
    <n v="8"/>
    <n v="3"/>
    <x v="1"/>
    <d v="2022-12-01T00:00:00"/>
  </r>
  <r>
    <s v="CUST0472"/>
    <s v="Male"/>
    <n v="60"/>
    <x v="2"/>
    <x v="0"/>
    <x v="2"/>
    <n v="49"/>
    <n v="92.81"/>
    <x v="3"/>
    <n v="6"/>
    <n v="2"/>
    <x v="1"/>
    <d v="2023-05-24T00:00:00"/>
  </r>
  <r>
    <s v="CUST0473"/>
    <s v="Male"/>
    <n v="56"/>
    <x v="0"/>
    <x v="2"/>
    <x v="2"/>
    <n v="17"/>
    <n v="88.1"/>
    <x v="3"/>
    <n v="8"/>
    <n v="2"/>
    <x v="1"/>
    <d v="2022-09-25T00:00:00"/>
  </r>
  <r>
    <s v="CUST0474"/>
    <s v="Female"/>
    <n v="45"/>
    <x v="2"/>
    <x v="1"/>
    <x v="2"/>
    <n v="21"/>
    <n v="89.76"/>
    <x v="0"/>
    <n v="2"/>
    <n v="3"/>
    <x v="1"/>
    <d v="2021-10-26T00:00:00"/>
  </r>
  <r>
    <s v="CUST0475"/>
    <s v="Female"/>
    <n v="66"/>
    <x v="0"/>
    <x v="2"/>
    <x v="1"/>
    <n v="39"/>
    <n v="61.65"/>
    <x v="2"/>
    <n v="2"/>
    <n v="2"/>
    <x v="0"/>
    <d v="2022-01-14T00:00:00"/>
  </r>
  <r>
    <s v="CUST0476"/>
    <s v="Female"/>
    <n v="66"/>
    <x v="0"/>
    <x v="1"/>
    <x v="2"/>
    <n v="30"/>
    <n v="93.95"/>
    <x v="3"/>
    <n v="0"/>
    <n v="3"/>
    <x v="0"/>
    <d v="2025-05-17T00:00:00"/>
  </r>
  <r>
    <s v="CUST0477"/>
    <s v="Male"/>
    <n v="26"/>
    <x v="3"/>
    <x v="1"/>
    <x v="2"/>
    <n v="48"/>
    <n v="87.76"/>
    <x v="1"/>
    <n v="7"/>
    <n v="4"/>
    <x v="0"/>
    <d v="2022-01-31T00:00:00"/>
  </r>
  <r>
    <s v="CUST0478"/>
    <s v="Female"/>
    <n v="20"/>
    <x v="3"/>
    <x v="0"/>
    <x v="1"/>
    <n v="53"/>
    <n v="58.34"/>
    <x v="3"/>
    <n v="3"/>
    <n v="1"/>
    <x v="0"/>
    <d v="2023-06-19T00:00:00"/>
  </r>
  <r>
    <s v="CUST0479"/>
    <s v="Male"/>
    <n v="62"/>
    <x v="0"/>
    <x v="2"/>
    <x v="0"/>
    <n v="55"/>
    <n v="36.07"/>
    <x v="0"/>
    <n v="6"/>
    <n v="3"/>
    <x v="1"/>
    <d v="2025-03-01T00:00:00"/>
  </r>
  <r>
    <s v="CUST0480"/>
    <s v="Female"/>
    <n v="51"/>
    <x v="1"/>
    <x v="2"/>
    <x v="1"/>
    <n v="6"/>
    <n v="68.17"/>
    <x v="3"/>
    <n v="8"/>
    <n v="5"/>
    <x v="1"/>
    <d v="2025-02-14T00:00:00"/>
  </r>
  <r>
    <s v="CUST0481"/>
    <s v="Female"/>
    <n v="53"/>
    <x v="3"/>
    <x v="1"/>
    <x v="2"/>
    <n v="7"/>
    <n v="87.85"/>
    <x v="1"/>
    <n v="6"/>
    <n v="3"/>
    <x v="1"/>
    <d v="2022-08-09T00:00:00"/>
  </r>
  <r>
    <s v="CUST0482"/>
    <s v="Male"/>
    <n v="28"/>
    <x v="3"/>
    <x v="2"/>
    <x v="2"/>
    <n v="7"/>
    <n v="95.35"/>
    <x v="3"/>
    <n v="7"/>
    <n v="4"/>
    <x v="0"/>
    <d v="2023-10-23T00:00:00"/>
  </r>
  <r>
    <s v="CUST0483"/>
    <s v="Female"/>
    <n v="29"/>
    <x v="2"/>
    <x v="2"/>
    <x v="1"/>
    <n v="42"/>
    <n v="61.76"/>
    <x v="3"/>
    <n v="7"/>
    <n v="5"/>
    <x v="1"/>
    <d v="2022-02-18T00:00:00"/>
  </r>
  <r>
    <s v="CUST0484"/>
    <s v="Male"/>
    <n v="23"/>
    <x v="0"/>
    <x v="2"/>
    <x v="2"/>
    <n v="21"/>
    <n v="95.78"/>
    <x v="0"/>
    <n v="1"/>
    <n v="1"/>
    <x v="1"/>
    <d v="2024-07-22T00:00:00"/>
  </r>
  <r>
    <s v="CUST0485"/>
    <s v="Male"/>
    <n v="23"/>
    <x v="3"/>
    <x v="1"/>
    <x v="2"/>
    <n v="21"/>
    <n v="90.68"/>
    <x v="1"/>
    <n v="0"/>
    <n v="2"/>
    <x v="1"/>
    <d v="2024-03-04T00:00:00"/>
  </r>
  <r>
    <s v="CUST0486"/>
    <s v="Female"/>
    <n v="28"/>
    <x v="2"/>
    <x v="0"/>
    <x v="2"/>
    <n v="7"/>
    <n v="91.29"/>
    <x v="2"/>
    <n v="7"/>
    <n v="3"/>
    <x v="1"/>
    <d v="2021-08-29T00:00:00"/>
  </r>
  <r>
    <s v="CUST0487"/>
    <s v="Female"/>
    <n v="30"/>
    <x v="1"/>
    <x v="1"/>
    <x v="1"/>
    <n v="2"/>
    <n v="61.88"/>
    <x v="1"/>
    <n v="8"/>
    <n v="1"/>
    <x v="1"/>
    <d v="2023-10-08T00:00:00"/>
  </r>
  <r>
    <s v="CUST0488"/>
    <s v="Female"/>
    <n v="31"/>
    <x v="3"/>
    <x v="2"/>
    <x v="1"/>
    <n v="57"/>
    <n v="56.19"/>
    <x v="0"/>
    <n v="3"/>
    <n v="5"/>
    <x v="1"/>
    <d v="2024-07-11T00:00:00"/>
  </r>
  <r>
    <s v="CUST0489"/>
    <s v="Female"/>
    <n v="21"/>
    <x v="2"/>
    <x v="0"/>
    <x v="0"/>
    <n v="45"/>
    <n v="30.55"/>
    <x v="0"/>
    <n v="4"/>
    <n v="3"/>
    <x v="1"/>
    <d v="2021-04-11T00:00:00"/>
  </r>
  <r>
    <s v="CUST0490"/>
    <s v="Female"/>
    <n v="44"/>
    <x v="2"/>
    <x v="0"/>
    <x v="2"/>
    <n v="37"/>
    <n v="94.17"/>
    <x v="3"/>
    <n v="7"/>
    <n v="5"/>
    <x v="1"/>
    <d v="2021-03-15T00:00:00"/>
  </r>
  <r>
    <s v="CUST0491"/>
    <s v="Female"/>
    <n v="67"/>
    <x v="0"/>
    <x v="2"/>
    <x v="1"/>
    <n v="49"/>
    <n v="67.3"/>
    <x v="1"/>
    <n v="8"/>
    <n v="1"/>
    <x v="0"/>
    <d v="2021-10-03T00:00:00"/>
  </r>
  <r>
    <s v="CUST0492"/>
    <s v="Female"/>
    <n v="62"/>
    <x v="0"/>
    <x v="2"/>
    <x v="2"/>
    <n v="53"/>
    <n v="92.87"/>
    <x v="3"/>
    <n v="0"/>
    <n v="1"/>
    <x v="1"/>
    <d v="2024-07-12T00:00:00"/>
  </r>
  <r>
    <s v="CUST0493"/>
    <s v="Female"/>
    <n v="48"/>
    <x v="0"/>
    <x v="2"/>
    <x v="2"/>
    <n v="41"/>
    <n v="88.89"/>
    <x v="2"/>
    <n v="2"/>
    <n v="5"/>
    <x v="1"/>
    <d v="2023-12-01T00:00:00"/>
  </r>
  <r>
    <s v="CUST0494"/>
    <s v="Male"/>
    <n v="49"/>
    <x v="2"/>
    <x v="1"/>
    <x v="0"/>
    <n v="38"/>
    <n v="44.69"/>
    <x v="0"/>
    <n v="1"/>
    <n v="1"/>
    <x v="1"/>
    <d v="2025-06-20T00:00:00"/>
  </r>
  <r>
    <s v="CUST0495"/>
    <s v="Female"/>
    <n v="65"/>
    <x v="2"/>
    <x v="1"/>
    <x v="1"/>
    <n v="53"/>
    <n v="55.68"/>
    <x v="2"/>
    <n v="8"/>
    <n v="2"/>
    <x v="0"/>
    <d v="2022-02-17T00:00:00"/>
  </r>
  <r>
    <s v="CUST0496"/>
    <s v="Male"/>
    <n v="34"/>
    <x v="1"/>
    <x v="2"/>
    <x v="1"/>
    <n v="65"/>
    <n v="63.25"/>
    <x v="0"/>
    <n v="1"/>
    <n v="3"/>
    <x v="1"/>
    <d v="2025-01-23T00:00:00"/>
  </r>
  <r>
    <s v="CUST0497"/>
    <s v="Female"/>
    <n v="29"/>
    <x v="2"/>
    <x v="2"/>
    <x v="1"/>
    <n v="62"/>
    <n v="68.739999999999995"/>
    <x v="0"/>
    <n v="2"/>
    <n v="4"/>
    <x v="1"/>
    <d v="2023-08-02T00:00:00"/>
  </r>
  <r>
    <s v="CUST0498"/>
    <s v="Male"/>
    <n v="47"/>
    <x v="3"/>
    <x v="1"/>
    <x v="0"/>
    <n v="67"/>
    <n v="34.49"/>
    <x v="2"/>
    <n v="8"/>
    <n v="5"/>
    <x v="0"/>
    <d v="2024-03-28T00:00:00"/>
  </r>
  <r>
    <s v="CUST0499"/>
    <s v="Male"/>
    <n v="69"/>
    <x v="0"/>
    <x v="0"/>
    <x v="0"/>
    <n v="36"/>
    <n v="42.61"/>
    <x v="2"/>
    <n v="6"/>
    <n v="5"/>
    <x v="1"/>
    <d v="2024-03-15T00:00:00"/>
  </r>
  <r>
    <s v="CUST0500"/>
    <s v="Male"/>
    <n v="29"/>
    <x v="1"/>
    <x v="2"/>
    <x v="2"/>
    <n v="41"/>
    <n v="95.65"/>
    <x v="2"/>
    <n v="6"/>
    <n v="1"/>
    <x v="1"/>
    <d v="2022-05-02T00:00:00"/>
  </r>
  <r>
    <s v="CUST0501"/>
    <s v="Male"/>
    <n v="46"/>
    <x v="0"/>
    <x v="0"/>
    <x v="2"/>
    <n v="39"/>
    <n v="87.63"/>
    <x v="2"/>
    <n v="0"/>
    <n v="2"/>
    <x v="1"/>
    <d v="2023-06-28T00:00:00"/>
  </r>
  <r>
    <s v="CUST0502"/>
    <s v="Female"/>
    <n v="69"/>
    <x v="3"/>
    <x v="1"/>
    <x v="0"/>
    <n v="25"/>
    <n v="35.1"/>
    <x v="1"/>
    <n v="8"/>
    <n v="3"/>
    <x v="1"/>
    <d v="2021-10-21T00:00:00"/>
  </r>
  <r>
    <s v="CUST0503"/>
    <s v="Female"/>
    <n v="70"/>
    <x v="2"/>
    <x v="0"/>
    <x v="2"/>
    <n v="5"/>
    <n v="91.89"/>
    <x v="0"/>
    <n v="0"/>
    <n v="3"/>
    <x v="1"/>
    <d v="2024-11-08T00:00:00"/>
  </r>
  <r>
    <s v="CUST0504"/>
    <s v="Female"/>
    <n v="39"/>
    <x v="3"/>
    <x v="0"/>
    <x v="0"/>
    <n v="67"/>
    <n v="41.49"/>
    <x v="2"/>
    <n v="0"/>
    <n v="5"/>
    <x v="1"/>
    <d v="2024-08-01T00:00:00"/>
  </r>
  <r>
    <s v="CUST0505"/>
    <s v="Female"/>
    <n v="38"/>
    <x v="2"/>
    <x v="0"/>
    <x v="1"/>
    <n v="36"/>
    <n v="62.98"/>
    <x v="1"/>
    <n v="1"/>
    <n v="3"/>
    <x v="0"/>
    <d v="2022-07-15T00:00:00"/>
  </r>
  <r>
    <s v="CUST0506"/>
    <s v="Female"/>
    <n v="18"/>
    <x v="1"/>
    <x v="0"/>
    <x v="2"/>
    <n v="45"/>
    <n v="93.24"/>
    <x v="2"/>
    <n v="2"/>
    <n v="3"/>
    <x v="1"/>
    <d v="2021-12-17T00:00:00"/>
  </r>
  <r>
    <s v="CUST0507"/>
    <s v="Female"/>
    <n v="37"/>
    <x v="0"/>
    <x v="1"/>
    <x v="1"/>
    <n v="7"/>
    <n v="56.95"/>
    <x v="1"/>
    <n v="0"/>
    <n v="1"/>
    <x v="1"/>
    <d v="2021-06-26T00:00:00"/>
  </r>
  <r>
    <s v="CUST0508"/>
    <s v="Male"/>
    <n v="43"/>
    <x v="2"/>
    <x v="1"/>
    <x v="2"/>
    <n v="58"/>
    <n v="94.24"/>
    <x v="2"/>
    <n v="5"/>
    <n v="2"/>
    <x v="1"/>
    <d v="2024-10-05T00:00:00"/>
  </r>
  <r>
    <s v="CUST0509"/>
    <s v="Female"/>
    <n v="66"/>
    <x v="3"/>
    <x v="1"/>
    <x v="0"/>
    <n v="12"/>
    <n v="42.19"/>
    <x v="1"/>
    <n v="1"/>
    <n v="4"/>
    <x v="1"/>
    <d v="2024-08-12T00:00:00"/>
  </r>
  <r>
    <s v="CUST0510"/>
    <s v="Male"/>
    <n v="48"/>
    <x v="2"/>
    <x v="0"/>
    <x v="0"/>
    <n v="34"/>
    <n v="43.69"/>
    <x v="1"/>
    <n v="2"/>
    <n v="3"/>
    <x v="1"/>
    <d v="2022-10-28T00:00:00"/>
  </r>
  <r>
    <s v="CUST0511"/>
    <s v="Male"/>
    <n v="49"/>
    <x v="1"/>
    <x v="0"/>
    <x v="1"/>
    <n v="15"/>
    <n v="60.27"/>
    <x v="1"/>
    <n v="2"/>
    <n v="3"/>
    <x v="1"/>
    <d v="2024-05-22T00:00:00"/>
  </r>
  <r>
    <s v="CUST0512"/>
    <s v="Female"/>
    <n v="50"/>
    <x v="1"/>
    <x v="2"/>
    <x v="2"/>
    <n v="14"/>
    <n v="89.89"/>
    <x v="0"/>
    <n v="4"/>
    <n v="5"/>
    <x v="1"/>
    <d v="2024-04-24T00:00:00"/>
  </r>
  <r>
    <s v="CUST0513"/>
    <s v="Male"/>
    <n v="33"/>
    <x v="2"/>
    <x v="1"/>
    <x v="0"/>
    <n v="62"/>
    <n v="35.76"/>
    <x v="2"/>
    <n v="3"/>
    <n v="5"/>
    <x v="1"/>
    <d v="2023-06-11T00:00:00"/>
  </r>
  <r>
    <s v="CUST0514"/>
    <s v="Male"/>
    <n v="52"/>
    <x v="2"/>
    <x v="0"/>
    <x v="2"/>
    <n v="10"/>
    <n v="96.09"/>
    <x v="1"/>
    <n v="1"/>
    <n v="5"/>
    <x v="1"/>
    <d v="2022-10-29T00:00:00"/>
  </r>
  <r>
    <s v="CUST0515"/>
    <s v="Female"/>
    <n v="70"/>
    <x v="3"/>
    <x v="0"/>
    <x v="1"/>
    <n v="52"/>
    <n v="56.04"/>
    <x v="0"/>
    <n v="6"/>
    <n v="3"/>
    <x v="1"/>
    <d v="2024-09-14T00:00:00"/>
  </r>
  <r>
    <s v="CUST0516"/>
    <s v="Female"/>
    <n v="23"/>
    <x v="2"/>
    <x v="0"/>
    <x v="2"/>
    <n v="1"/>
    <n v="96.36"/>
    <x v="3"/>
    <n v="7"/>
    <n v="5"/>
    <x v="0"/>
    <d v="2024-06-14T00:00:00"/>
  </r>
  <r>
    <s v="CUST0517"/>
    <s v="Male"/>
    <n v="30"/>
    <x v="2"/>
    <x v="1"/>
    <x v="1"/>
    <n v="39"/>
    <n v="63.55"/>
    <x v="2"/>
    <n v="6"/>
    <n v="3"/>
    <x v="1"/>
    <d v="2024-04-08T00:00:00"/>
  </r>
  <r>
    <s v="CUST0518"/>
    <s v="Female"/>
    <n v="57"/>
    <x v="3"/>
    <x v="0"/>
    <x v="1"/>
    <n v="8"/>
    <n v="60.54"/>
    <x v="0"/>
    <n v="0"/>
    <n v="5"/>
    <x v="1"/>
    <d v="2023-01-06T00:00:00"/>
  </r>
  <r>
    <s v="CUST0519"/>
    <s v="Female"/>
    <n v="36"/>
    <x v="1"/>
    <x v="0"/>
    <x v="1"/>
    <n v="51"/>
    <n v="64.38"/>
    <x v="1"/>
    <n v="6"/>
    <n v="4"/>
    <x v="1"/>
    <d v="2022-03-09T00:00:00"/>
  </r>
  <r>
    <s v="CUST0520"/>
    <s v="Female"/>
    <n v="48"/>
    <x v="2"/>
    <x v="0"/>
    <x v="2"/>
    <n v="50"/>
    <n v="97.65"/>
    <x v="2"/>
    <n v="6"/>
    <n v="2"/>
    <x v="0"/>
    <d v="2025-11-23T00:00:00"/>
  </r>
  <r>
    <s v="CUST0521"/>
    <s v="Female"/>
    <n v="26"/>
    <x v="1"/>
    <x v="0"/>
    <x v="2"/>
    <n v="3"/>
    <n v="87.16"/>
    <x v="1"/>
    <n v="6"/>
    <n v="2"/>
    <x v="0"/>
    <d v="2024-08-08T00:00:00"/>
  </r>
  <r>
    <s v="CUST0522"/>
    <s v="Male"/>
    <n v="47"/>
    <x v="3"/>
    <x v="1"/>
    <x v="0"/>
    <n v="59"/>
    <n v="37.64"/>
    <x v="1"/>
    <n v="6"/>
    <n v="3"/>
    <x v="1"/>
    <d v="2023-05-20T00:00:00"/>
  </r>
  <r>
    <s v="CUST0523"/>
    <s v="Female"/>
    <n v="54"/>
    <x v="3"/>
    <x v="1"/>
    <x v="0"/>
    <n v="65"/>
    <n v="34.04"/>
    <x v="2"/>
    <n v="0"/>
    <n v="1"/>
    <x v="1"/>
    <d v="2024-12-14T00:00:00"/>
  </r>
  <r>
    <s v="CUST0524"/>
    <s v="Male"/>
    <n v="25"/>
    <x v="3"/>
    <x v="1"/>
    <x v="0"/>
    <n v="19"/>
    <n v="40.950000000000003"/>
    <x v="2"/>
    <n v="7"/>
    <n v="5"/>
    <x v="0"/>
    <d v="2024-06-03T00:00:00"/>
  </r>
  <r>
    <s v="CUST0525"/>
    <s v="Female"/>
    <n v="33"/>
    <x v="3"/>
    <x v="1"/>
    <x v="2"/>
    <n v="10"/>
    <n v="95.26"/>
    <x v="2"/>
    <n v="0"/>
    <n v="3"/>
    <x v="1"/>
    <d v="2021-01-23T00:00:00"/>
  </r>
  <r>
    <s v="CUST0526"/>
    <s v="Male"/>
    <n v="47"/>
    <x v="3"/>
    <x v="1"/>
    <x v="2"/>
    <n v="43"/>
    <n v="91.32"/>
    <x v="2"/>
    <n v="4"/>
    <n v="2"/>
    <x v="0"/>
    <d v="2024-05-08T00:00:00"/>
  </r>
  <r>
    <s v="CUST0527"/>
    <s v="Male"/>
    <n v="64"/>
    <x v="0"/>
    <x v="0"/>
    <x v="2"/>
    <n v="61"/>
    <n v="93.67"/>
    <x v="0"/>
    <n v="4"/>
    <n v="5"/>
    <x v="0"/>
    <d v="2023-09-20T00:00:00"/>
  </r>
  <r>
    <s v="CUST0528"/>
    <s v="Female"/>
    <n v="26"/>
    <x v="1"/>
    <x v="2"/>
    <x v="1"/>
    <n v="17"/>
    <n v="64.239999999999995"/>
    <x v="2"/>
    <n v="4"/>
    <n v="1"/>
    <x v="1"/>
    <d v="2024-05-21T00:00:00"/>
  </r>
  <r>
    <s v="CUST0529"/>
    <s v="Female"/>
    <n v="55"/>
    <x v="2"/>
    <x v="1"/>
    <x v="1"/>
    <n v="48"/>
    <n v="67.12"/>
    <x v="2"/>
    <n v="3"/>
    <n v="4"/>
    <x v="1"/>
    <d v="2023-12-17T00:00:00"/>
  </r>
  <r>
    <s v="CUST0530"/>
    <s v="Female"/>
    <n v="39"/>
    <x v="1"/>
    <x v="0"/>
    <x v="2"/>
    <n v="20"/>
    <n v="97.56"/>
    <x v="1"/>
    <n v="6"/>
    <n v="2"/>
    <x v="1"/>
    <d v="2025-01-26T00:00:00"/>
  </r>
  <r>
    <s v="CUST0531"/>
    <s v="Female"/>
    <n v="31"/>
    <x v="0"/>
    <x v="0"/>
    <x v="2"/>
    <n v="34"/>
    <n v="96.33"/>
    <x v="0"/>
    <n v="0"/>
    <n v="2"/>
    <x v="1"/>
    <d v="2023-09-03T00:00:00"/>
  </r>
  <r>
    <s v="CUST0532"/>
    <s v="Male"/>
    <n v="48"/>
    <x v="2"/>
    <x v="2"/>
    <x v="2"/>
    <n v="50"/>
    <n v="92.12"/>
    <x v="3"/>
    <n v="8"/>
    <n v="4"/>
    <x v="0"/>
    <d v="2025-06-21T00:00:00"/>
  </r>
  <r>
    <s v="CUST0533"/>
    <s v="Male"/>
    <n v="42"/>
    <x v="0"/>
    <x v="1"/>
    <x v="2"/>
    <n v="6"/>
    <n v="86.46"/>
    <x v="2"/>
    <n v="6"/>
    <n v="5"/>
    <x v="1"/>
    <d v="2025-10-24T00:00:00"/>
  </r>
  <r>
    <s v="CUST0534"/>
    <s v="Male"/>
    <n v="39"/>
    <x v="0"/>
    <x v="2"/>
    <x v="0"/>
    <n v="33"/>
    <n v="39.82"/>
    <x v="1"/>
    <n v="7"/>
    <n v="2"/>
    <x v="1"/>
    <d v="2024-04-20T00:00:00"/>
  </r>
  <r>
    <s v="CUST0535"/>
    <s v="Female"/>
    <n v="51"/>
    <x v="0"/>
    <x v="1"/>
    <x v="2"/>
    <n v="24"/>
    <n v="89.7"/>
    <x v="0"/>
    <n v="0"/>
    <n v="1"/>
    <x v="0"/>
    <d v="2021-07-20T00:00:00"/>
  </r>
  <r>
    <s v="CUST0536"/>
    <s v="Female"/>
    <n v="61"/>
    <x v="3"/>
    <x v="2"/>
    <x v="0"/>
    <n v="37"/>
    <n v="33.78"/>
    <x v="0"/>
    <n v="0"/>
    <n v="5"/>
    <x v="0"/>
    <d v="2024-05-01T00:00:00"/>
  </r>
  <r>
    <s v="CUST0537"/>
    <s v="Female"/>
    <n v="56"/>
    <x v="1"/>
    <x v="1"/>
    <x v="0"/>
    <n v="12"/>
    <n v="42.85"/>
    <x v="3"/>
    <n v="6"/>
    <n v="5"/>
    <x v="1"/>
    <d v="2022-01-14T00:00:00"/>
  </r>
  <r>
    <s v="CUST0538"/>
    <s v="Female"/>
    <n v="62"/>
    <x v="2"/>
    <x v="2"/>
    <x v="1"/>
    <n v="60"/>
    <n v="64.91"/>
    <x v="0"/>
    <n v="7"/>
    <n v="3"/>
    <x v="1"/>
    <d v="2024-11-18T00:00:00"/>
  </r>
  <r>
    <s v="CUST0539"/>
    <s v="Male"/>
    <n v="34"/>
    <x v="2"/>
    <x v="0"/>
    <x v="1"/>
    <n v="8"/>
    <n v="60.74"/>
    <x v="2"/>
    <n v="0"/>
    <n v="3"/>
    <x v="1"/>
    <d v="2022-06-27T00:00:00"/>
  </r>
  <r>
    <s v="CUST0540"/>
    <s v="Female"/>
    <n v="46"/>
    <x v="1"/>
    <x v="2"/>
    <x v="0"/>
    <n v="51"/>
    <n v="32.68"/>
    <x v="1"/>
    <n v="1"/>
    <n v="2"/>
    <x v="1"/>
    <d v="2023-06-03T00:00:00"/>
  </r>
  <r>
    <s v="CUST0541"/>
    <s v="Female"/>
    <n v="57"/>
    <x v="1"/>
    <x v="2"/>
    <x v="2"/>
    <n v="34"/>
    <n v="86.55"/>
    <x v="0"/>
    <n v="1"/>
    <n v="5"/>
    <x v="1"/>
    <d v="2025-05-11T00:00:00"/>
  </r>
  <r>
    <s v="CUST0542"/>
    <s v="Male"/>
    <n v="19"/>
    <x v="3"/>
    <x v="0"/>
    <x v="2"/>
    <n v="1"/>
    <n v="98.99"/>
    <x v="1"/>
    <n v="4"/>
    <n v="2"/>
    <x v="1"/>
    <d v="2023-03-13T00:00:00"/>
  </r>
  <r>
    <s v="CUST0543"/>
    <s v="Female"/>
    <n v="50"/>
    <x v="3"/>
    <x v="2"/>
    <x v="1"/>
    <n v="52"/>
    <n v="67.66"/>
    <x v="0"/>
    <n v="8"/>
    <n v="2"/>
    <x v="0"/>
    <d v="2024-11-12T00:00:00"/>
  </r>
  <r>
    <s v="CUST0544"/>
    <s v="Male"/>
    <n v="25"/>
    <x v="0"/>
    <x v="2"/>
    <x v="2"/>
    <n v="39"/>
    <n v="91.01"/>
    <x v="0"/>
    <n v="5"/>
    <n v="5"/>
    <x v="1"/>
    <d v="2022-11-28T00:00:00"/>
  </r>
  <r>
    <s v="CUST0545"/>
    <s v="Female"/>
    <n v="47"/>
    <x v="0"/>
    <x v="1"/>
    <x v="0"/>
    <n v="23"/>
    <n v="38.32"/>
    <x v="1"/>
    <n v="3"/>
    <n v="3"/>
    <x v="1"/>
    <d v="2021-08-07T00:00:00"/>
  </r>
  <r>
    <s v="CUST0546"/>
    <s v="Male"/>
    <n v="49"/>
    <x v="1"/>
    <x v="1"/>
    <x v="1"/>
    <n v="25"/>
    <n v="57.1"/>
    <x v="3"/>
    <n v="0"/>
    <n v="5"/>
    <x v="1"/>
    <d v="2023-03-08T00:00:00"/>
  </r>
  <r>
    <s v="CUST0547"/>
    <s v="Female"/>
    <n v="68"/>
    <x v="0"/>
    <x v="2"/>
    <x v="2"/>
    <n v="58"/>
    <n v="99.5"/>
    <x v="0"/>
    <n v="0"/>
    <n v="3"/>
    <x v="0"/>
    <d v="2025-06-02T00:00:00"/>
  </r>
  <r>
    <s v="CUST0548"/>
    <s v="Female"/>
    <n v="43"/>
    <x v="1"/>
    <x v="0"/>
    <x v="2"/>
    <n v="67"/>
    <n v="91.88"/>
    <x v="3"/>
    <n v="3"/>
    <n v="1"/>
    <x v="0"/>
    <d v="2021-10-17T00:00:00"/>
  </r>
  <r>
    <s v="CUST0549"/>
    <s v="Male"/>
    <n v="59"/>
    <x v="1"/>
    <x v="2"/>
    <x v="2"/>
    <n v="6"/>
    <n v="88.64"/>
    <x v="3"/>
    <n v="0"/>
    <n v="2"/>
    <x v="1"/>
    <d v="2022-09-22T00:00:00"/>
  </r>
  <r>
    <s v="CUST0550"/>
    <s v="Female"/>
    <n v="47"/>
    <x v="2"/>
    <x v="1"/>
    <x v="0"/>
    <n v="14"/>
    <n v="31.71"/>
    <x v="3"/>
    <n v="1"/>
    <n v="2"/>
    <x v="1"/>
    <d v="2025-07-20T00:00:00"/>
  </r>
  <r>
    <s v="CUST0551"/>
    <s v="Male"/>
    <n v="38"/>
    <x v="1"/>
    <x v="1"/>
    <x v="2"/>
    <n v="70"/>
    <n v="87.06"/>
    <x v="3"/>
    <n v="0"/>
    <n v="5"/>
    <x v="1"/>
    <d v="2021-05-10T00:00:00"/>
  </r>
  <r>
    <s v="CUST0552"/>
    <s v="Female"/>
    <n v="35"/>
    <x v="2"/>
    <x v="2"/>
    <x v="0"/>
    <n v="48"/>
    <n v="38.299999999999997"/>
    <x v="1"/>
    <n v="3"/>
    <n v="5"/>
    <x v="0"/>
    <d v="2021-07-24T00:00:00"/>
  </r>
  <r>
    <s v="CUST0553"/>
    <s v="Male"/>
    <n v="67"/>
    <x v="2"/>
    <x v="0"/>
    <x v="1"/>
    <n v="11"/>
    <n v="55.1"/>
    <x v="3"/>
    <n v="1"/>
    <n v="5"/>
    <x v="1"/>
    <d v="2023-05-03T00:00:00"/>
  </r>
  <r>
    <s v="CUST0554"/>
    <s v="Male"/>
    <n v="62"/>
    <x v="2"/>
    <x v="0"/>
    <x v="0"/>
    <n v="35"/>
    <n v="37.85"/>
    <x v="1"/>
    <n v="3"/>
    <n v="2"/>
    <x v="1"/>
    <d v="2021-03-19T00:00:00"/>
  </r>
  <r>
    <s v="CUST0555"/>
    <s v="Female"/>
    <n v="63"/>
    <x v="3"/>
    <x v="1"/>
    <x v="0"/>
    <n v="39"/>
    <n v="35.22"/>
    <x v="0"/>
    <n v="8"/>
    <n v="2"/>
    <x v="0"/>
    <d v="2023-12-22T00:00:00"/>
  </r>
  <r>
    <s v="CUST0556"/>
    <s v="Female"/>
    <n v="57"/>
    <x v="0"/>
    <x v="1"/>
    <x v="2"/>
    <n v="29"/>
    <n v="91.96"/>
    <x v="3"/>
    <n v="4"/>
    <n v="1"/>
    <x v="1"/>
    <d v="2025-06-20T00:00:00"/>
  </r>
  <r>
    <s v="CUST0557"/>
    <s v="Female"/>
    <n v="61"/>
    <x v="3"/>
    <x v="2"/>
    <x v="0"/>
    <n v="21"/>
    <n v="40.049999999999997"/>
    <x v="0"/>
    <n v="0"/>
    <n v="3"/>
    <x v="1"/>
    <d v="2023-06-10T00:00:00"/>
  </r>
  <r>
    <s v="CUST0558"/>
    <s v="Male"/>
    <n v="39"/>
    <x v="3"/>
    <x v="0"/>
    <x v="0"/>
    <n v="7"/>
    <n v="43.87"/>
    <x v="3"/>
    <n v="2"/>
    <n v="1"/>
    <x v="1"/>
    <d v="2021-08-26T00:00:00"/>
  </r>
  <r>
    <s v="CUST0559"/>
    <s v="Female"/>
    <n v="33"/>
    <x v="3"/>
    <x v="1"/>
    <x v="2"/>
    <n v="42"/>
    <n v="91.29"/>
    <x v="2"/>
    <n v="3"/>
    <n v="1"/>
    <x v="1"/>
    <d v="2021-07-20T00:00:00"/>
  </r>
  <r>
    <s v="CUST0560"/>
    <s v="Female"/>
    <n v="65"/>
    <x v="3"/>
    <x v="0"/>
    <x v="1"/>
    <n v="29"/>
    <n v="56.1"/>
    <x v="1"/>
    <n v="0"/>
    <n v="4"/>
    <x v="0"/>
    <d v="2024-06-02T00:00:00"/>
  </r>
  <r>
    <s v="CUST0561"/>
    <s v="Male"/>
    <n v="29"/>
    <x v="3"/>
    <x v="2"/>
    <x v="0"/>
    <n v="59"/>
    <n v="40.799999999999997"/>
    <x v="2"/>
    <n v="4"/>
    <n v="2"/>
    <x v="1"/>
    <d v="2021-03-07T00:00:00"/>
  </r>
  <r>
    <s v="CUST0562"/>
    <s v="Female"/>
    <n v="35"/>
    <x v="2"/>
    <x v="0"/>
    <x v="1"/>
    <n v="59"/>
    <n v="61.27"/>
    <x v="2"/>
    <n v="3"/>
    <n v="3"/>
    <x v="1"/>
    <d v="2025-06-05T00:00:00"/>
  </r>
  <r>
    <s v="CUST0563"/>
    <s v="Female"/>
    <n v="54"/>
    <x v="2"/>
    <x v="0"/>
    <x v="1"/>
    <n v="67"/>
    <n v="62.34"/>
    <x v="3"/>
    <n v="7"/>
    <n v="4"/>
    <x v="0"/>
    <d v="2025-02-04T00:00:00"/>
  </r>
  <r>
    <s v="CUST0564"/>
    <s v="Male"/>
    <n v="65"/>
    <x v="2"/>
    <x v="0"/>
    <x v="1"/>
    <n v="56"/>
    <n v="63.69"/>
    <x v="3"/>
    <n v="0"/>
    <n v="4"/>
    <x v="1"/>
    <d v="2021-03-24T00:00:00"/>
  </r>
  <r>
    <s v="CUST0565"/>
    <s v="Male"/>
    <n v="64"/>
    <x v="1"/>
    <x v="2"/>
    <x v="2"/>
    <n v="51"/>
    <n v="92.19"/>
    <x v="0"/>
    <n v="7"/>
    <n v="4"/>
    <x v="1"/>
    <d v="2024-02-18T00:00:00"/>
  </r>
  <r>
    <s v="CUST0566"/>
    <s v="Female"/>
    <n v="62"/>
    <x v="3"/>
    <x v="0"/>
    <x v="0"/>
    <n v="46"/>
    <n v="34.44"/>
    <x v="0"/>
    <n v="0"/>
    <n v="4"/>
    <x v="1"/>
    <d v="2021-11-28T00:00:00"/>
  </r>
  <r>
    <s v="CUST0567"/>
    <s v="Male"/>
    <n v="54"/>
    <x v="1"/>
    <x v="2"/>
    <x v="1"/>
    <n v="18"/>
    <n v="68.11"/>
    <x v="1"/>
    <n v="2"/>
    <n v="3"/>
    <x v="1"/>
    <d v="2024-12-12T00:00:00"/>
  </r>
  <r>
    <s v="CUST0568"/>
    <s v="Female"/>
    <n v="58"/>
    <x v="1"/>
    <x v="2"/>
    <x v="2"/>
    <n v="43"/>
    <n v="92.96"/>
    <x v="2"/>
    <n v="6"/>
    <n v="3"/>
    <x v="1"/>
    <d v="2024-06-08T00:00:00"/>
  </r>
  <r>
    <s v="CUST0569"/>
    <s v="Female"/>
    <n v="68"/>
    <x v="1"/>
    <x v="1"/>
    <x v="1"/>
    <n v="8"/>
    <n v="62.72"/>
    <x v="2"/>
    <n v="0"/>
    <n v="1"/>
    <x v="1"/>
    <d v="2023-08-12T00:00:00"/>
  </r>
  <r>
    <s v="CUST0570"/>
    <s v="Female"/>
    <n v="41"/>
    <x v="0"/>
    <x v="0"/>
    <x v="2"/>
    <n v="72"/>
    <n v="95.57"/>
    <x v="3"/>
    <n v="2"/>
    <n v="3"/>
    <x v="1"/>
    <d v="2021-08-21T00:00:00"/>
  </r>
  <r>
    <s v="CUST0571"/>
    <s v="Male"/>
    <n v="65"/>
    <x v="2"/>
    <x v="1"/>
    <x v="0"/>
    <n v="42"/>
    <n v="35.29"/>
    <x v="2"/>
    <n v="8"/>
    <n v="4"/>
    <x v="1"/>
    <d v="2021-05-10T00:00:00"/>
  </r>
  <r>
    <s v="CUST0572"/>
    <s v="Male"/>
    <n v="40"/>
    <x v="3"/>
    <x v="2"/>
    <x v="2"/>
    <n v="68"/>
    <n v="97.44"/>
    <x v="1"/>
    <n v="8"/>
    <n v="5"/>
    <x v="1"/>
    <d v="2023-07-15T00:00:00"/>
  </r>
  <r>
    <s v="CUST0573"/>
    <s v="Male"/>
    <n v="69"/>
    <x v="1"/>
    <x v="0"/>
    <x v="1"/>
    <n v="12"/>
    <n v="56.2"/>
    <x v="3"/>
    <n v="4"/>
    <n v="1"/>
    <x v="0"/>
    <d v="2022-07-20T00:00:00"/>
  </r>
  <r>
    <s v="CUST0574"/>
    <s v="Female"/>
    <n v="62"/>
    <x v="2"/>
    <x v="2"/>
    <x v="0"/>
    <n v="27"/>
    <n v="37.81"/>
    <x v="0"/>
    <n v="4"/>
    <n v="4"/>
    <x v="1"/>
    <d v="2024-01-14T00:00:00"/>
  </r>
  <r>
    <s v="CUST0575"/>
    <s v="Female"/>
    <n v="48"/>
    <x v="0"/>
    <x v="2"/>
    <x v="1"/>
    <n v="3"/>
    <n v="59.37"/>
    <x v="0"/>
    <n v="0"/>
    <n v="2"/>
    <x v="1"/>
    <d v="2023-12-01T00:00:00"/>
  </r>
  <r>
    <s v="CUST0576"/>
    <s v="Male"/>
    <n v="44"/>
    <x v="0"/>
    <x v="1"/>
    <x v="2"/>
    <n v="42"/>
    <n v="92.29"/>
    <x v="1"/>
    <n v="7"/>
    <n v="3"/>
    <x v="1"/>
    <d v="2025-06-05T00:00:00"/>
  </r>
  <r>
    <s v="CUST0577"/>
    <s v="Male"/>
    <n v="28"/>
    <x v="0"/>
    <x v="0"/>
    <x v="1"/>
    <n v="48"/>
    <n v="69.56"/>
    <x v="0"/>
    <n v="2"/>
    <n v="3"/>
    <x v="1"/>
    <d v="2021-12-07T00:00:00"/>
  </r>
  <r>
    <s v="CUST0578"/>
    <s v="Female"/>
    <n v="63"/>
    <x v="0"/>
    <x v="0"/>
    <x v="0"/>
    <n v="20"/>
    <n v="32.42"/>
    <x v="0"/>
    <n v="0"/>
    <n v="3"/>
    <x v="1"/>
    <d v="2023-06-22T00:00:00"/>
  </r>
  <r>
    <s v="CUST0579"/>
    <s v="Male"/>
    <n v="41"/>
    <x v="2"/>
    <x v="0"/>
    <x v="2"/>
    <n v="5"/>
    <n v="94.98"/>
    <x v="2"/>
    <n v="2"/>
    <n v="3"/>
    <x v="1"/>
    <d v="2021-11-29T00:00:00"/>
  </r>
  <r>
    <s v="CUST0580"/>
    <s v="Male"/>
    <n v="25"/>
    <x v="1"/>
    <x v="2"/>
    <x v="1"/>
    <n v="19"/>
    <n v="69.22"/>
    <x v="2"/>
    <n v="2"/>
    <n v="1"/>
    <x v="1"/>
    <d v="2024-01-24T00:00:00"/>
  </r>
  <r>
    <s v="CUST0581"/>
    <s v="Male"/>
    <n v="59"/>
    <x v="0"/>
    <x v="2"/>
    <x v="1"/>
    <n v="19"/>
    <n v="66.989999999999995"/>
    <x v="1"/>
    <n v="5"/>
    <n v="1"/>
    <x v="1"/>
    <d v="2021-03-24T00:00:00"/>
  </r>
  <r>
    <s v="CUST0582"/>
    <s v="Female"/>
    <n v="61"/>
    <x v="1"/>
    <x v="2"/>
    <x v="0"/>
    <n v="52"/>
    <n v="39.26"/>
    <x v="3"/>
    <n v="7"/>
    <n v="3"/>
    <x v="0"/>
    <d v="2021-04-23T00:00:00"/>
  </r>
  <r>
    <s v="CUST0583"/>
    <s v="Female"/>
    <n v="55"/>
    <x v="2"/>
    <x v="2"/>
    <x v="0"/>
    <n v="3"/>
    <n v="31.25"/>
    <x v="1"/>
    <n v="1"/>
    <n v="5"/>
    <x v="1"/>
    <d v="2023-10-02T00:00:00"/>
  </r>
  <r>
    <s v="CUST0584"/>
    <s v="Male"/>
    <n v="56"/>
    <x v="1"/>
    <x v="1"/>
    <x v="1"/>
    <n v="51"/>
    <n v="57.22"/>
    <x v="1"/>
    <n v="5"/>
    <n v="4"/>
    <x v="1"/>
    <d v="2022-08-06T00:00:00"/>
  </r>
  <r>
    <s v="CUST0585"/>
    <s v="Male"/>
    <n v="40"/>
    <x v="0"/>
    <x v="2"/>
    <x v="2"/>
    <n v="12"/>
    <n v="88.24"/>
    <x v="1"/>
    <n v="6"/>
    <n v="4"/>
    <x v="1"/>
    <d v="2025-07-09T00:00:00"/>
  </r>
  <r>
    <s v="CUST0586"/>
    <s v="Male"/>
    <n v="64"/>
    <x v="3"/>
    <x v="0"/>
    <x v="2"/>
    <n v="12"/>
    <n v="87.15"/>
    <x v="2"/>
    <n v="7"/>
    <n v="5"/>
    <x v="1"/>
    <d v="2021-05-16T00:00:00"/>
  </r>
  <r>
    <s v="CUST0587"/>
    <s v="Male"/>
    <n v="23"/>
    <x v="1"/>
    <x v="2"/>
    <x v="2"/>
    <n v="35"/>
    <n v="91.22"/>
    <x v="1"/>
    <n v="2"/>
    <n v="2"/>
    <x v="0"/>
    <d v="2023-02-21T00:00:00"/>
  </r>
  <r>
    <s v="CUST0588"/>
    <s v="Male"/>
    <n v="53"/>
    <x v="3"/>
    <x v="0"/>
    <x v="1"/>
    <n v="39"/>
    <n v="62.41"/>
    <x v="1"/>
    <n v="3"/>
    <n v="1"/>
    <x v="1"/>
    <d v="2021-11-12T00:00:00"/>
  </r>
  <r>
    <s v="CUST0589"/>
    <s v="Male"/>
    <n v="37"/>
    <x v="3"/>
    <x v="0"/>
    <x v="2"/>
    <n v="37"/>
    <n v="91.26"/>
    <x v="1"/>
    <n v="3"/>
    <n v="1"/>
    <x v="0"/>
    <d v="2022-07-22T00:00:00"/>
  </r>
  <r>
    <s v="CUST0590"/>
    <s v="Male"/>
    <n v="22"/>
    <x v="0"/>
    <x v="1"/>
    <x v="1"/>
    <n v="56"/>
    <n v="68.03"/>
    <x v="1"/>
    <n v="1"/>
    <n v="3"/>
    <x v="1"/>
    <d v="2024-03-24T00:00:00"/>
  </r>
  <r>
    <s v="CUST0591"/>
    <s v="Female"/>
    <n v="34"/>
    <x v="2"/>
    <x v="1"/>
    <x v="0"/>
    <n v="19"/>
    <n v="34.799999999999997"/>
    <x v="3"/>
    <n v="5"/>
    <n v="2"/>
    <x v="0"/>
    <d v="2023-01-10T00:00:00"/>
  </r>
  <r>
    <s v="CUST0592"/>
    <s v="Male"/>
    <n v="58"/>
    <x v="0"/>
    <x v="0"/>
    <x v="1"/>
    <n v="38"/>
    <n v="62.94"/>
    <x v="0"/>
    <n v="8"/>
    <n v="2"/>
    <x v="1"/>
    <d v="2022-01-11T00:00:00"/>
  </r>
  <r>
    <s v="CUST0593"/>
    <s v="Female"/>
    <n v="56"/>
    <x v="2"/>
    <x v="1"/>
    <x v="1"/>
    <n v="41"/>
    <n v="67.400000000000006"/>
    <x v="2"/>
    <n v="4"/>
    <n v="3"/>
    <x v="0"/>
    <d v="2024-04-02T00:00:00"/>
  </r>
  <r>
    <s v="CUST0594"/>
    <s v="Male"/>
    <n v="70"/>
    <x v="2"/>
    <x v="0"/>
    <x v="0"/>
    <n v="67"/>
    <n v="34.22"/>
    <x v="1"/>
    <n v="6"/>
    <n v="3"/>
    <x v="1"/>
    <d v="2021-11-30T00:00:00"/>
  </r>
  <r>
    <s v="CUST0595"/>
    <s v="Female"/>
    <n v="31"/>
    <x v="2"/>
    <x v="1"/>
    <x v="0"/>
    <n v="25"/>
    <n v="41.93"/>
    <x v="0"/>
    <n v="6"/>
    <n v="4"/>
    <x v="1"/>
    <d v="2021-08-27T00:00:00"/>
  </r>
  <r>
    <s v="CUST0596"/>
    <s v="Female"/>
    <n v="19"/>
    <x v="3"/>
    <x v="2"/>
    <x v="1"/>
    <n v="47"/>
    <n v="57.09"/>
    <x v="1"/>
    <n v="8"/>
    <n v="3"/>
    <x v="0"/>
    <d v="2022-09-16T00:00:00"/>
  </r>
  <r>
    <s v="CUST0597"/>
    <s v="Female"/>
    <n v="65"/>
    <x v="1"/>
    <x v="0"/>
    <x v="0"/>
    <n v="19"/>
    <n v="40.32"/>
    <x v="2"/>
    <n v="2"/>
    <n v="2"/>
    <x v="0"/>
    <d v="2021-06-10T00:00:00"/>
  </r>
  <r>
    <s v="CUST0598"/>
    <s v="Male"/>
    <n v="62"/>
    <x v="1"/>
    <x v="0"/>
    <x v="0"/>
    <n v="62"/>
    <n v="41.36"/>
    <x v="0"/>
    <n v="3"/>
    <n v="1"/>
    <x v="0"/>
    <d v="2024-09-13T00:00:00"/>
  </r>
  <r>
    <s v="CUST0599"/>
    <s v="Female"/>
    <n v="48"/>
    <x v="1"/>
    <x v="2"/>
    <x v="0"/>
    <n v="9"/>
    <n v="34.520000000000003"/>
    <x v="0"/>
    <n v="1"/>
    <n v="1"/>
    <x v="1"/>
    <d v="2022-02-25T00:00:00"/>
  </r>
  <r>
    <s v="CUST0600"/>
    <s v="Female"/>
    <n v="29"/>
    <x v="0"/>
    <x v="0"/>
    <x v="0"/>
    <n v="19"/>
    <n v="42.69"/>
    <x v="2"/>
    <n v="5"/>
    <n v="3"/>
    <x v="0"/>
    <d v="2023-10-23T00:00:00"/>
  </r>
  <r>
    <s v="CUST0601"/>
    <s v="Female"/>
    <n v="50"/>
    <x v="1"/>
    <x v="0"/>
    <x v="2"/>
    <n v="2"/>
    <n v="92.93"/>
    <x v="3"/>
    <n v="4"/>
    <n v="2"/>
    <x v="1"/>
    <d v="2024-01-06T00:00:00"/>
  </r>
  <r>
    <s v="CUST0602"/>
    <s v="Female"/>
    <n v="64"/>
    <x v="1"/>
    <x v="0"/>
    <x v="2"/>
    <n v="61"/>
    <n v="90.5"/>
    <x v="3"/>
    <n v="7"/>
    <n v="1"/>
    <x v="0"/>
    <d v="2022-12-28T00:00:00"/>
  </r>
  <r>
    <s v="CUST0603"/>
    <s v="Male"/>
    <n v="45"/>
    <x v="2"/>
    <x v="1"/>
    <x v="0"/>
    <n v="53"/>
    <n v="31.69"/>
    <x v="2"/>
    <n v="1"/>
    <n v="4"/>
    <x v="1"/>
    <d v="2021-10-06T00:00:00"/>
  </r>
  <r>
    <s v="CUST0604"/>
    <s v="Male"/>
    <n v="66"/>
    <x v="0"/>
    <x v="1"/>
    <x v="1"/>
    <n v="72"/>
    <n v="65.83"/>
    <x v="0"/>
    <n v="5"/>
    <n v="4"/>
    <x v="0"/>
    <d v="2022-08-04T00:00:00"/>
  </r>
  <r>
    <s v="CUST0605"/>
    <s v="Male"/>
    <n v="56"/>
    <x v="0"/>
    <x v="1"/>
    <x v="1"/>
    <n v="29"/>
    <n v="63.31"/>
    <x v="2"/>
    <n v="6"/>
    <n v="2"/>
    <x v="1"/>
    <d v="2025-09-19T00:00:00"/>
  </r>
  <r>
    <s v="CUST0606"/>
    <s v="Male"/>
    <n v="61"/>
    <x v="0"/>
    <x v="0"/>
    <x v="0"/>
    <n v="63"/>
    <n v="40.08"/>
    <x v="1"/>
    <n v="7"/>
    <n v="5"/>
    <x v="1"/>
    <d v="2021-06-24T00:00:00"/>
  </r>
  <r>
    <s v="CUST0607"/>
    <s v="Female"/>
    <n v="27"/>
    <x v="3"/>
    <x v="2"/>
    <x v="2"/>
    <n v="14"/>
    <n v="96.12"/>
    <x v="3"/>
    <n v="1"/>
    <n v="3"/>
    <x v="1"/>
    <d v="2022-11-25T00:00:00"/>
  </r>
  <r>
    <s v="CUST0608"/>
    <s v="Female"/>
    <n v="56"/>
    <x v="3"/>
    <x v="0"/>
    <x v="0"/>
    <n v="55"/>
    <n v="40.880000000000003"/>
    <x v="2"/>
    <n v="4"/>
    <n v="4"/>
    <x v="1"/>
    <d v="2024-09-27T00:00:00"/>
  </r>
  <r>
    <s v="CUST0609"/>
    <s v="Male"/>
    <n v="49"/>
    <x v="0"/>
    <x v="0"/>
    <x v="1"/>
    <n v="14"/>
    <n v="56.83"/>
    <x v="1"/>
    <n v="7"/>
    <n v="2"/>
    <x v="1"/>
    <d v="2021-10-03T00:00:00"/>
  </r>
  <r>
    <s v="CUST0610"/>
    <s v="Female"/>
    <n v="24"/>
    <x v="1"/>
    <x v="0"/>
    <x v="1"/>
    <n v="4"/>
    <n v="69.58"/>
    <x v="1"/>
    <n v="5"/>
    <n v="2"/>
    <x v="0"/>
    <d v="2024-06-30T00:00:00"/>
  </r>
  <r>
    <s v="CUST0611"/>
    <s v="Female"/>
    <n v="66"/>
    <x v="1"/>
    <x v="1"/>
    <x v="2"/>
    <n v="64"/>
    <n v="96.89"/>
    <x v="3"/>
    <n v="4"/>
    <n v="4"/>
    <x v="1"/>
    <d v="2022-06-20T00:00:00"/>
  </r>
  <r>
    <s v="CUST0612"/>
    <s v="Male"/>
    <n v="69"/>
    <x v="1"/>
    <x v="0"/>
    <x v="1"/>
    <n v="16"/>
    <n v="60.75"/>
    <x v="2"/>
    <n v="6"/>
    <n v="4"/>
    <x v="1"/>
    <d v="2021-03-09T00:00:00"/>
  </r>
  <r>
    <s v="CUST0613"/>
    <s v="Female"/>
    <n v="53"/>
    <x v="0"/>
    <x v="1"/>
    <x v="0"/>
    <n v="63"/>
    <n v="36.46"/>
    <x v="2"/>
    <n v="6"/>
    <n v="4"/>
    <x v="1"/>
    <d v="2024-03-11T00:00:00"/>
  </r>
  <r>
    <s v="CUST0614"/>
    <s v="Male"/>
    <n v="60"/>
    <x v="3"/>
    <x v="2"/>
    <x v="2"/>
    <n v="21"/>
    <n v="92.6"/>
    <x v="1"/>
    <n v="4"/>
    <n v="4"/>
    <x v="1"/>
    <d v="2023-02-13T00:00:00"/>
  </r>
  <r>
    <s v="CUST0615"/>
    <s v="Male"/>
    <n v="67"/>
    <x v="0"/>
    <x v="2"/>
    <x v="0"/>
    <n v="4"/>
    <n v="38.86"/>
    <x v="3"/>
    <n v="5"/>
    <n v="3"/>
    <x v="1"/>
    <d v="2024-04-10T00:00:00"/>
  </r>
  <r>
    <s v="CUST0616"/>
    <s v="Female"/>
    <n v="66"/>
    <x v="0"/>
    <x v="2"/>
    <x v="0"/>
    <n v="55"/>
    <n v="35.18"/>
    <x v="2"/>
    <n v="6"/>
    <n v="3"/>
    <x v="0"/>
    <d v="2022-05-16T00:00:00"/>
  </r>
  <r>
    <s v="CUST0617"/>
    <s v="Female"/>
    <n v="33"/>
    <x v="0"/>
    <x v="1"/>
    <x v="0"/>
    <n v="9"/>
    <n v="43.03"/>
    <x v="0"/>
    <n v="5"/>
    <n v="2"/>
    <x v="0"/>
    <d v="2022-10-30T00:00:00"/>
  </r>
  <r>
    <s v="CUST0618"/>
    <s v="Female"/>
    <n v="47"/>
    <x v="3"/>
    <x v="1"/>
    <x v="2"/>
    <n v="54"/>
    <n v="89"/>
    <x v="1"/>
    <n v="0"/>
    <n v="3"/>
    <x v="1"/>
    <d v="2023-03-11T00:00:00"/>
  </r>
  <r>
    <s v="CUST0619"/>
    <s v="Male"/>
    <n v="54"/>
    <x v="1"/>
    <x v="2"/>
    <x v="0"/>
    <n v="27"/>
    <n v="35.04"/>
    <x v="2"/>
    <n v="2"/>
    <n v="5"/>
    <x v="1"/>
    <d v="2023-06-12T00:00:00"/>
  </r>
  <r>
    <s v="CUST0620"/>
    <s v="Female"/>
    <n v="49"/>
    <x v="1"/>
    <x v="1"/>
    <x v="0"/>
    <n v="37"/>
    <n v="33.979999999999997"/>
    <x v="2"/>
    <n v="6"/>
    <n v="2"/>
    <x v="1"/>
    <d v="2021-07-08T00:00:00"/>
  </r>
  <r>
    <s v="CUST0621"/>
    <s v="Female"/>
    <n v="55"/>
    <x v="0"/>
    <x v="2"/>
    <x v="0"/>
    <n v="68"/>
    <n v="37.130000000000003"/>
    <x v="3"/>
    <n v="5"/>
    <n v="1"/>
    <x v="1"/>
    <d v="2022-09-11T00:00:00"/>
  </r>
  <r>
    <s v="CUST0622"/>
    <s v="Male"/>
    <n v="45"/>
    <x v="0"/>
    <x v="0"/>
    <x v="1"/>
    <n v="52"/>
    <n v="58.77"/>
    <x v="1"/>
    <n v="8"/>
    <n v="2"/>
    <x v="1"/>
    <d v="2024-07-09T00:00:00"/>
  </r>
  <r>
    <s v="CUST0623"/>
    <s v="Female"/>
    <n v="54"/>
    <x v="3"/>
    <x v="0"/>
    <x v="2"/>
    <n v="60"/>
    <n v="89.02"/>
    <x v="1"/>
    <n v="0"/>
    <n v="5"/>
    <x v="1"/>
    <d v="2023-08-06T00:00:00"/>
  </r>
  <r>
    <s v="CUST0624"/>
    <s v="Female"/>
    <n v="33"/>
    <x v="2"/>
    <x v="1"/>
    <x v="2"/>
    <n v="39"/>
    <n v="97.66"/>
    <x v="1"/>
    <n v="5"/>
    <n v="1"/>
    <x v="1"/>
    <d v="2025-09-29T00:00:00"/>
  </r>
  <r>
    <s v="CUST0625"/>
    <s v="Male"/>
    <n v="35"/>
    <x v="0"/>
    <x v="1"/>
    <x v="0"/>
    <n v="33"/>
    <n v="40.299999999999997"/>
    <x v="3"/>
    <n v="6"/>
    <n v="2"/>
    <x v="0"/>
    <d v="2022-01-29T00:00:00"/>
  </r>
  <r>
    <s v="CUST0626"/>
    <s v="Female"/>
    <n v="33"/>
    <x v="0"/>
    <x v="2"/>
    <x v="1"/>
    <n v="72"/>
    <n v="69.87"/>
    <x v="1"/>
    <n v="0"/>
    <n v="2"/>
    <x v="0"/>
    <d v="2021-10-07T00:00:00"/>
  </r>
  <r>
    <s v="CUST0627"/>
    <s v="Female"/>
    <n v="34"/>
    <x v="0"/>
    <x v="1"/>
    <x v="2"/>
    <n v="23"/>
    <n v="94.66"/>
    <x v="0"/>
    <n v="7"/>
    <n v="1"/>
    <x v="0"/>
    <d v="2021-06-21T00:00:00"/>
  </r>
  <r>
    <s v="CUST0628"/>
    <s v="Male"/>
    <n v="56"/>
    <x v="0"/>
    <x v="0"/>
    <x v="1"/>
    <n v="47"/>
    <n v="65.08"/>
    <x v="0"/>
    <n v="6"/>
    <n v="2"/>
    <x v="0"/>
    <d v="2024-03-15T00:00:00"/>
  </r>
  <r>
    <s v="CUST0629"/>
    <s v="Female"/>
    <n v="51"/>
    <x v="0"/>
    <x v="2"/>
    <x v="0"/>
    <n v="31"/>
    <n v="39"/>
    <x v="2"/>
    <n v="5"/>
    <n v="5"/>
    <x v="1"/>
    <d v="2025-07-09T00:00:00"/>
  </r>
  <r>
    <s v="CUST0630"/>
    <s v="Female"/>
    <n v="45"/>
    <x v="2"/>
    <x v="0"/>
    <x v="0"/>
    <n v="23"/>
    <n v="33.21"/>
    <x v="2"/>
    <n v="7"/>
    <n v="4"/>
    <x v="0"/>
    <d v="2024-04-22T00:00:00"/>
  </r>
  <r>
    <s v="CUST0631"/>
    <s v="Female"/>
    <n v="49"/>
    <x v="0"/>
    <x v="1"/>
    <x v="0"/>
    <n v="41"/>
    <n v="38.19"/>
    <x v="1"/>
    <n v="3"/>
    <n v="3"/>
    <x v="1"/>
    <d v="2021-10-24T00:00:00"/>
  </r>
  <r>
    <s v="CUST0632"/>
    <s v="Male"/>
    <n v="48"/>
    <x v="0"/>
    <x v="2"/>
    <x v="0"/>
    <n v="5"/>
    <n v="42.62"/>
    <x v="0"/>
    <n v="3"/>
    <n v="3"/>
    <x v="1"/>
    <d v="2022-09-26T00:00:00"/>
  </r>
  <r>
    <s v="CUST0633"/>
    <s v="Male"/>
    <n v="69"/>
    <x v="1"/>
    <x v="1"/>
    <x v="0"/>
    <n v="57"/>
    <n v="35.83"/>
    <x v="1"/>
    <n v="4"/>
    <n v="3"/>
    <x v="1"/>
    <d v="2025-08-12T00:00:00"/>
  </r>
  <r>
    <s v="CUST0634"/>
    <s v="Female"/>
    <n v="37"/>
    <x v="2"/>
    <x v="0"/>
    <x v="1"/>
    <n v="41"/>
    <n v="68.19"/>
    <x v="1"/>
    <n v="0"/>
    <n v="3"/>
    <x v="1"/>
    <d v="2025-08-13T00:00:00"/>
  </r>
  <r>
    <s v="CUST0635"/>
    <s v="Male"/>
    <n v="48"/>
    <x v="3"/>
    <x v="2"/>
    <x v="2"/>
    <n v="55"/>
    <n v="98.15"/>
    <x v="0"/>
    <n v="2"/>
    <n v="3"/>
    <x v="1"/>
    <d v="2022-12-22T00:00:00"/>
  </r>
  <r>
    <s v="CUST0636"/>
    <s v="Male"/>
    <n v="56"/>
    <x v="0"/>
    <x v="2"/>
    <x v="2"/>
    <n v="4"/>
    <n v="96.43"/>
    <x v="3"/>
    <n v="7"/>
    <n v="2"/>
    <x v="0"/>
    <d v="2022-02-14T00:00:00"/>
  </r>
  <r>
    <s v="CUST0637"/>
    <s v="Male"/>
    <n v="38"/>
    <x v="1"/>
    <x v="0"/>
    <x v="0"/>
    <n v="32"/>
    <n v="37.75"/>
    <x v="3"/>
    <n v="6"/>
    <n v="3"/>
    <x v="1"/>
    <d v="2025-11-24T00:00:00"/>
  </r>
  <r>
    <s v="CUST0638"/>
    <s v="Female"/>
    <n v="34"/>
    <x v="2"/>
    <x v="1"/>
    <x v="2"/>
    <n v="42"/>
    <n v="96.99"/>
    <x v="3"/>
    <n v="1"/>
    <n v="4"/>
    <x v="1"/>
    <d v="2023-03-17T00:00:00"/>
  </r>
  <r>
    <s v="CUST0639"/>
    <s v="Male"/>
    <n v="54"/>
    <x v="2"/>
    <x v="0"/>
    <x v="0"/>
    <n v="72"/>
    <n v="39.71"/>
    <x v="3"/>
    <n v="1"/>
    <n v="4"/>
    <x v="0"/>
    <d v="2024-12-07T00:00:00"/>
  </r>
  <r>
    <s v="CUST0640"/>
    <s v="Female"/>
    <n v="21"/>
    <x v="3"/>
    <x v="1"/>
    <x v="1"/>
    <n v="34"/>
    <n v="57.24"/>
    <x v="2"/>
    <n v="2"/>
    <n v="5"/>
    <x v="1"/>
    <d v="2025-01-11T00:00:00"/>
  </r>
  <r>
    <s v="CUST0641"/>
    <s v="Male"/>
    <n v="67"/>
    <x v="3"/>
    <x v="1"/>
    <x v="1"/>
    <n v="16"/>
    <n v="58.37"/>
    <x v="3"/>
    <n v="3"/>
    <n v="3"/>
    <x v="1"/>
    <d v="2023-10-10T00:00:00"/>
  </r>
  <r>
    <s v="CUST0642"/>
    <s v="Male"/>
    <n v="26"/>
    <x v="3"/>
    <x v="0"/>
    <x v="2"/>
    <n v="28"/>
    <n v="99.93"/>
    <x v="2"/>
    <n v="3"/>
    <n v="4"/>
    <x v="0"/>
    <d v="2025-06-11T00:00:00"/>
  </r>
  <r>
    <s v="CUST0643"/>
    <s v="Female"/>
    <n v="19"/>
    <x v="0"/>
    <x v="2"/>
    <x v="0"/>
    <n v="58"/>
    <n v="43.61"/>
    <x v="2"/>
    <n v="7"/>
    <n v="1"/>
    <x v="0"/>
    <d v="2021-09-30T00:00:00"/>
  </r>
  <r>
    <s v="CUST0644"/>
    <s v="Male"/>
    <n v="62"/>
    <x v="3"/>
    <x v="1"/>
    <x v="0"/>
    <n v="50"/>
    <n v="40.630000000000003"/>
    <x v="2"/>
    <n v="1"/>
    <n v="1"/>
    <x v="1"/>
    <d v="2021-04-17T00:00:00"/>
  </r>
  <r>
    <s v="CUST0645"/>
    <s v="Male"/>
    <n v="33"/>
    <x v="3"/>
    <x v="2"/>
    <x v="2"/>
    <n v="6"/>
    <n v="85.08"/>
    <x v="1"/>
    <n v="4"/>
    <n v="4"/>
    <x v="1"/>
    <d v="2021-09-28T00:00:00"/>
  </r>
  <r>
    <s v="CUST0646"/>
    <s v="Female"/>
    <n v="55"/>
    <x v="2"/>
    <x v="2"/>
    <x v="0"/>
    <n v="65"/>
    <n v="37.39"/>
    <x v="2"/>
    <n v="7"/>
    <n v="2"/>
    <x v="0"/>
    <d v="2024-12-25T00:00:00"/>
  </r>
  <r>
    <s v="CUST0647"/>
    <s v="Male"/>
    <n v="27"/>
    <x v="0"/>
    <x v="0"/>
    <x v="1"/>
    <n v="6"/>
    <n v="69.680000000000007"/>
    <x v="1"/>
    <n v="4"/>
    <n v="3"/>
    <x v="1"/>
    <d v="2022-08-03T00:00:00"/>
  </r>
  <r>
    <s v="CUST0648"/>
    <s v="Male"/>
    <n v="57"/>
    <x v="0"/>
    <x v="1"/>
    <x v="1"/>
    <n v="56"/>
    <n v="68.39"/>
    <x v="2"/>
    <n v="7"/>
    <n v="2"/>
    <x v="1"/>
    <d v="2024-09-08T00:00:00"/>
  </r>
  <r>
    <s v="CUST0649"/>
    <s v="Male"/>
    <n v="21"/>
    <x v="2"/>
    <x v="0"/>
    <x v="0"/>
    <n v="30"/>
    <n v="32.75"/>
    <x v="1"/>
    <n v="4"/>
    <n v="2"/>
    <x v="1"/>
    <d v="2023-06-13T00:00:00"/>
  </r>
  <r>
    <s v="CUST0650"/>
    <s v="Female"/>
    <n v="49"/>
    <x v="1"/>
    <x v="2"/>
    <x v="1"/>
    <n v="72"/>
    <n v="62.28"/>
    <x v="1"/>
    <n v="1"/>
    <n v="2"/>
    <x v="0"/>
    <d v="2021-07-11T00:00:00"/>
  </r>
  <r>
    <s v="CUST0651"/>
    <s v="Female"/>
    <n v="36"/>
    <x v="2"/>
    <x v="0"/>
    <x v="2"/>
    <n v="66"/>
    <n v="97.34"/>
    <x v="3"/>
    <n v="0"/>
    <n v="5"/>
    <x v="1"/>
    <d v="2022-01-05T00:00:00"/>
  </r>
  <r>
    <s v="CUST0652"/>
    <s v="Male"/>
    <n v="22"/>
    <x v="2"/>
    <x v="2"/>
    <x v="2"/>
    <n v="13"/>
    <n v="98.31"/>
    <x v="0"/>
    <n v="4"/>
    <n v="1"/>
    <x v="1"/>
    <d v="2024-04-24T00:00:00"/>
  </r>
  <r>
    <s v="CUST0653"/>
    <s v="Female"/>
    <n v="38"/>
    <x v="2"/>
    <x v="0"/>
    <x v="0"/>
    <n v="59"/>
    <n v="42.46"/>
    <x v="1"/>
    <n v="7"/>
    <n v="3"/>
    <x v="1"/>
    <d v="2021-01-12T00:00:00"/>
  </r>
  <r>
    <s v="CUST0654"/>
    <s v="Male"/>
    <n v="20"/>
    <x v="3"/>
    <x v="2"/>
    <x v="2"/>
    <n v="17"/>
    <n v="88.17"/>
    <x v="0"/>
    <n v="4"/>
    <n v="3"/>
    <x v="1"/>
    <d v="2025-03-04T00:00:00"/>
  </r>
  <r>
    <s v="CUST0655"/>
    <s v="Female"/>
    <n v="53"/>
    <x v="3"/>
    <x v="0"/>
    <x v="1"/>
    <n v="33"/>
    <n v="57.67"/>
    <x v="1"/>
    <n v="1"/>
    <n v="1"/>
    <x v="1"/>
    <d v="2021-11-30T00:00:00"/>
  </r>
  <r>
    <s v="CUST0656"/>
    <s v="Male"/>
    <n v="67"/>
    <x v="3"/>
    <x v="2"/>
    <x v="2"/>
    <n v="20"/>
    <n v="86.81"/>
    <x v="1"/>
    <n v="6"/>
    <n v="3"/>
    <x v="1"/>
    <d v="2024-05-20T00:00:00"/>
  </r>
  <r>
    <s v="CUST0657"/>
    <s v="Female"/>
    <n v="40"/>
    <x v="1"/>
    <x v="2"/>
    <x v="2"/>
    <n v="26"/>
    <n v="92.34"/>
    <x v="1"/>
    <n v="7"/>
    <n v="3"/>
    <x v="1"/>
    <d v="2023-05-17T00:00:00"/>
  </r>
  <r>
    <s v="CUST0658"/>
    <s v="Female"/>
    <n v="66"/>
    <x v="3"/>
    <x v="2"/>
    <x v="2"/>
    <n v="24"/>
    <n v="91.51"/>
    <x v="1"/>
    <n v="1"/>
    <n v="1"/>
    <x v="1"/>
    <d v="2023-08-08T00:00:00"/>
  </r>
  <r>
    <s v="CUST0659"/>
    <s v="Female"/>
    <n v="59"/>
    <x v="2"/>
    <x v="2"/>
    <x v="2"/>
    <n v="68"/>
    <n v="86.26"/>
    <x v="1"/>
    <n v="6"/>
    <n v="1"/>
    <x v="1"/>
    <d v="2023-09-06T00:00:00"/>
  </r>
  <r>
    <s v="CUST0660"/>
    <s v="Male"/>
    <n v="27"/>
    <x v="2"/>
    <x v="1"/>
    <x v="1"/>
    <n v="32"/>
    <n v="62.85"/>
    <x v="2"/>
    <n v="0"/>
    <n v="5"/>
    <x v="0"/>
    <d v="2021-04-03T00:00:00"/>
  </r>
  <r>
    <s v="CUST0661"/>
    <s v="Female"/>
    <n v="50"/>
    <x v="3"/>
    <x v="2"/>
    <x v="0"/>
    <n v="60"/>
    <n v="39.909999999999997"/>
    <x v="2"/>
    <n v="5"/>
    <n v="3"/>
    <x v="1"/>
    <d v="2025-04-24T00:00:00"/>
  </r>
  <r>
    <s v="CUST0662"/>
    <s v="Female"/>
    <n v="25"/>
    <x v="3"/>
    <x v="0"/>
    <x v="0"/>
    <n v="51"/>
    <n v="30.68"/>
    <x v="1"/>
    <n v="4"/>
    <n v="3"/>
    <x v="1"/>
    <d v="2023-07-21T00:00:00"/>
  </r>
  <r>
    <s v="CUST0663"/>
    <s v="Male"/>
    <n v="57"/>
    <x v="0"/>
    <x v="2"/>
    <x v="0"/>
    <n v="28"/>
    <n v="32.78"/>
    <x v="2"/>
    <n v="1"/>
    <n v="4"/>
    <x v="1"/>
    <d v="2021-01-12T00:00:00"/>
  </r>
  <r>
    <s v="CUST0664"/>
    <s v="Male"/>
    <n v="25"/>
    <x v="1"/>
    <x v="0"/>
    <x v="2"/>
    <n v="62"/>
    <n v="91.9"/>
    <x v="1"/>
    <n v="7"/>
    <n v="3"/>
    <x v="1"/>
    <d v="2024-06-17T00:00:00"/>
  </r>
  <r>
    <s v="CUST0665"/>
    <s v="Male"/>
    <n v="62"/>
    <x v="3"/>
    <x v="2"/>
    <x v="0"/>
    <n v="17"/>
    <n v="32.03"/>
    <x v="3"/>
    <n v="1"/>
    <n v="1"/>
    <x v="1"/>
    <d v="2022-01-21T00:00:00"/>
  </r>
  <r>
    <s v="CUST0666"/>
    <s v="Female"/>
    <n v="31"/>
    <x v="3"/>
    <x v="1"/>
    <x v="0"/>
    <n v="31"/>
    <n v="36.54"/>
    <x v="3"/>
    <n v="1"/>
    <n v="3"/>
    <x v="1"/>
    <d v="2021-10-31T00:00:00"/>
  </r>
  <r>
    <s v="CUST0667"/>
    <s v="Male"/>
    <n v="45"/>
    <x v="1"/>
    <x v="0"/>
    <x v="0"/>
    <n v="20"/>
    <n v="41.08"/>
    <x v="1"/>
    <n v="7"/>
    <n v="4"/>
    <x v="0"/>
    <d v="2023-07-10T00:00:00"/>
  </r>
  <r>
    <s v="CUST0668"/>
    <s v="Female"/>
    <n v="30"/>
    <x v="0"/>
    <x v="1"/>
    <x v="1"/>
    <n v="7"/>
    <n v="60.01"/>
    <x v="0"/>
    <n v="6"/>
    <n v="4"/>
    <x v="1"/>
    <d v="2025-02-18T00:00:00"/>
  </r>
  <r>
    <s v="CUST0669"/>
    <s v="Male"/>
    <n v="20"/>
    <x v="3"/>
    <x v="2"/>
    <x v="1"/>
    <n v="66"/>
    <n v="63.87"/>
    <x v="1"/>
    <n v="3"/>
    <n v="1"/>
    <x v="1"/>
    <d v="2023-05-15T00:00:00"/>
  </r>
  <r>
    <s v="CUST0670"/>
    <s v="Male"/>
    <n v="53"/>
    <x v="1"/>
    <x v="2"/>
    <x v="2"/>
    <n v="54"/>
    <n v="98.34"/>
    <x v="0"/>
    <n v="7"/>
    <n v="5"/>
    <x v="1"/>
    <d v="2022-12-12T00:00:00"/>
  </r>
  <r>
    <s v="CUST0671"/>
    <s v="Male"/>
    <n v="62"/>
    <x v="3"/>
    <x v="0"/>
    <x v="0"/>
    <n v="37"/>
    <n v="40.89"/>
    <x v="1"/>
    <n v="5"/>
    <n v="4"/>
    <x v="0"/>
    <d v="2022-03-26T00:00:00"/>
  </r>
  <r>
    <s v="CUST0672"/>
    <s v="Male"/>
    <n v="56"/>
    <x v="3"/>
    <x v="0"/>
    <x v="1"/>
    <n v="50"/>
    <n v="69.400000000000006"/>
    <x v="2"/>
    <n v="7"/>
    <n v="2"/>
    <x v="1"/>
    <d v="2022-08-02T00:00:00"/>
  </r>
  <r>
    <s v="CUST0673"/>
    <s v="Female"/>
    <n v="60"/>
    <x v="3"/>
    <x v="0"/>
    <x v="0"/>
    <n v="26"/>
    <n v="32.340000000000003"/>
    <x v="1"/>
    <n v="1"/>
    <n v="4"/>
    <x v="1"/>
    <d v="2023-10-09T00:00:00"/>
  </r>
  <r>
    <s v="CUST0674"/>
    <s v="Male"/>
    <n v="33"/>
    <x v="2"/>
    <x v="1"/>
    <x v="0"/>
    <n v="3"/>
    <n v="35.380000000000003"/>
    <x v="2"/>
    <n v="5"/>
    <n v="2"/>
    <x v="0"/>
    <d v="2025-10-27T00:00:00"/>
  </r>
  <r>
    <s v="CUST0675"/>
    <s v="Female"/>
    <n v="69"/>
    <x v="1"/>
    <x v="2"/>
    <x v="1"/>
    <n v="15"/>
    <n v="64.260000000000005"/>
    <x v="0"/>
    <n v="8"/>
    <n v="2"/>
    <x v="1"/>
    <d v="2022-11-28T00:00:00"/>
  </r>
  <r>
    <s v="CUST0676"/>
    <s v="Male"/>
    <n v="67"/>
    <x v="1"/>
    <x v="1"/>
    <x v="1"/>
    <n v="20"/>
    <n v="67.8"/>
    <x v="0"/>
    <n v="0"/>
    <n v="4"/>
    <x v="1"/>
    <d v="2025-09-20T00:00:00"/>
  </r>
  <r>
    <s v="CUST0677"/>
    <s v="Female"/>
    <n v="24"/>
    <x v="1"/>
    <x v="1"/>
    <x v="0"/>
    <n v="65"/>
    <n v="31.58"/>
    <x v="0"/>
    <n v="3"/>
    <n v="3"/>
    <x v="1"/>
    <d v="2022-08-22T00:00:00"/>
  </r>
  <r>
    <s v="CUST0678"/>
    <s v="Male"/>
    <n v="66"/>
    <x v="3"/>
    <x v="1"/>
    <x v="0"/>
    <n v="20"/>
    <n v="39.71"/>
    <x v="2"/>
    <n v="2"/>
    <n v="1"/>
    <x v="1"/>
    <d v="2023-06-19T00:00:00"/>
  </r>
  <r>
    <s v="CUST0679"/>
    <s v="Male"/>
    <n v="67"/>
    <x v="1"/>
    <x v="0"/>
    <x v="1"/>
    <n v="44"/>
    <n v="59.3"/>
    <x v="3"/>
    <n v="1"/>
    <n v="3"/>
    <x v="1"/>
    <d v="2025-03-26T00:00:00"/>
  </r>
  <r>
    <s v="CUST0680"/>
    <s v="Male"/>
    <n v="41"/>
    <x v="2"/>
    <x v="0"/>
    <x v="2"/>
    <n v="54"/>
    <n v="96.81"/>
    <x v="3"/>
    <n v="6"/>
    <n v="4"/>
    <x v="1"/>
    <d v="2023-07-29T00:00:00"/>
  </r>
  <r>
    <s v="CUST0681"/>
    <s v="Male"/>
    <n v="19"/>
    <x v="3"/>
    <x v="0"/>
    <x v="0"/>
    <n v="67"/>
    <n v="44.15"/>
    <x v="0"/>
    <n v="5"/>
    <n v="3"/>
    <x v="1"/>
    <d v="2025-05-01T00:00:00"/>
  </r>
  <r>
    <s v="CUST0682"/>
    <s v="Female"/>
    <n v="45"/>
    <x v="1"/>
    <x v="2"/>
    <x v="0"/>
    <n v="20"/>
    <n v="43.54"/>
    <x v="0"/>
    <n v="8"/>
    <n v="3"/>
    <x v="1"/>
    <d v="2024-10-26T00:00:00"/>
  </r>
  <r>
    <s v="CUST0683"/>
    <s v="Male"/>
    <n v="64"/>
    <x v="0"/>
    <x v="2"/>
    <x v="0"/>
    <n v="36"/>
    <n v="43.5"/>
    <x v="3"/>
    <n v="6"/>
    <n v="4"/>
    <x v="1"/>
    <d v="2024-01-20T00:00:00"/>
  </r>
  <r>
    <s v="CUST0684"/>
    <s v="Male"/>
    <n v="62"/>
    <x v="0"/>
    <x v="1"/>
    <x v="1"/>
    <n v="26"/>
    <n v="68.209999999999994"/>
    <x v="0"/>
    <n v="0"/>
    <n v="5"/>
    <x v="1"/>
    <d v="2025-01-25T00:00:00"/>
  </r>
  <r>
    <s v="CUST0685"/>
    <s v="Female"/>
    <n v="51"/>
    <x v="0"/>
    <x v="0"/>
    <x v="0"/>
    <n v="66"/>
    <n v="38.28"/>
    <x v="2"/>
    <n v="2"/>
    <n v="1"/>
    <x v="0"/>
    <d v="2025-06-20T00:00:00"/>
  </r>
  <r>
    <s v="CUST0686"/>
    <s v="Male"/>
    <n v="33"/>
    <x v="0"/>
    <x v="1"/>
    <x v="1"/>
    <n v="65"/>
    <n v="56.66"/>
    <x v="0"/>
    <n v="5"/>
    <n v="3"/>
    <x v="1"/>
    <d v="2022-12-27T00:00:00"/>
  </r>
  <r>
    <s v="CUST0687"/>
    <s v="Female"/>
    <n v="21"/>
    <x v="1"/>
    <x v="2"/>
    <x v="1"/>
    <n v="1"/>
    <n v="61.8"/>
    <x v="3"/>
    <n v="8"/>
    <n v="5"/>
    <x v="0"/>
    <d v="2022-09-05T00:00:00"/>
  </r>
  <r>
    <s v="CUST0688"/>
    <s v="Male"/>
    <n v="60"/>
    <x v="2"/>
    <x v="1"/>
    <x v="1"/>
    <n v="67"/>
    <n v="66.06"/>
    <x v="0"/>
    <n v="5"/>
    <n v="5"/>
    <x v="1"/>
    <d v="2025-08-13T00:00:00"/>
  </r>
  <r>
    <s v="CUST0689"/>
    <s v="Male"/>
    <n v="47"/>
    <x v="1"/>
    <x v="0"/>
    <x v="2"/>
    <n v="55"/>
    <n v="97.43"/>
    <x v="0"/>
    <n v="1"/>
    <n v="1"/>
    <x v="1"/>
    <d v="2021-09-24T00:00:00"/>
  </r>
  <r>
    <s v="CUST0690"/>
    <s v="Male"/>
    <n v="31"/>
    <x v="3"/>
    <x v="0"/>
    <x v="1"/>
    <n v="68"/>
    <n v="61.04"/>
    <x v="1"/>
    <n v="4"/>
    <n v="5"/>
    <x v="1"/>
    <d v="2023-05-18T00:00:00"/>
  </r>
  <r>
    <s v="CUST0691"/>
    <s v="Male"/>
    <n v="62"/>
    <x v="3"/>
    <x v="1"/>
    <x v="1"/>
    <n v="21"/>
    <n v="57.17"/>
    <x v="3"/>
    <n v="7"/>
    <n v="4"/>
    <x v="0"/>
    <d v="2024-12-13T00:00:00"/>
  </r>
  <r>
    <s v="CUST0692"/>
    <s v="Female"/>
    <n v="62"/>
    <x v="2"/>
    <x v="2"/>
    <x v="1"/>
    <n v="5"/>
    <n v="66.2"/>
    <x v="2"/>
    <n v="1"/>
    <n v="5"/>
    <x v="1"/>
    <d v="2021-08-14T00:00:00"/>
  </r>
  <r>
    <s v="CUST0693"/>
    <s v="Female"/>
    <n v="41"/>
    <x v="0"/>
    <x v="0"/>
    <x v="2"/>
    <n v="20"/>
    <n v="86.77"/>
    <x v="2"/>
    <n v="5"/>
    <n v="3"/>
    <x v="0"/>
    <d v="2021-02-27T00:00:00"/>
  </r>
  <r>
    <s v="CUST0694"/>
    <s v="Female"/>
    <n v="27"/>
    <x v="3"/>
    <x v="0"/>
    <x v="1"/>
    <n v="37"/>
    <n v="58.23"/>
    <x v="1"/>
    <n v="0"/>
    <n v="1"/>
    <x v="1"/>
    <d v="2021-05-19T00:00:00"/>
  </r>
  <r>
    <s v="CUST0695"/>
    <s v="Female"/>
    <n v="44"/>
    <x v="3"/>
    <x v="1"/>
    <x v="1"/>
    <n v="58"/>
    <n v="68.5"/>
    <x v="1"/>
    <n v="7"/>
    <n v="5"/>
    <x v="0"/>
    <d v="2021-10-11T00:00:00"/>
  </r>
  <r>
    <s v="CUST0696"/>
    <s v="Male"/>
    <n v="66"/>
    <x v="3"/>
    <x v="1"/>
    <x v="1"/>
    <n v="20"/>
    <n v="68"/>
    <x v="2"/>
    <n v="1"/>
    <n v="5"/>
    <x v="1"/>
    <d v="2023-04-19T00:00:00"/>
  </r>
  <r>
    <s v="CUST0697"/>
    <s v="Male"/>
    <n v="32"/>
    <x v="3"/>
    <x v="2"/>
    <x v="2"/>
    <n v="6"/>
    <n v="99.37"/>
    <x v="1"/>
    <n v="4"/>
    <n v="1"/>
    <x v="1"/>
    <d v="2024-12-19T00:00:00"/>
  </r>
  <r>
    <s v="CUST0698"/>
    <s v="Female"/>
    <n v="54"/>
    <x v="0"/>
    <x v="1"/>
    <x v="2"/>
    <n v="16"/>
    <n v="94.66"/>
    <x v="0"/>
    <n v="3"/>
    <n v="5"/>
    <x v="1"/>
    <d v="2025-04-01T00:00:00"/>
  </r>
  <r>
    <s v="CUST0699"/>
    <s v="Female"/>
    <n v="54"/>
    <x v="2"/>
    <x v="2"/>
    <x v="2"/>
    <n v="3"/>
    <n v="86.8"/>
    <x v="3"/>
    <n v="0"/>
    <n v="3"/>
    <x v="1"/>
    <d v="2022-05-18T00:00:00"/>
  </r>
  <r>
    <s v="CUST0700"/>
    <s v="Male"/>
    <n v="23"/>
    <x v="0"/>
    <x v="2"/>
    <x v="2"/>
    <n v="6"/>
    <n v="92.37"/>
    <x v="0"/>
    <n v="5"/>
    <n v="4"/>
    <x v="0"/>
    <d v="2021-02-19T00:00:00"/>
  </r>
  <r>
    <s v="CUST0701"/>
    <s v="Male"/>
    <n v="42"/>
    <x v="0"/>
    <x v="0"/>
    <x v="0"/>
    <n v="13"/>
    <n v="38.130000000000003"/>
    <x v="2"/>
    <n v="2"/>
    <n v="2"/>
    <x v="0"/>
    <d v="2021-07-03T00:00:00"/>
  </r>
  <r>
    <s v="CUST0702"/>
    <s v="Female"/>
    <n v="37"/>
    <x v="3"/>
    <x v="1"/>
    <x v="0"/>
    <n v="8"/>
    <n v="39.22"/>
    <x v="2"/>
    <n v="2"/>
    <n v="1"/>
    <x v="1"/>
    <d v="2022-09-03T00:00:00"/>
  </r>
  <r>
    <s v="CUST0703"/>
    <s v="Male"/>
    <n v="24"/>
    <x v="0"/>
    <x v="0"/>
    <x v="1"/>
    <n v="42"/>
    <n v="58.87"/>
    <x v="0"/>
    <n v="0"/>
    <n v="2"/>
    <x v="0"/>
    <d v="2024-05-07T00:00:00"/>
  </r>
  <r>
    <s v="CUST0704"/>
    <s v="Female"/>
    <n v="49"/>
    <x v="3"/>
    <x v="0"/>
    <x v="1"/>
    <n v="8"/>
    <n v="59.78"/>
    <x v="1"/>
    <n v="1"/>
    <n v="4"/>
    <x v="0"/>
    <d v="2024-07-21T00:00:00"/>
  </r>
  <r>
    <s v="CUST0705"/>
    <s v="Female"/>
    <n v="19"/>
    <x v="0"/>
    <x v="1"/>
    <x v="2"/>
    <n v="13"/>
    <n v="88.69"/>
    <x v="3"/>
    <n v="4"/>
    <n v="5"/>
    <x v="1"/>
    <d v="2021-06-21T00:00:00"/>
  </r>
  <r>
    <s v="CUST0706"/>
    <s v="Female"/>
    <n v="68"/>
    <x v="2"/>
    <x v="2"/>
    <x v="2"/>
    <n v="22"/>
    <n v="96.73"/>
    <x v="1"/>
    <n v="8"/>
    <n v="4"/>
    <x v="0"/>
    <d v="2025-07-23T00:00:00"/>
  </r>
  <r>
    <s v="CUST0707"/>
    <s v="Male"/>
    <n v="57"/>
    <x v="0"/>
    <x v="1"/>
    <x v="0"/>
    <n v="1"/>
    <n v="30.9"/>
    <x v="1"/>
    <n v="4"/>
    <n v="5"/>
    <x v="1"/>
    <d v="2024-10-24T00:00:00"/>
  </r>
  <r>
    <s v="CUST0708"/>
    <s v="Male"/>
    <n v="40"/>
    <x v="2"/>
    <x v="1"/>
    <x v="2"/>
    <n v="37"/>
    <n v="85.68"/>
    <x v="0"/>
    <n v="4"/>
    <n v="1"/>
    <x v="1"/>
    <d v="2021-09-09T00:00:00"/>
  </r>
  <r>
    <s v="CUST0709"/>
    <s v="Female"/>
    <n v="64"/>
    <x v="0"/>
    <x v="2"/>
    <x v="0"/>
    <n v="65"/>
    <n v="44.36"/>
    <x v="2"/>
    <n v="5"/>
    <n v="3"/>
    <x v="1"/>
    <d v="2024-12-20T00:00:00"/>
  </r>
  <r>
    <s v="CUST0710"/>
    <s v="Male"/>
    <n v="35"/>
    <x v="2"/>
    <x v="1"/>
    <x v="1"/>
    <n v="44"/>
    <n v="58.16"/>
    <x v="2"/>
    <n v="0"/>
    <n v="2"/>
    <x v="1"/>
    <d v="2021-01-05T00:00:00"/>
  </r>
  <r>
    <s v="CUST0711"/>
    <s v="Male"/>
    <n v="18"/>
    <x v="1"/>
    <x v="1"/>
    <x v="0"/>
    <n v="53"/>
    <n v="38.340000000000003"/>
    <x v="1"/>
    <n v="6"/>
    <n v="5"/>
    <x v="0"/>
    <d v="2025-12-01T00:00:00"/>
  </r>
  <r>
    <s v="CUST0712"/>
    <s v="Female"/>
    <n v="52"/>
    <x v="1"/>
    <x v="1"/>
    <x v="1"/>
    <n v="16"/>
    <n v="60.29"/>
    <x v="1"/>
    <n v="5"/>
    <n v="4"/>
    <x v="1"/>
    <d v="2025-04-22T00:00:00"/>
  </r>
  <r>
    <s v="CUST0713"/>
    <s v="Female"/>
    <n v="25"/>
    <x v="3"/>
    <x v="2"/>
    <x v="0"/>
    <n v="57"/>
    <n v="30.14"/>
    <x v="0"/>
    <n v="4"/>
    <n v="3"/>
    <x v="1"/>
    <d v="2025-07-30T00:00:00"/>
  </r>
  <r>
    <s v="CUST0714"/>
    <s v="Male"/>
    <n v="69"/>
    <x v="2"/>
    <x v="0"/>
    <x v="1"/>
    <n v="47"/>
    <n v="55.55"/>
    <x v="1"/>
    <n v="3"/>
    <n v="1"/>
    <x v="0"/>
    <d v="2025-08-09T00:00:00"/>
  </r>
  <r>
    <s v="CUST0715"/>
    <s v="Male"/>
    <n v="25"/>
    <x v="0"/>
    <x v="1"/>
    <x v="2"/>
    <n v="64"/>
    <n v="87.56"/>
    <x v="3"/>
    <n v="2"/>
    <n v="1"/>
    <x v="1"/>
    <d v="2025-03-08T00:00:00"/>
  </r>
  <r>
    <s v="CUST0716"/>
    <s v="Female"/>
    <n v="26"/>
    <x v="0"/>
    <x v="1"/>
    <x v="0"/>
    <n v="67"/>
    <n v="40.93"/>
    <x v="2"/>
    <n v="3"/>
    <n v="1"/>
    <x v="1"/>
    <d v="2024-11-20T00:00:00"/>
  </r>
  <r>
    <s v="CUST0717"/>
    <s v="Male"/>
    <n v="61"/>
    <x v="3"/>
    <x v="0"/>
    <x v="1"/>
    <n v="7"/>
    <n v="67.81"/>
    <x v="2"/>
    <n v="6"/>
    <n v="4"/>
    <x v="0"/>
    <d v="2024-10-24T00:00:00"/>
  </r>
  <r>
    <s v="CUST0718"/>
    <s v="Male"/>
    <n v="49"/>
    <x v="0"/>
    <x v="1"/>
    <x v="0"/>
    <n v="29"/>
    <n v="30.7"/>
    <x v="1"/>
    <n v="8"/>
    <n v="4"/>
    <x v="1"/>
    <d v="2023-03-14T00:00:00"/>
  </r>
  <r>
    <s v="CUST0719"/>
    <s v="Female"/>
    <n v="39"/>
    <x v="1"/>
    <x v="1"/>
    <x v="0"/>
    <n v="29"/>
    <n v="44.67"/>
    <x v="1"/>
    <n v="1"/>
    <n v="2"/>
    <x v="1"/>
    <d v="2022-11-06T00:00:00"/>
  </r>
  <r>
    <s v="CUST0720"/>
    <s v="Male"/>
    <n v="22"/>
    <x v="1"/>
    <x v="0"/>
    <x v="1"/>
    <n v="56"/>
    <n v="67.12"/>
    <x v="2"/>
    <n v="4"/>
    <n v="2"/>
    <x v="0"/>
    <d v="2022-05-04T00:00:00"/>
  </r>
  <r>
    <s v="CUST0721"/>
    <s v="Male"/>
    <n v="21"/>
    <x v="0"/>
    <x v="1"/>
    <x v="0"/>
    <n v="10"/>
    <n v="41.64"/>
    <x v="1"/>
    <n v="1"/>
    <n v="4"/>
    <x v="1"/>
    <d v="2021-06-25T00:00:00"/>
  </r>
  <r>
    <s v="CUST0722"/>
    <s v="Female"/>
    <n v="20"/>
    <x v="3"/>
    <x v="2"/>
    <x v="2"/>
    <n v="9"/>
    <n v="96.74"/>
    <x v="0"/>
    <n v="7"/>
    <n v="1"/>
    <x v="0"/>
    <d v="2024-07-06T00:00:00"/>
  </r>
  <r>
    <s v="CUST0723"/>
    <s v="Male"/>
    <n v="22"/>
    <x v="1"/>
    <x v="1"/>
    <x v="0"/>
    <n v="72"/>
    <n v="30.78"/>
    <x v="1"/>
    <n v="6"/>
    <n v="1"/>
    <x v="1"/>
    <d v="2023-04-22T00:00:00"/>
  </r>
  <r>
    <s v="CUST0724"/>
    <s v="Female"/>
    <n v="56"/>
    <x v="1"/>
    <x v="2"/>
    <x v="1"/>
    <n v="60"/>
    <n v="66.930000000000007"/>
    <x v="0"/>
    <n v="5"/>
    <n v="1"/>
    <x v="1"/>
    <d v="2022-11-04T00:00:00"/>
  </r>
  <r>
    <s v="CUST0725"/>
    <s v="Female"/>
    <n v="24"/>
    <x v="1"/>
    <x v="0"/>
    <x v="2"/>
    <n v="9"/>
    <n v="93.89"/>
    <x v="3"/>
    <n v="2"/>
    <n v="5"/>
    <x v="0"/>
    <d v="2023-05-13T00:00:00"/>
  </r>
  <r>
    <s v="CUST0726"/>
    <s v="Male"/>
    <n v="64"/>
    <x v="3"/>
    <x v="0"/>
    <x v="0"/>
    <n v="18"/>
    <n v="41.96"/>
    <x v="0"/>
    <n v="2"/>
    <n v="3"/>
    <x v="1"/>
    <d v="2023-11-17T00:00:00"/>
  </r>
  <r>
    <s v="CUST0727"/>
    <s v="Male"/>
    <n v="37"/>
    <x v="2"/>
    <x v="0"/>
    <x v="1"/>
    <n v="40"/>
    <n v="64.05"/>
    <x v="2"/>
    <n v="5"/>
    <n v="1"/>
    <x v="1"/>
    <d v="2024-09-08T00:00:00"/>
  </r>
  <r>
    <s v="CUST0728"/>
    <s v="Female"/>
    <n v="21"/>
    <x v="2"/>
    <x v="1"/>
    <x v="2"/>
    <n v="7"/>
    <n v="91.33"/>
    <x v="3"/>
    <n v="3"/>
    <n v="2"/>
    <x v="1"/>
    <d v="2022-12-01T00:00:00"/>
  </r>
  <r>
    <s v="CUST0729"/>
    <s v="Female"/>
    <n v="60"/>
    <x v="3"/>
    <x v="1"/>
    <x v="2"/>
    <n v="60"/>
    <n v="94"/>
    <x v="2"/>
    <n v="5"/>
    <n v="5"/>
    <x v="1"/>
    <d v="2022-11-05T00:00:00"/>
  </r>
  <r>
    <s v="CUST0730"/>
    <s v="Female"/>
    <n v="24"/>
    <x v="3"/>
    <x v="0"/>
    <x v="1"/>
    <n v="29"/>
    <n v="68.8"/>
    <x v="3"/>
    <n v="3"/>
    <n v="4"/>
    <x v="1"/>
    <d v="2022-05-05T00:00:00"/>
  </r>
  <r>
    <s v="CUST0731"/>
    <s v="Male"/>
    <n v="65"/>
    <x v="0"/>
    <x v="1"/>
    <x v="1"/>
    <n v="27"/>
    <n v="61"/>
    <x v="0"/>
    <n v="5"/>
    <n v="1"/>
    <x v="0"/>
    <d v="2021-03-03T00:00:00"/>
  </r>
  <r>
    <s v="CUST0732"/>
    <s v="Female"/>
    <n v="27"/>
    <x v="0"/>
    <x v="2"/>
    <x v="0"/>
    <n v="47"/>
    <n v="30.66"/>
    <x v="0"/>
    <n v="3"/>
    <n v="2"/>
    <x v="1"/>
    <d v="2022-03-25T00:00:00"/>
  </r>
  <r>
    <s v="CUST0733"/>
    <s v="Male"/>
    <n v="64"/>
    <x v="2"/>
    <x v="2"/>
    <x v="2"/>
    <n v="32"/>
    <n v="87.68"/>
    <x v="0"/>
    <n v="2"/>
    <n v="3"/>
    <x v="1"/>
    <d v="2021-02-12T00:00:00"/>
  </r>
  <r>
    <s v="CUST0734"/>
    <s v="Female"/>
    <n v="42"/>
    <x v="1"/>
    <x v="2"/>
    <x v="0"/>
    <n v="40"/>
    <n v="36.840000000000003"/>
    <x v="2"/>
    <n v="5"/>
    <n v="2"/>
    <x v="1"/>
    <d v="2025-06-25T00:00:00"/>
  </r>
  <r>
    <s v="CUST0735"/>
    <s v="Male"/>
    <n v="63"/>
    <x v="1"/>
    <x v="0"/>
    <x v="0"/>
    <n v="17"/>
    <n v="41.92"/>
    <x v="3"/>
    <n v="8"/>
    <n v="4"/>
    <x v="1"/>
    <d v="2022-10-14T00:00:00"/>
  </r>
  <r>
    <s v="CUST0736"/>
    <s v="Male"/>
    <n v="58"/>
    <x v="2"/>
    <x v="0"/>
    <x v="2"/>
    <n v="25"/>
    <n v="97.82"/>
    <x v="2"/>
    <n v="2"/>
    <n v="3"/>
    <x v="1"/>
    <d v="2024-07-13T00:00:00"/>
  </r>
  <r>
    <s v="CUST0737"/>
    <s v="Male"/>
    <n v="26"/>
    <x v="3"/>
    <x v="0"/>
    <x v="2"/>
    <n v="11"/>
    <n v="96.77"/>
    <x v="0"/>
    <n v="2"/>
    <n v="5"/>
    <x v="1"/>
    <d v="2024-08-14T00:00:00"/>
  </r>
  <r>
    <s v="CUST0738"/>
    <s v="Male"/>
    <n v="49"/>
    <x v="3"/>
    <x v="0"/>
    <x v="1"/>
    <n v="48"/>
    <n v="62.88"/>
    <x v="1"/>
    <n v="7"/>
    <n v="4"/>
    <x v="0"/>
    <d v="2023-04-02T00:00:00"/>
  </r>
  <r>
    <s v="CUST0739"/>
    <s v="Female"/>
    <n v="31"/>
    <x v="2"/>
    <x v="0"/>
    <x v="1"/>
    <n v="31"/>
    <n v="60.94"/>
    <x v="2"/>
    <n v="6"/>
    <n v="4"/>
    <x v="1"/>
    <d v="2025-09-22T00:00:00"/>
  </r>
  <r>
    <s v="CUST0740"/>
    <s v="Male"/>
    <n v="34"/>
    <x v="1"/>
    <x v="0"/>
    <x v="0"/>
    <n v="38"/>
    <n v="36.67"/>
    <x v="2"/>
    <n v="3"/>
    <n v="5"/>
    <x v="0"/>
    <d v="2023-11-16T00:00:00"/>
  </r>
  <r>
    <s v="CUST0741"/>
    <s v="Male"/>
    <n v="45"/>
    <x v="3"/>
    <x v="2"/>
    <x v="1"/>
    <n v="53"/>
    <n v="60.51"/>
    <x v="1"/>
    <n v="5"/>
    <n v="3"/>
    <x v="1"/>
    <d v="2022-01-03T00:00:00"/>
  </r>
  <r>
    <s v="CUST0742"/>
    <s v="Male"/>
    <n v="32"/>
    <x v="0"/>
    <x v="1"/>
    <x v="0"/>
    <n v="46"/>
    <n v="43.52"/>
    <x v="2"/>
    <n v="8"/>
    <n v="5"/>
    <x v="1"/>
    <d v="2021-06-10T00:00:00"/>
  </r>
  <r>
    <s v="CUST0743"/>
    <s v="Male"/>
    <n v="32"/>
    <x v="1"/>
    <x v="0"/>
    <x v="0"/>
    <n v="47"/>
    <n v="30.57"/>
    <x v="3"/>
    <n v="5"/>
    <n v="2"/>
    <x v="1"/>
    <d v="2022-05-28T00:00:00"/>
  </r>
  <r>
    <s v="CUST0744"/>
    <s v="Male"/>
    <n v="65"/>
    <x v="0"/>
    <x v="0"/>
    <x v="2"/>
    <n v="18"/>
    <n v="99.98"/>
    <x v="2"/>
    <n v="0"/>
    <n v="3"/>
    <x v="1"/>
    <d v="2022-12-11T00:00:00"/>
  </r>
  <r>
    <s v="CUST0745"/>
    <s v="Male"/>
    <n v="43"/>
    <x v="1"/>
    <x v="2"/>
    <x v="2"/>
    <n v="66"/>
    <n v="99.84"/>
    <x v="3"/>
    <n v="6"/>
    <n v="2"/>
    <x v="0"/>
    <d v="2025-03-15T00:00:00"/>
  </r>
  <r>
    <s v="CUST0746"/>
    <s v="Female"/>
    <n v="48"/>
    <x v="2"/>
    <x v="1"/>
    <x v="2"/>
    <n v="71"/>
    <n v="96.36"/>
    <x v="1"/>
    <n v="5"/>
    <n v="1"/>
    <x v="1"/>
    <d v="2022-01-20T00:00:00"/>
  </r>
  <r>
    <s v="CUST0747"/>
    <s v="Male"/>
    <n v="67"/>
    <x v="3"/>
    <x v="0"/>
    <x v="1"/>
    <n v="58"/>
    <n v="67.790000000000006"/>
    <x v="0"/>
    <n v="5"/>
    <n v="2"/>
    <x v="1"/>
    <d v="2021-09-20T00:00:00"/>
  </r>
  <r>
    <s v="CUST0748"/>
    <s v="Male"/>
    <n v="65"/>
    <x v="1"/>
    <x v="2"/>
    <x v="2"/>
    <n v="46"/>
    <n v="90.1"/>
    <x v="1"/>
    <n v="6"/>
    <n v="4"/>
    <x v="1"/>
    <d v="2024-11-15T00:00:00"/>
  </r>
  <r>
    <s v="CUST0749"/>
    <s v="Male"/>
    <n v="38"/>
    <x v="1"/>
    <x v="1"/>
    <x v="0"/>
    <n v="18"/>
    <n v="32.31"/>
    <x v="2"/>
    <n v="6"/>
    <n v="4"/>
    <x v="1"/>
    <d v="2023-03-12T00:00:00"/>
  </r>
  <r>
    <s v="CUST0750"/>
    <s v="Female"/>
    <n v="52"/>
    <x v="3"/>
    <x v="0"/>
    <x v="1"/>
    <n v="14"/>
    <n v="59.93"/>
    <x v="1"/>
    <n v="4"/>
    <n v="1"/>
    <x v="0"/>
    <d v="2024-10-14T00:00:00"/>
  </r>
  <r>
    <s v="CUST0751"/>
    <s v="Female"/>
    <n v="20"/>
    <x v="3"/>
    <x v="0"/>
    <x v="0"/>
    <n v="26"/>
    <n v="31.04"/>
    <x v="1"/>
    <n v="4"/>
    <n v="2"/>
    <x v="0"/>
    <d v="2024-09-12T00:00:00"/>
  </r>
  <r>
    <s v="CUST0752"/>
    <s v="Female"/>
    <n v="47"/>
    <x v="1"/>
    <x v="2"/>
    <x v="2"/>
    <n v="2"/>
    <n v="87.58"/>
    <x v="1"/>
    <n v="6"/>
    <n v="2"/>
    <x v="1"/>
    <d v="2021-09-22T00:00:00"/>
  </r>
  <r>
    <s v="CUST0753"/>
    <s v="Male"/>
    <n v="48"/>
    <x v="1"/>
    <x v="2"/>
    <x v="0"/>
    <n v="17"/>
    <n v="43.06"/>
    <x v="2"/>
    <n v="6"/>
    <n v="4"/>
    <x v="0"/>
    <d v="2024-03-23T00:00:00"/>
  </r>
  <r>
    <s v="CUST0754"/>
    <s v="Male"/>
    <n v="55"/>
    <x v="2"/>
    <x v="1"/>
    <x v="2"/>
    <n v="59"/>
    <n v="89.13"/>
    <x v="0"/>
    <n v="2"/>
    <n v="4"/>
    <x v="0"/>
    <d v="2023-03-29T00:00:00"/>
  </r>
  <r>
    <s v="CUST0755"/>
    <s v="Female"/>
    <n v="51"/>
    <x v="0"/>
    <x v="1"/>
    <x v="1"/>
    <n v="59"/>
    <n v="61.94"/>
    <x v="0"/>
    <n v="1"/>
    <n v="3"/>
    <x v="1"/>
    <d v="2023-07-24T00:00:00"/>
  </r>
  <r>
    <s v="CUST0756"/>
    <s v="Male"/>
    <n v="62"/>
    <x v="0"/>
    <x v="2"/>
    <x v="2"/>
    <n v="23"/>
    <n v="91.23"/>
    <x v="3"/>
    <n v="6"/>
    <n v="4"/>
    <x v="1"/>
    <d v="2024-09-11T00:00:00"/>
  </r>
  <r>
    <s v="CUST0757"/>
    <s v="Female"/>
    <n v="62"/>
    <x v="1"/>
    <x v="2"/>
    <x v="2"/>
    <n v="6"/>
    <n v="88.6"/>
    <x v="3"/>
    <n v="4"/>
    <n v="5"/>
    <x v="1"/>
    <d v="2021-05-17T00:00:00"/>
  </r>
  <r>
    <s v="CUST0758"/>
    <s v="Female"/>
    <n v="49"/>
    <x v="3"/>
    <x v="1"/>
    <x v="0"/>
    <n v="48"/>
    <n v="31.15"/>
    <x v="0"/>
    <n v="8"/>
    <n v="3"/>
    <x v="1"/>
    <d v="2021-12-04T00:00:00"/>
  </r>
  <r>
    <s v="CUST0759"/>
    <s v="Male"/>
    <n v="31"/>
    <x v="1"/>
    <x v="2"/>
    <x v="0"/>
    <n v="10"/>
    <n v="39.58"/>
    <x v="1"/>
    <n v="6"/>
    <n v="3"/>
    <x v="1"/>
    <d v="2025-10-19T00:00:00"/>
  </r>
  <r>
    <s v="CUST0760"/>
    <s v="Female"/>
    <n v="43"/>
    <x v="1"/>
    <x v="0"/>
    <x v="1"/>
    <n v="15"/>
    <n v="65.64"/>
    <x v="3"/>
    <n v="5"/>
    <n v="4"/>
    <x v="1"/>
    <d v="2021-05-20T00:00:00"/>
  </r>
  <r>
    <s v="CUST0761"/>
    <s v="Female"/>
    <n v="53"/>
    <x v="2"/>
    <x v="1"/>
    <x v="1"/>
    <n v="18"/>
    <n v="62.06"/>
    <x v="2"/>
    <n v="2"/>
    <n v="2"/>
    <x v="1"/>
    <d v="2024-05-28T00:00:00"/>
  </r>
  <r>
    <s v="CUST0762"/>
    <s v="Female"/>
    <n v="29"/>
    <x v="0"/>
    <x v="0"/>
    <x v="2"/>
    <n v="51"/>
    <n v="87.53"/>
    <x v="0"/>
    <n v="4"/>
    <n v="2"/>
    <x v="1"/>
    <d v="2021-12-31T00:00:00"/>
  </r>
  <r>
    <s v="CUST0763"/>
    <s v="Female"/>
    <n v="63"/>
    <x v="1"/>
    <x v="1"/>
    <x v="2"/>
    <n v="28"/>
    <n v="91.63"/>
    <x v="0"/>
    <n v="8"/>
    <n v="1"/>
    <x v="1"/>
    <d v="2022-09-24T00:00:00"/>
  </r>
  <r>
    <s v="CUST0764"/>
    <s v="Male"/>
    <n v="21"/>
    <x v="1"/>
    <x v="0"/>
    <x v="1"/>
    <n v="26"/>
    <n v="68.930000000000007"/>
    <x v="2"/>
    <n v="3"/>
    <n v="2"/>
    <x v="0"/>
    <d v="2023-05-14T00:00:00"/>
  </r>
  <r>
    <s v="CUST0765"/>
    <s v="Female"/>
    <n v="18"/>
    <x v="0"/>
    <x v="0"/>
    <x v="2"/>
    <n v="9"/>
    <n v="88.31"/>
    <x v="0"/>
    <n v="2"/>
    <n v="2"/>
    <x v="0"/>
    <d v="2023-11-16T00:00:00"/>
  </r>
  <r>
    <s v="CUST0766"/>
    <s v="Female"/>
    <n v="70"/>
    <x v="0"/>
    <x v="2"/>
    <x v="2"/>
    <n v="25"/>
    <n v="94.37"/>
    <x v="1"/>
    <n v="6"/>
    <n v="1"/>
    <x v="0"/>
    <d v="2021-08-05T00:00:00"/>
  </r>
  <r>
    <s v="CUST0767"/>
    <s v="Male"/>
    <n v="38"/>
    <x v="2"/>
    <x v="0"/>
    <x v="1"/>
    <n v="41"/>
    <n v="55.18"/>
    <x v="3"/>
    <n v="7"/>
    <n v="2"/>
    <x v="0"/>
    <d v="2025-07-28T00:00:00"/>
  </r>
  <r>
    <s v="CUST0768"/>
    <s v="Male"/>
    <n v="59"/>
    <x v="0"/>
    <x v="0"/>
    <x v="0"/>
    <n v="28"/>
    <n v="36.17"/>
    <x v="1"/>
    <n v="1"/>
    <n v="5"/>
    <x v="1"/>
    <d v="2025-10-08T00:00:00"/>
  </r>
  <r>
    <s v="CUST0769"/>
    <s v="Female"/>
    <n v="34"/>
    <x v="1"/>
    <x v="1"/>
    <x v="1"/>
    <n v="50"/>
    <n v="65.17"/>
    <x v="3"/>
    <n v="5"/>
    <n v="2"/>
    <x v="1"/>
    <d v="2024-11-09T00:00:00"/>
  </r>
  <r>
    <s v="CUST0770"/>
    <s v="Male"/>
    <n v="60"/>
    <x v="3"/>
    <x v="0"/>
    <x v="1"/>
    <n v="3"/>
    <n v="64.13"/>
    <x v="1"/>
    <n v="6"/>
    <n v="5"/>
    <x v="1"/>
    <d v="2022-04-22T00:00:00"/>
  </r>
  <r>
    <s v="CUST0771"/>
    <s v="Female"/>
    <n v="32"/>
    <x v="1"/>
    <x v="1"/>
    <x v="0"/>
    <n v="40"/>
    <n v="33.549999999999997"/>
    <x v="1"/>
    <n v="3"/>
    <n v="5"/>
    <x v="0"/>
    <d v="2021-10-09T00:00:00"/>
  </r>
  <r>
    <s v="CUST0772"/>
    <s v="Male"/>
    <n v="49"/>
    <x v="0"/>
    <x v="0"/>
    <x v="0"/>
    <n v="49"/>
    <n v="33.07"/>
    <x v="0"/>
    <n v="3"/>
    <n v="5"/>
    <x v="1"/>
    <d v="2023-06-28T00:00:00"/>
  </r>
  <r>
    <s v="CUST0773"/>
    <s v="Male"/>
    <n v="26"/>
    <x v="0"/>
    <x v="2"/>
    <x v="2"/>
    <n v="6"/>
    <n v="92.81"/>
    <x v="1"/>
    <n v="4"/>
    <n v="1"/>
    <x v="0"/>
    <d v="2025-02-09T00:00:00"/>
  </r>
  <r>
    <s v="CUST0774"/>
    <s v="Male"/>
    <n v="39"/>
    <x v="2"/>
    <x v="0"/>
    <x v="2"/>
    <n v="7"/>
    <n v="98.6"/>
    <x v="3"/>
    <n v="3"/>
    <n v="5"/>
    <x v="1"/>
    <d v="2023-12-04T00:00:00"/>
  </r>
  <r>
    <s v="CUST0775"/>
    <s v="Male"/>
    <n v="29"/>
    <x v="3"/>
    <x v="1"/>
    <x v="0"/>
    <n v="9"/>
    <n v="43.05"/>
    <x v="0"/>
    <n v="3"/>
    <n v="1"/>
    <x v="1"/>
    <d v="2021-10-17T00:00:00"/>
  </r>
  <r>
    <s v="CUST0776"/>
    <s v="Female"/>
    <n v="26"/>
    <x v="1"/>
    <x v="0"/>
    <x v="2"/>
    <n v="71"/>
    <n v="97.47"/>
    <x v="3"/>
    <n v="3"/>
    <n v="5"/>
    <x v="0"/>
    <d v="2025-01-24T00:00:00"/>
  </r>
  <r>
    <s v="CUST0777"/>
    <s v="Male"/>
    <n v="37"/>
    <x v="2"/>
    <x v="1"/>
    <x v="0"/>
    <n v="32"/>
    <n v="36.36"/>
    <x v="3"/>
    <n v="4"/>
    <n v="3"/>
    <x v="1"/>
    <d v="2024-07-25T00:00:00"/>
  </r>
  <r>
    <s v="CUST0778"/>
    <s v="Female"/>
    <n v="35"/>
    <x v="3"/>
    <x v="0"/>
    <x v="1"/>
    <n v="51"/>
    <n v="60.67"/>
    <x v="1"/>
    <n v="7"/>
    <n v="4"/>
    <x v="1"/>
    <d v="2025-02-14T00:00:00"/>
  </r>
  <r>
    <s v="CUST0779"/>
    <s v="Male"/>
    <n v="66"/>
    <x v="2"/>
    <x v="2"/>
    <x v="0"/>
    <n v="49"/>
    <n v="36.409999999999997"/>
    <x v="0"/>
    <n v="4"/>
    <n v="5"/>
    <x v="1"/>
    <d v="2024-02-07T00:00:00"/>
  </r>
  <r>
    <s v="CUST0780"/>
    <s v="Female"/>
    <n v="34"/>
    <x v="3"/>
    <x v="2"/>
    <x v="1"/>
    <n v="59"/>
    <n v="59.25"/>
    <x v="1"/>
    <n v="1"/>
    <n v="3"/>
    <x v="1"/>
    <d v="2023-08-20T00:00:00"/>
  </r>
  <r>
    <s v="CUST0781"/>
    <s v="Female"/>
    <n v="27"/>
    <x v="2"/>
    <x v="0"/>
    <x v="0"/>
    <n v="65"/>
    <n v="40.96"/>
    <x v="2"/>
    <n v="7"/>
    <n v="4"/>
    <x v="1"/>
    <d v="2023-03-20T00:00:00"/>
  </r>
  <r>
    <s v="CUST0782"/>
    <s v="Male"/>
    <n v="42"/>
    <x v="3"/>
    <x v="2"/>
    <x v="2"/>
    <n v="10"/>
    <n v="91.13"/>
    <x v="0"/>
    <n v="1"/>
    <n v="4"/>
    <x v="1"/>
    <d v="2021-11-29T00:00:00"/>
  </r>
  <r>
    <s v="CUST0783"/>
    <s v="Female"/>
    <n v="66"/>
    <x v="3"/>
    <x v="2"/>
    <x v="2"/>
    <n v="45"/>
    <n v="92.64"/>
    <x v="1"/>
    <n v="5"/>
    <n v="1"/>
    <x v="1"/>
    <d v="2023-05-19T00:00:00"/>
  </r>
  <r>
    <s v="CUST0784"/>
    <s v="Female"/>
    <n v="33"/>
    <x v="3"/>
    <x v="0"/>
    <x v="1"/>
    <n v="4"/>
    <n v="65.459999999999994"/>
    <x v="3"/>
    <n v="4"/>
    <n v="5"/>
    <x v="1"/>
    <d v="2024-10-26T00:00:00"/>
  </r>
  <r>
    <s v="CUST0785"/>
    <s v="Female"/>
    <n v="34"/>
    <x v="2"/>
    <x v="1"/>
    <x v="2"/>
    <n v="21"/>
    <n v="85.19"/>
    <x v="0"/>
    <n v="6"/>
    <n v="4"/>
    <x v="1"/>
    <d v="2021-06-14T00:00:00"/>
  </r>
  <r>
    <s v="CUST0786"/>
    <s v="Female"/>
    <n v="45"/>
    <x v="2"/>
    <x v="2"/>
    <x v="1"/>
    <n v="39"/>
    <n v="62.51"/>
    <x v="1"/>
    <n v="4"/>
    <n v="4"/>
    <x v="1"/>
    <d v="2025-01-30T00:00:00"/>
  </r>
  <r>
    <s v="CUST0787"/>
    <s v="Female"/>
    <n v="24"/>
    <x v="0"/>
    <x v="0"/>
    <x v="1"/>
    <n v="27"/>
    <n v="68.95"/>
    <x v="1"/>
    <n v="4"/>
    <n v="1"/>
    <x v="1"/>
    <d v="2025-07-30T00:00:00"/>
  </r>
  <r>
    <s v="CUST0788"/>
    <s v="Male"/>
    <n v="18"/>
    <x v="1"/>
    <x v="0"/>
    <x v="2"/>
    <n v="54"/>
    <n v="92.87"/>
    <x v="2"/>
    <n v="6"/>
    <n v="2"/>
    <x v="0"/>
    <d v="2022-01-17T00:00:00"/>
  </r>
  <r>
    <s v="CUST0789"/>
    <s v="Female"/>
    <n v="30"/>
    <x v="3"/>
    <x v="0"/>
    <x v="2"/>
    <n v="15"/>
    <n v="91.76"/>
    <x v="3"/>
    <n v="2"/>
    <n v="2"/>
    <x v="0"/>
    <d v="2022-01-10T00:00:00"/>
  </r>
  <r>
    <s v="CUST0790"/>
    <s v="Female"/>
    <n v="34"/>
    <x v="3"/>
    <x v="2"/>
    <x v="2"/>
    <n v="14"/>
    <n v="98.03"/>
    <x v="3"/>
    <n v="1"/>
    <n v="3"/>
    <x v="0"/>
    <d v="2021-09-13T00:00:00"/>
  </r>
  <r>
    <s v="CUST0791"/>
    <s v="Male"/>
    <n v="22"/>
    <x v="0"/>
    <x v="0"/>
    <x v="2"/>
    <n v="31"/>
    <n v="92.17"/>
    <x v="0"/>
    <n v="0"/>
    <n v="1"/>
    <x v="0"/>
    <d v="2021-01-15T00:00:00"/>
  </r>
  <r>
    <s v="CUST0792"/>
    <s v="Female"/>
    <n v="24"/>
    <x v="2"/>
    <x v="1"/>
    <x v="0"/>
    <n v="49"/>
    <n v="39.04"/>
    <x v="2"/>
    <n v="7"/>
    <n v="4"/>
    <x v="1"/>
    <d v="2024-05-22T00:00:00"/>
  </r>
  <r>
    <s v="CUST0793"/>
    <s v="Male"/>
    <n v="39"/>
    <x v="0"/>
    <x v="1"/>
    <x v="1"/>
    <n v="41"/>
    <n v="67.25"/>
    <x v="2"/>
    <n v="6"/>
    <n v="4"/>
    <x v="1"/>
    <d v="2022-12-31T00:00:00"/>
  </r>
  <r>
    <s v="CUST0794"/>
    <s v="Male"/>
    <n v="69"/>
    <x v="1"/>
    <x v="0"/>
    <x v="1"/>
    <n v="52"/>
    <n v="65.88"/>
    <x v="3"/>
    <n v="0"/>
    <n v="5"/>
    <x v="0"/>
    <d v="2023-12-23T00:00:00"/>
  </r>
  <r>
    <s v="CUST0795"/>
    <s v="Male"/>
    <n v="62"/>
    <x v="2"/>
    <x v="2"/>
    <x v="1"/>
    <n v="61"/>
    <n v="62.72"/>
    <x v="3"/>
    <n v="0"/>
    <n v="3"/>
    <x v="0"/>
    <d v="2023-01-08T00:00:00"/>
  </r>
  <r>
    <s v="CUST0796"/>
    <s v="Female"/>
    <n v="69"/>
    <x v="0"/>
    <x v="1"/>
    <x v="1"/>
    <n v="30"/>
    <n v="64.099999999999994"/>
    <x v="1"/>
    <n v="1"/>
    <n v="3"/>
    <x v="1"/>
    <d v="2023-09-03T00:00:00"/>
  </r>
  <r>
    <s v="CUST0797"/>
    <s v="Female"/>
    <n v="64"/>
    <x v="3"/>
    <x v="2"/>
    <x v="2"/>
    <n v="25"/>
    <n v="95.68"/>
    <x v="0"/>
    <n v="2"/>
    <n v="4"/>
    <x v="1"/>
    <d v="2022-09-10T00:00:00"/>
  </r>
  <r>
    <s v="CUST0798"/>
    <s v="Male"/>
    <n v="28"/>
    <x v="3"/>
    <x v="0"/>
    <x v="1"/>
    <n v="70"/>
    <n v="58.61"/>
    <x v="3"/>
    <n v="2"/>
    <n v="1"/>
    <x v="0"/>
    <d v="2025-01-05T00:00:00"/>
  </r>
  <r>
    <s v="CUST0799"/>
    <s v="Female"/>
    <n v="28"/>
    <x v="0"/>
    <x v="2"/>
    <x v="1"/>
    <n v="29"/>
    <n v="65.790000000000006"/>
    <x v="1"/>
    <n v="1"/>
    <n v="2"/>
    <x v="1"/>
    <d v="2024-07-21T00:00:00"/>
  </r>
  <r>
    <s v="CUST0800"/>
    <s v="Male"/>
    <n v="23"/>
    <x v="0"/>
    <x v="0"/>
    <x v="2"/>
    <n v="9"/>
    <n v="94.66"/>
    <x v="1"/>
    <n v="6"/>
    <n v="5"/>
    <x v="1"/>
    <d v="2023-06-14T00:00:00"/>
  </r>
  <r>
    <s v="CUST0801"/>
    <s v="Female"/>
    <n v="32"/>
    <x v="0"/>
    <x v="0"/>
    <x v="1"/>
    <n v="12"/>
    <n v="56.67"/>
    <x v="2"/>
    <n v="3"/>
    <n v="1"/>
    <x v="1"/>
    <d v="2021-09-18T00:00:00"/>
  </r>
  <r>
    <s v="CUST0802"/>
    <s v="Male"/>
    <n v="42"/>
    <x v="1"/>
    <x v="2"/>
    <x v="0"/>
    <n v="69"/>
    <n v="32.85"/>
    <x v="1"/>
    <n v="6"/>
    <n v="3"/>
    <x v="1"/>
    <d v="2025-06-22T00:00:00"/>
  </r>
  <r>
    <s v="CUST0803"/>
    <s v="Female"/>
    <n v="51"/>
    <x v="2"/>
    <x v="0"/>
    <x v="1"/>
    <n v="2"/>
    <n v="63.07"/>
    <x v="1"/>
    <n v="5"/>
    <n v="2"/>
    <x v="1"/>
    <d v="2022-08-31T00:00:00"/>
  </r>
  <r>
    <s v="CUST0804"/>
    <s v="Female"/>
    <n v="49"/>
    <x v="3"/>
    <x v="0"/>
    <x v="2"/>
    <n v="37"/>
    <n v="87.19"/>
    <x v="0"/>
    <n v="5"/>
    <n v="3"/>
    <x v="1"/>
    <d v="2024-11-11T00:00:00"/>
  </r>
  <r>
    <s v="CUST0805"/>
    <s v="Female"/>
    <n v="35"/>
    <x v="3"/>
    <x v="1"/>
    <x v="0"/>
    <n v="64"/>
    <n v="34.369999999999997"/>
    <x v="1"/>
    <n v="0"/>
    <n v="3"/>
    <x v="1"/>
    <d v="2025-01-07T00:00:00"/>
  </r>
  <r>
    <s v="CUST0806"/>
    <s v="Female"/>
    <n v="64"/>
    <x v="2"/>
    <x v="1"/>
    <x v="2"/>
    <n v="7"/>
    <n v="98.85"/>
    <x v="3"/>
    <n v="7"/>
    <n v="4"/>
    <x v="1"/>
    <d v="2025-07-28T00:00:00"/>
  </r>
  <r>
    <s v="CUST0807"/>
    <s v="Female"/>
    <n v="19"/>
    <x v="3"/>
    <x v="2"/>
    <x v="1"/>
    <n v="61"/>
    <n v="69.849999999999994"/>
    <x v="1"/>
    <n v="6"/>
    <n v="1"/>
    <x v="1"/>
    <d v="2022-08-03T00:00:00"/>
  </r>
  <r>
    <s v="CUST0808"/>
    <s v="Male"/>
    <n v="62"/>
    <x v="2"/>
    <x v="1"/>
    <x v="2"/>
    <n v="51"/>
    <n v="86.46"/>
    <x v="2"/>
    <n v="0"/>
    <n v="3"/>
    <x v="1"/>
    <d v="2021-12-02T00:00:00"/>
  </r>
  <r>
    <s v="CUST0809"/>
    <s v="Female"/>
    <n v="46"/>
    <x v="3"/>
    <x v="2"/>
    <x v="0"/>
    <n v="27"/>
    <n v="33.270000000000003"/>
    <x v="3"/>
    <n v="0"/>
    <n v="3"/>
    <x v="1"/>
    <d v="2024-03-24T00:00:00"/>
  </r>
  <r>
    <s v="CUST0810"/>
    <s v="Female"/>
    <n v="61"/>
    <x v="2"/>
    <x v="2"/>
    <x v="1"/>
    <n v="22"/>
    <n v="68.89"/>
    <x v="0"/>
    <n v="5"/>
    <n v="4"/>
    <x v="0"/>
    <d v="2021-04-18T00:00:00"/>
  </r>
  <r>
    <s v="CUST0811"/>
    <s v="Female"/>
    <n v="50"/>
    <x v="0"/>
    <x v="1"/>
    <x v="1"/>
    <n v="20"/>
    <n v="64.400000000000006"/>
    <x v="1"/>
    <n v="3"/>
    <n v="1"/>
    <x v="0"/>
    <d v="2023-03-24T00:00:00"/>
  </r>
  <r>
    <s v="CUST0812"/>
    <s v="Male"/>
    <n v="37"/>
    <x v="2"/>
    <x v="1"/>
    <x v="2"/>
    <n v="49"/>
    <n v="96.64"/>
    <x v="0"/>
    <n v="7"/>
    <n v="4"/>
    <x v="1"/>
    <d v="2024-08-30T00:00:00"/>
  </r>
  <r>
    <s v="CUST0813"/>
    <s v="Male"/>
    <n v="41"/>
    <x v="1"/>
    <x v="0"/>
    <x v="0"/>
    <n v="11"/>
    <n v="31.83"/>
    <x v="3"/>
    <n v="0"/>
    <n v="5"/>
    <x v="1"/>
    <d v="2024-03-18T00:00:00"/>
  </r>
  <r>
    <s v="CUST0814"/>
    <s v="Male"/>
    <n v="35"/>
    <x v="1"/>
    <x v="1"/>
    <x v="0"/>
    <n v="50"/>
    <n v="37.26"/>
    <x v="1"/>
    <n v="4"/>
    <n v="5"/>
    <x v="1"/>
    <d v="2022-10-29T00:00:00"/>
  </r>
  <r>
    <s v="CUST0815"/>
    <s v="Female"/>
    <n v="63"/>
    <x v="2"/>
    <x v="2"/>
    <x v="2"/>
    <n v="3"/>
    <n v="90.91"/>
    <x v="1"/>
    <n v="1"/>
    <n v="5"/>
    <x v="1"/>
    <d v="2024-01-09T00:00:00"/>
  </r>
  <r>
    <s v="CUST0816"/>
    <s v="Female"/>
    <n v="66"/>
    <x v="2"/>
    <x v="1"/>
    <x v="0"/>
    <n v="24"/>
    <n v="42.93"/>
    <x v="3"/>
    <n v="0"/>
    <n v="5"/>
    <x v="1"/>
    <d v="2022-10-06T00:00:00"/>
  </r>
  <r>
    <s v="CUST0817"/>
    <s v="Female"/>
    <n v="20"/>
    <x v="2"/>
    <x v="1"/>
    <x v="0"/>
    <n v="21"/>
    <n v="31.32"/>
    <x v="2"/>
    <n v="0"/>
    <n v="1"/>
    <x v="1"/>
    <d v="2023-11-03T00:00:00"/>
  </r>
  <r>
    <s v="CUST0818"/>
    <s v="Male"/>
    <n v="41"/>
    <x v="2"/>
    <x v="2"/>
    <x v="2"/>
    <n v="1"/>
    <n v="88.73"/>
    <x v="0"/>
    <n v="8"/>
    <n v="3"/>
    <x v="1"/>
    <d v="2023-07-01T00:00:00"/>
  </r>
  <r>
    <s v="CUST0819"/>
    <s v="Female"/>
    <n v="54"/>
    <x v="3"/>
    <x v="1"/>
    <x v="1"/>
    <n v="67"/>
    <n v="68.66"/>
    <x v="2"/>
    <n v="8"/>
    <n v="5"/>
    <x v="1"/>
    <d v="2021-07-22T00:00:00"/>
  </r>
  <r>
    <s v="CUST0820"/>
    <s v="Female"/>
    <n v="33"/>
    <x v="1"/>
    <x v="0"/>
    <x v="0"/>
    <n v="39"/>
    <n v="42.84"/>
    <x v="3"/>
    <n v="2"/>
    <n v="5"/>
    <x v="1"/>
    <d v="2024-04-26T00:00:00"/>
  </r>
  <r>
    <s v="CUST0821"/>
    <s v="Male"/>
    <n v="35"/>
    <x v="2"/>
    <x v="1"/>
    <x v="2"/>
    <n v="55"/>
    <n v="86.12"/>
    <x v="2"/>
    <n v="4"/>
    <n v="4"/>
    <x v="1"/>
    <d v="2021-12-01T00:00:00"/>
  </r>
  <r>
    <s v="CUST0822"/>
    <s v="Male"/>
    <n v="47"/>
    <x v="1"/>
    <x v="2"/>
    <x v="2"/>
    <n v="55"/>
    <n v="99.1"/>
    <x v="3"/>
    <n v="8"/>
    <n v="2"/>
    <x v="0"/>
    <d v="2025-02-09T00:00:00"/>
  </r>
  <r>
    <s v="CUST0823"/>
    <s v="Male"/>
    <n v="58"/>
    <x v="2"/>
    <x v="1"/>
    <x v="1"/>
    <n v="66"/>
    <n v="64.069999999999993"/>
    <x v="1"/>
    <n v="2"/>
    <n v="3"/>
    <x v="1"/>
    <d v="2023-06-08T00:00:00"/>
  </r>
  <r>
    <s v="CUST0824"/>
    <s v="Male"/>
    <n v="19"/>
    <x v="2"/>
    <x v="0"/>
    <x v="1"/>
    <n v="16"/>
    <n v="62.97"/>
    <x v="1"/>
    <n v="1"/>
    <n v="3"/>
    <x v="1"/>
    <d v="2023-01-14T00:00:00"/>
  </r>
  <r>
    <s v="CUST0825"/>
    <s v="Male"/>
    <n v="67"/>
    <x v="0"/>
    <x v="0"/>
    <x v="0"/>
    <n v="36"/>
    <n v="30.15"/>
    <x v="1"/>
    <n v="3"/>
    <n v="4"/>
    <x v="1"/>
    <d v="2025-05-23T00:00:00"/>
  </r>
  <r>
    <s v="CUST0826"/>
    <s v="Female"/>
    <n v="29"/>
    <x v="0"/>
    <x v="1"/>
    <x v="1"/>
    <n v="13"/>
    <n v="62.93"/>
    <x v="2"/>
    <n v="8"/>
    <n v="3"/>
    <x v="1"/>
    <d v="2021-04-09T00:00:00"/>
  </r>
  <r>
    <s v="CUST0827"/>
    <s v="Female"/>
    <n v="38"/>
    <x v="3"/>
    <x v="0"/>
    <x v="1"/>
    <n v="69"/>
    <n v="63.28"/>
    <x v="1"/>
    <n v="7"/>
    <n v="5"/>
    <x v="0"/>
    <d v="2021-01-20T00:00:00"/>
  </r>
  <r>
    <s v="CUST0828"/>
    <s v="Female"/>
    <n v="60"/>
    <x v="2"/>
    <x v="0"/>
    <x v="1"/>
    <n v="35"/>
    <n v="55.79"/>
    <x v="2"/>
    <n v="3"/>
    <n v="5"/>
    <x v="1"/>
    <d v="2023-07-27T00:00:00"/>
  </r>
  <r>
    <s v="CUST0829"/>
    <s v="Female"/>
    <n v="46"/>
    <x v="0"/>
    <x v="2"/>
    <x v="2"/>
    <n v="37"/>
    <n v="89.14"/>
    <x v="1"/>
    <n v="8"/>
    <n v="2"/>
    <x v="1"/>
    <d v="2025-10-24T00:00:00"/>
  </r>
  <r>
    <s v="CUST0830"/>
    <s v="Female"/>
    <n v="37"/>
    <x v="3"/>
    <x v="2"/>
    <x v="0"/>
    <n v="11"/>
    <n v="31.15"/>
    <x v="3"/>
    <n v="1"/>
    <n v="2"/>
    <x v="1"/>
    <d v="2021-06-23T00:00:00"/>
  </r>
  <r>
    <s v="CUST0831"/>
    <s v="Male"/>
    <n v="53"/>
    <x v="3"/>
    <x v="0"/>
    <x v="1"/>
    <n v="66"/>
    <n v="68.989999999999995"/>
    <x v="3"/>
    <n v="7"/>
    <n v="4"/>
    <x v="1"/>
    <d v="2024-10-18T00:00:00"/>
  </r>
  <r>
    <s v="CUST0832"/>
    <s v="Female"/>
    <n v="43"/>
    <x v="1"/>
    <x v="1"/>
    <x v="0"/>
    <n v="1"/>
    <n v="40.71"/>
    <x v="2"/>
    <n v="3"/>
    <n v="5"/>
    <x v="1"/>
    <d v="2021-03-28T00:00:00"/>
  </r>
  <r>
    <s v="CUST0833"/>
    <s v="Male"/>
    <n v="28"/>
    <x v="2"/>
    <x v="0"/>
    <x v="0"/>
    <n v="47"/>
    <n v="42.59"/>
    <x v="2"/>
    <n v="0"/>
    <n v="4"/>
    <x v="1"/>
    <d v="2021-12-16T00:00:00"/>
  </r>
  <r>
    <s v="CUST0834"/>
    <s v="Male"/>
    <n v="25"/>
    <x v="0"/>
    <x v="1"/>
    <x v="0"/>
    <n v="70"/>
    <n v="42.76"/>
    <x v="0"/>
    <n v="4"/>
    <n v="3"/>
    <x v="1"/>
    <d v="2022-06-27T00:00:00"/>
  </r>
  <r>
    <s v="CUST0835"/>
    <s v="Female"/>
    <n v="18"/>
    <x v="3"/>
    <x v="0"/>
    <x v="1"/>
    <n v="66"/>
    <n v="67.39"/>
    <x v="0"/>
    <n v="7"/>
    <n v="5"/>
    <x v="1"/>
    <d v="2021-04-28T00:00:00"/>
  </r>
  <r>
    <s v="CUST0836"/>
    <s v="Male"/>
    <n v="18"/>
    <x v="3"/>
    <x v="2"/>
    <x v="1"/>
    <n v="46"/>
    <n v="56.61"/>
    <x v="2"/>
    <n v="2"/>
    <n v="4"/>
    <x v="1"/>
    <d v="2021-07-27T00:00:00"/>
  </r>
  <r>
    <s v="CUST0837"/>
    <s v="Male"/>
    <n v="49"/>
    <x v="2"/>
    <x v="0"/>
    <x v="2"/>
    <n v="66"/>
    <n v="98.48"/>
    <x v="1"/>
    <n v="1"/>
    <n v="4"/>
    <x v="0"/>
    <d v="2025-04-25T00:00:00"/>
  </r>
  <r>
    <s v="CUST0838"/>
    <s v="Male"/>
    <n v="32"/>
    <x v="3"/>
    <x v="2"/>
    <x v="1"/>
    <n v="39"/>
    <n v="60.47"/>
    <x v="3"/>
    <n v="8"/>
    <n v="3"/>
    <x v="0"/>
    <d v="2023-06-18T00:00:00"/>
  </r>
  <r>
    <s v="CUST0839"/>
    <s v="Male"/>
    <n v="28"/>
    <x v="2"/>
    <x v="2"/>
    <x v="2"/>
    <n v="56"/>
    <n v="85.09"/>
    <x v="3"/>
    <n v="1"/>
    <n v="2"/>
    <x v="1"/>
    <d v="2021-10-01T00:00:00"/>
  </r>
  <r>
    <s v="CUST0840"/>
    <s v="Male"/>
    <n v="44"/>
    <x v="0"/>
    <x v="0"/>
    <x v="0"/>
    <n v="26"/>
    <n v="44.23"/>
    <x v="2"/>
    <n v="1"/>
    <n v="4"/>
    <x v="1"/>
    <d v="2023-10-12T00:00:00"/>
  </r>
  <r>
    <s v="CUST0841"/>
    <s v="Female"/>
    <n v="38"/>
    <x v="3"/>
    <x v="1"/>
    <x v="2"/>
    <n v="50"/>
    <n v="86.97"/>
    <x v="0"/>
    <n v="0"/>
    <n v="2"/>
    <x v="0"/>
    <d v="2023-10-22T00:00:00"/>
  </r>
  <r>
    <s v="CUST0842"/>
    <s v="Female"/>
    <n v="67"/>
    <x v="2"/>
    <x v="0"/>
    <x v="2"/>
    <n v="44"/>
    <n v="91.44"/>
    <x v="0"/>
    <n v="6"/>
    <n v="4"/>
    <x v="1"/>
    <d v="2023-09-23T00:00:00"/>
  </r>
  <r>
    <s v="CUST0843"/>
    <s v="Female"/>
    <n v="66"/>
    <x v="3"/>
    <x v="0"/>
    <x v="2"/>
    <n v="20"/>
    <n v="95.94"/>
    <x v="3"/>
    <n v="3"/>
    <n v="3"/>
    <x v="1"/>
    <d v="2025-11-05T00:00:00"/>
  </r>
  <r>
    <s v="CUST0844"/>
    <s v="Male"/>
    <n v="62"/>
    <x v="2"/>
    <x v="1"/>
    <x v="1"/>
    <n v="26"/>
    <n v="62.11"/>
    <x v="0"/>
    <n v="8"/>
    <n v="5"/>
    <x v="1"/>
    <d v="2025-10-17T00:00:00"/>
  </r>
  <r>
    <s v="CUST0845"/>
    <s v="Female"/>
    <n v="32"/>
    <x v="1"/>
    <x v="0"/>
    <x v="1"/>
    <n v="5"/>
    <n v="59.11"/>
    <x v="3"/>
    <n v="2"/>
    <n v="4"/>
    <x v="0"/>
    <d v="2022-02-13T00:00:00"/>
  </r>
  <r>
    <s v="CUST0846"/>
    <s v="Female"/>
    <n v="21"/>
    <x v="3"/>
    <x v="2"/>
    <x v="2"/>
    <n v="40"/>
    <n v="95.5"/>
    <x v="3"/>
    <n v="3"/>
    <n v="3"/>
    <x v="1"/>
    <d v="2021-05-06T00:00:00"/>
  </r>
  <r>
    <s v="CUST0847"/>
    <s v="Male"/>
    <n v="59"/>
    <x v="1"/>
    <x v="2"/>
    <x v="0"/>
    <n v="35"/>
    <n v="35.450000000000003"/>
    <x v="2"/>
    <n v="6"/>
    <n v="2"/>
    <x v="0"/>
    <d v="2021-04-08T00:00:00"/>
  </r>
  <r>
    <s v="CUST0848"/>
    <s v="Female"/>
    <n v="20"/>
    <x v="1"/>
    <x v="0"/>
    <x v="2"/>
    <n v="42"/>
    <n v="88.18"/>
    <x v="1"/>
    <n v="4"/>
    <n v="5"/>
    <x v="0"/>
    <d v="2022-01-14T00:00:00"/>
  </r>
  <r>
    <s v="CUST0849"/>
    <s v="Male"/>
    <n v="49"/>
    <x v="0"/>
    <x v="2"/>
    <x v="1"/>
    <n v="15"/>
    <n v="56.45"/>
    <x v="0"/>
    <n v="8"/>
    <n v="2"/>
    <x v="1"/>
    <d v="2025-02-27T00:00:00"/>
  </r>
  <r>
    <s v="CUST0850"/>
    <s v="Male"/>
    <n v="65"/>
    <x v="0"/>
    <x v="0"/>
    <x v="2"/>
    <n v="36"/>
    <n v="88.15"/>
    <x v="1"/>
    <n v="1"/>
    <n v="1"/>
    <x v="0"/>
    <d v="2025-03-01T00:00:00"/>
  </r>
  <r>
    <s v="CUST0851"/>
    <s v="Female"/>
    <n v="20"/>
    <x v="2"/>
    <x v="0"/>
    <x v="2"/>
    <n v="58"/>
    <n v="98.88"/>
    <x v="0"/>
    <n v="8"/>
    <n v="5"/>
    <x v="1"/>
    <d v="2025-01-25T00:00:00"/>
  </r>
  <r>
    <s v="CUST0852"/>
    <s v="Male"/>
    <n v="66"/>
    <x v="2"/>
    <x v="1"/>
    <x v="2"/>
    <n v="20"/>
    <n v="85.66"/>
    <x v="3"/>
    <n v="6"/>
    <n v="5"/>
    <x v="1"/>
    <d v="2025-12-02T00:00:00"/>
  </r>
  <r>
    <s v="CUST0853"/>
    <s v="Male"/>
    <n v="41"/>
    <x v="3"/>
    <x v="1"/>
    <x v="2"/>
    <n v="16"/>
    <n v="98.66"/>
    <x v="0"/>
    <n v="7"/>
    <n v="4"/>
    <x v="1"/>
    <d v="2023-10-29T00:00:00"/>
  </r>
  <r>
    <s v="CUST0854"/>
    <s v="Female"/>
    <n v="28"/>
    <x v="0"/>
    <x v="1"/>
    <x v="0"/>
    <n v="38"/>
    <n v="30.68"/>
    <x v="0"/>
    <n v="3"/>
    <n v="4"/>
    <x v="1"/>
    <d v="2023-12-27T00:00:00"/>
  </r>
  <r>
    <s v="CUST0855"/>
    <s v="Female"/>
    <n v="28"/>
    <x v="3"/>
    <x v="1"/>
    <x v="1"/>
    <n v="72"/>
    <n v="66.69"/>
    <x v="1"/>
    <n v="4"/>
    <n v="2"/>
    <x v="1"/>
    <d v="2021-11-24T00:00:00"/>
  </r>
  <r>
    <s v="CUST0856"/>
    <s v="Female"/>
    <n v="55"/>
    <x v="1"/>
    <x v="1"/>
    <x v="1"/>
    <n v="65"/>
    <n v="65.62"/>
    <x v="2"/>
    <n v="4"/>
    <n v="2"/>
    <x v="1"/>
    <d v="2022-07-04T00:00:00"/>
  </r>
  <r>
    <s v="CUST0857"/>
    <s v="Female"/>
    <n v="28"/>
    <x v="2"/>
    <x v="0"/>
    <x v="2"/>
    <n v="31"/>
    <n v="89.38"/>
    <x v="3"/>
    <n v="4"/>
    <n v="2"/>
    <x v="0"/>
    <d v="2025-06-08T00:00:00"/>
  </r>
  <r>
    <s v="CUST0858"/>
    <s v="Female"/>
    <n v="59"/>
    <x v="2"/>
    <x v="0"/>
    <x v="2"/>
    <n v="15"/>
    <n v="85.02"/>
    <x v="2"/>
    <n v="5"/>
    <n v="3"/>
    <x v="0"/>
    <d v="2024-12-15T00:00:00"/>
  </r>
  <r>
    <s v="CUST0859"/>
    <s v="Male"/>
    <n v="64"/>
    <x v="2"/>
    <x v="2"/>
    <x v="2"/>
    <n v="38"/>
    <n v="89.87"/>
    <x v="0"/>
    <n v="0"/>
    <n v="3"/>
    <x v="1"/>
    <d v="2022-07-27T00:00:00"/>
  </r>
  <r>
    <s v="CUST0860"/>
    <s v="Female"/>
    <n v="34"/>
    <x v="1"/>
    <x v="1"/>
    <x v="2"/>
    <n v="14"/>
    <n v="95.84"/>
    <x v="1"/>
    <n v="4"/>
    <n v="5"/>
    <x v="1"/>
    <d v="2025-07-31T00:00:00"/>
  </r>
  <r>
    <s v="CUST0861"/>
    <s v="Male"/>
    <n v="32"/>
    <x v="0"/>
    <x v="2"/>
    <x v="0"/>
    <n v="51"/>
    <n v="32.33"/>
    <x v="3"/>
    <n v="6"/>
    <n v="3"/>
    <x v="0"/>
    <d v="2023-09-09T00:00:00"/>
  </r>
  <r>
    <s v="CUST0862"/>
    <s v="Female"/>
    <n v="49"/>
    <x v="2"/>
    <x v="2"/>
    <x v="0"/>
    <n v="23"/>
    <n v="32.83"/>
    <x v="1"/>
    <n v="2"/>
    <n v="3"/>
    <x v="0"/>
    <d v="2021-11-30T00:00:00"/>
  </r>
  <r>
    <s v="CUST0863"/>
    <s v="Female"/>
    <n v="70"/>
    <x v="3"/>
    <x v="1"/>
    <x v="2"/>
    <n v="25"/>
    <n v="86.04"/>
    <x v="0"/>
    <n v="6"/>
    <n v="2"/>
    <x v="1"/>
    <d v="2024-08-14T00:00:00"/>
  </r>
  <r>
    <s v="CUST0864"/>
    <s v="Male"/>
    <n v="24"/>
    <x v="2"/>
    <x v="1"/>
    <x v="0"/>
    <n v="13"/>
    <n v="35.67"/>
    <x v="0"/>
    <n v="1"/>
    <n v="1"/>
    <x v="1"/>
    <d v="2024-08-12T00:00:00"/>
  </r>
  <r>
    <s v="CUST0865"/>
    <s v="Female"/>
    <n v="26"/>
    <x v="2"/>
    <x v="0"/>
    <x v="1"/>
    <n v="19"/>
    <n v="69.08"/>
    <x v="0"/>
    <n v="0"/>
    <n v="1"/>
    <x v="1"/>
    <d v="2025-08-03T00:00:00"/>
  </r>
  <r>
    <s v="CUST0866"/>
    <s v="Male"/>
    <n v="63"/>
    <x v="1"/>
    <x v="0"/>
    <x v="0"/>
    <n v="62"/>
    <n v="41.4"/>
    <x v="1"/>
    <n v="2"/>
    <n v="3"/>
    <x v="1"/>
    <d v="2021-11-13T00:00:00"/>
  </r>
  <r>
    <s v="CUST0867"/>
    <s v="Female"/>
    <n v="21"/>
    <x v="0"/>
    <x v="1"/>
    <x v="2"/>
    <n v="16"/>
    <n v="85.32"/>
    <x v="0"/>
    <n v="1"/>
    <n v="5"/>
    <x v="1"/>
    <d v="2023-11-14T00:00:00"/>
  </r>
  <r>
    <s v="CUST0868"/>
    <s v="Male"/>
    <n v="27"/>
    <x v="1"/>
    <x v="0"/>
    <x v="0"/>
    <n v="30"/>
    <n v="36.409999999999997"/>
    <x v="3"/>
    <n v="5"/>
    <n v="3"/>
    <x v="0"/>
    <d v="2025-12-06T00:00:00"/>
  </r>
  <r>
    <s v="CUST0869"/>
    <s v="Male"/>
    <n v="61"/>
    <x v="1"/>
    <x v="2"/>
    <x v="0"/>
    <n v="15"/>
    <n v="33.369999999999997"/>
    <x v="2"/>
    <n v="5"/>
    <n v="1"/>
    <x v="1"/>
    <d v="2021-08-31T00:00:00"/>
  </r>
  <r>
    <s v="CUST0870"/>
    <s v="Male"/>
    <n v="23"/>
    <x v="1"/>
    <x v="1"/>
    <x v="0"/>
    <n v="23"/>
    <n v="36.43"/>
    <x v="2"/>
    <n v="2"/>
    <n v="4"/>
    <x v="1"/>
    <d v="2024-09-28T00:00:00"/>
  </r>
  <r>
    <s v="CUST0871"/>
    <s v="Male"/>
    <n v="57"/>
    <x v="0"/>
    <x v="2"/>
    <x v="0"/>
    <n v="35"/>
    <n v="43.74"/>
    <x v="2"/>
    <n v="4"/>
    <n v="1"/>
    <x v="1"/>
    <d v="2025-10-31T00:00:00"/>
  </r>
  <r>
    <s v="CUST0872"/>
    <s v="Female"/>
    <n v="67"/>
    <x v="2"/>
    <x v="2"/>
    <x v="0"/>
    <n v="50"/>
    <n v="36.700000000000003"/>
    <x v="1"/>
    <n v="1"/>
    <n v="1"/>
    <x v="1"/>
    <d v="2025-01-28T00:00:00"/>
  </r>
  <r>
    <s v="CUST0873"/>
    <s v="Male"/>
    <n v="27"/>
    <x v="1"/>
    <x v="2"/>
    <x v="0"/>
    <n v="24"/>
    <n v="41.51"/>
    <x v="2"/>
    <n v="5"/>
    <n v="4"/>
    <x v="1"/>
    <d v="2024-11-21T00:00:00"/>
  </r>
  <r>
    <s v="CUST0874"/>
    <s v="Male"/>
    <n v="56"/>
    <x v="0"/>
    <x v="0"/>
    <x v="2"/>
    <n v="32"/>
    <n v="90.75"/>
    <x v="1"/>
    <n v="8"/>
    <n v="5"/>
    <x v="1"/>
    <d v="2024-01-04T00:00:00"/>
  </r>
  <r>
    <s v="CUST0875"/>
    <s v="Female"/>
    <n v="42"/>
    <x v="1"/>
    <x v="1"/>
    <x v="2"/>
    <n v="54"/>
    <n v="92.9"/>
    <x v="3"/>
    <n v="1"/>
    <n v="2"/>
    <x v="1"/>
    <d v="2022-02-21T00:00:00"/>
  </r>
  <r>
    <s v="CUST0876"/>
    <s v="Female"/>
    <n v="41"/>
    <x v="3"/>
    <x v="0"/>
    <x v="0"/>
    <n v="8"/>
    <n v="43.67"/>
    <x v="2"/>
    <n v="2"/>
    <n v="3"/>
    <x v="1"/>
    <d v="2025-09-07T00:00:00"/>
  </r>
  <r>
    <s v="CUST0877"/>
    <s v="Male"/>
    <n v="33"/>
    <x v="2"/>
    <x v="0"/>
    <x v="0"/>
    <n v="18"/>
    <n v="31.76"/>
    <x v="3"/>
    <n v="6"/>
    <n v="1"/>
    <x v="1"/>
    <d v="2023-05-20T00:00:00"/>
  </r>
  <r>
    <s v="CUST0878"/>
    <s v="Male"/>
    <n v="21"/>
    <x v="1"/>
    <x v="1"/>
    <x v="2"/>
    <n v="10"/>
    <n v="92.15"/>
    <x v="3"/>
    <n v="0"/>
    <n v="2"/>
    <x v="1"/>
    <d v="2021-06-11T00:00:00"/>
  </r>
  <r>
    <s v="CUST0879"/>
    <s v="Female"/>
    <n v="22"/>
    <x v="1"/>
    <x v="1"/>
    <x v="1"/>
    <n v="20"/>
    <n v="66.48"/>
    <x v="1"/>
    <n v="2"/>
    <n v="5"/>
    <x v="1"/>
    <d v="2022-09-06T00:00:00"/>
  </r>
  <r>
    <s v="CUST0880"/>
    <s v="Male"/>
    <n v="44"/>
    <x v="0"/>
    <x v="2"/>
    <x v="2"/>
    <n v="2"/>
    <n v="89.3"/>
    <x v="3"/>
    <n v="0"/>
    <n v="1"/>
    <x v="1"/>
    <d v="2021-12-22T00:00:00"/>
  </r>
  <r>
    <s v="CUST0881"/>
    <s v="Female"/>
    <n v="18"/>
    <x v="3"/>
    <x v="2"/>
    <x v="2"/>
    <n v="59"/>
    <n v="93.31"/>
    <x v="2"/>
    <n v="8"/>
    <n v="3"/>
    <x v="1"/>
    <d v="2023-05-18T00:00:00"/>
  </r>
  <r>
    <s v="CUST0882"/>
    <s v="Female"/>
    <n v="35"/>
    <x v="1"/>
    <x v="1"/>
    <x v="1"/>
    <n v="17"/>
    <n v="66.150000000000006"/>
    <x v="1"/>
    <n v="0"/>
    <n v="2"/>
    <x v="1"/>
    <d v="2025-08-12T00:00:00"/>
  </r>
  <r>
    <s v="CUST0883"/>
    <s v="Female"/>
    <n v="70"/>
    <x v="3"/>
    <x v="2"/>
    <x v="1"/>
    <n v="52"/>
    <n v="67.41"/>
    <x v="3"/>
    <n v="0"/>
    <n v="3"/>
    <x v="1"/>
    <d v="2022-02-03T00:00:00"/>
  </r>
  <r>
    <s v="CUST0884"/>
    <s v="Male"/>
    <n v="24"/>
    <x v="1"/>
    <x v="0"/>
    <x v="1"/>
    <n v="43"/>
    <n v="55.42"/>
    <x v="2"/>
    <n v="2"/>
    <n v="5"/>
    <x v="0"/>
    <d v="2022-03-10T00:00:00"/>
  </r>
  <r>
    <s v="CUST0885"/>
    <s v="Female"/>
    <n v="66"/>
    <x v="0"/>
    <x v="0"/>
    <x v="2"/>
    <n v="26"/>
    <n v="94.58"/>
    <x v="0"/>
    <n v="3"/>
    <n v="3"/>
    <x v="0"/>
    <d v="2024-03-13T00:00:00"/>
  </r>
  <r>
    <s v="CUST0886"/>
    <s v="Female"/>
    <n v="54"/>
    <x v="3"/>
    <x v="0"/>
    <x v="0"/>
    <n v="41"/>
    <n v="31.4"/>
    <x v="2"/>
    <n v="0"/>
    <n v="3"/>
    <x v="1"/>
    <d v="2023-03-27T00:00:00"/>
  </r>
  <r>
    <s v="CUST0887"/>
    <s v="Female"/>
    <n v="38"/>
    <x v="3"/>
    <x v="1"/>
    <x v="1"/>
    <n v="17"/>
    <n v="65.540000000000006"/>
    <x v="0"/>
    <n v="5"/>
    <n v="4"/>
    <x v="1"/>
    <d v="2023-10-29T00:00:00"/>
  </r>
  <r>
    <s v="CUST0888"/>
    <s v="Female"/>
    <n v="50"/>
    <x v="2"/>
    <x v="0"/>
    <x v="2"/>
    <n v="49"/>
    <n v="92.15"/>
    <x v="0"/>
    <n v="4"/>
    <n v="2"/>
    <x v="0"/>
    <d v="2023-08-07T00:00:00"/>
  </r>
  <r>
    <s v="CUST0889"/>
    <s v="Female"/>
    <n v="58"/>
    <x v="1"/>
    <x v="1"/>
    <x v="0"/>
    <n v="28"/>
    <n v="42.11"/>
    <x v="3"/>
    <n v="2"/>
    <n v="5"/>
    <x v="1"/>
    <d v="2025-02-01T00:00:00"/>
  </r>
  <r>
    <s v="CUST0890"/>
    <s v="Male"/>
    <n v="46"/>
    <x v="2"/>
    <x v="2"/>
    <x v="1"/>
    <n v="47"/>
    <n v="64.349999999999994"/>
    <x v="1"/>
    <n v="0"/>
    <n v="4"/>
    <x v="1"/>
    <d v="2024-06-04T00:00:00"/>
  </r>
  <r>
    <s v="CUST0891"/>
    <s v="Female"/>
    <n v="27"/>
    <x v="3"/>
    <x v="0"/>
    <x v="0"/>
    <n v="19"/>
    <n v="41.49"/>
    <x v="2"/>
    <n v="8"/>
    <n v="1"/>
    <x v="1"/>
    <d v="2023-07-21T00:00:00"/>
  </r>
  <r>
    <s v="CUST0892"/>
    <s v="Male"/>
    <n v="28"/>
    <x v="0"/>
    <x v="0"/>
    <x v="0"/>
    <n v="36"/>
    <n v="38.65"/>
    <x v="2"/>
    <n v="1"/>
    <n v="1"/>
    <x v="0"/>
    <d v="2025-04-30T00:00:00"/>
  </r>
  <r>
    <s v="CUST0893"/>
    <s v="Male"/>
    <n v="34"/>
    <x v="3"/>
    <x v="2"/>
    <x v="1"/>
    <n v="18"/>
    <n v="69.099999999999994"/>
    <x v="1"/>
    <n v="0"/>
    <n v="3"/>
    <x v="1"/>
    <d v="2023-04-02T00:00:00"/>
  </r>
  <r>
    <s v="CUST0894"/>
    <s v="Male"/>
    <n v="57"/>
    <x v="2"/>
    <x v="2"/>
    <x v="1"/>
    <n v="66"/>
    <n v="67.67"/>
    <x v="2"/>
    <n v="5"/>
    <n v="1"/>
    <x v="1"/>
    <d v="2023-11-03T00:00:00"/>
  </r>
  <r>
    <s v="CUST0895"/>
    <s v="Male"/>
    <n v="34"/>
    <x v="1"/>
    <x v="1"/>
    <x v="2"/>
    <n v="8"/>
    <n v="96.12"/>
    <x v="3"/>
    <n v="8"/>
    <n v="1"/>
    <x v="0"/>
    <d v="2021-08-04T00:00:00"/>
  </r>
  <r>
    <s v="CUST0896"/>
    <s v="Male"/>
    <n v="42"/>
    <x v="2"/>
    <x v="1"/>
    <x v="1"/>
    <n v="10"/>
    <n v="58.35"/>
    <x v="1"/>
    <n v="1"/>
    <n v="3"/>
    <x v="1"/>
    <d v="2024-08-08T00:00:00"/>
  </r>
  <r>
    <s v="CUST0897"/>
    <s v="Male"/>
    <n v="24"/>
    <x v="1"/>
    <x v="0"/>
    <x v="2"/>
    <n v="14"/>
    <n v="98.76"/>
    <x v="1"/>
    <n v="6"/>
    <n v="2"/>
    <x v="1"/>
    <d v="2021-05-13T00:00:00"/>
  </r>
  <r>
    <s v="CUST0898"/>
    <s v="Male"/>
    <n v="39"/>
    <x v="3"/>
    <x v="0"/>
    <x v="2"/>
    <n v="61"/>
    <n v="86.71"/>
    <x v="1"/>
    <n v="0"/>
    <n v="5"/>
    <x v="0"/>
    <d v="2023-08-21T00:00:00"/>
  </r>
  <r>
    <s v="CUST0899"/>
    <s v="Female"/>
    <n v="58"/>
    <x v="2"/>
    <x v="2"/>
    <x v="2"/>
    <n v="5"/>
    <n v="99.82"/>
    <x v="1"/>
    <n v="0"/>
    <n v="3"/>
    <x v="1"/>
    <d v="2023-08-28T00:00:00"/>
  </r>
  <r>
    <s v="CUST0900"/>
    <s v="Female"/>
    <n v="21"/>
    <x v="2"/>
    <x v="0"/>
    <x v="2"/>
    <n v="55"/>
    <n v="89.05"/>
    <x v="3"/>
    <n v="1"/>
    <n v="2"/>
    <x v="0"/>
    <d v="2023-04-10T00:00:00"/>
  </r>
  <r>
    <s v="CUST0901"/>
    <s v="Female"/>
    <n v="37"/>
    <x v="3"/>
    <x v="2"/>
    <x v="2"/>
    <n v="28"/>
    <n v="95.04"/>
    <x v="2"/>
    <n v="2"/>
    <n v="1"/>
    <x v="0"/>
    <d v="2023-05-28T00:00:00"/>
  </r>
  <r>
    <s v="CUST0902"/>
    <s v="Male"/>
    <n v="66"/>
    <x v="0"/>
    <x v="0"/>
    <x v="0"/>
    <n v="45"/>
    <n v="44.13"/>
    <x v="1"/>
    <n v="7"/>
    <n v="5"/>
    <x v="1"/>
    <d v="2021-11-26T00:00:00"/>
  </r>
  <r>
    <s v="CUST0903"/>
    <s v="Male"/>
    <n v="40"/>
    <x v="3"/>
    <x v="0"/>
    <x v="2"/>
    <n v="26"/>
    <n v="86.17"/>
    <x v="3"/>
    <n v="5"/>
    <n v="3"/>
    <x v="0"/>
    <d v="2023-07-29T00:00:00"/>
  </r>
  <r>
    <s v="CUST0904"/>
    <s v="Female"/>
    <n v="49"/>
    <x v="0"/>
    <x v="0"/>
    <x v="2"/>
    <n v="53"/>
    <n v="88.94"/>
    <x v="0"/>
    <n v="7"/>
    <n v="2"/>
    <x v="1"/>
    <d v="2024-08-01T00:00:00"/>
  </r>
  <r>
    <s v="CUST0905"/>
    <s v="Female"/>
    <n v="20"/>
    <x v="2"/>
    <x v="1"/>
    <x v="0"/>
    <n v="54"/>
    <n v="40.450000000000003"/>
    <x v="3"/>
    <n v="6"/>
    <n v="2"/>
    <x v="1"/>
    <d v="2022-01-27T00:00:00"/>
  </r>
  <r>
    <s v="CUST0906"/>
    <s v="Female"/>
    <n v="41"/>
    <x v="0"/>
    <x v="0"/>
    <x v="1"/>
    <n v="40"/>
    <n v="62.53"/>
    <x v="0"/>
    <n v="7"/>
    <n v="4"/>
    <x v="1"/>
    <d v="2022-12-22T00:00:00"/>
  </r>
  <r>
    <s v="CUST0907"/>
    <s v="Male"/>
    <n v="52"/>
    <x v="3"/>
    <x v="1"/>
    <x v="1"/>
    <n v="15"/>
    <n v="68.900000000000006"/>
    <x v="1"/>
    <n v="6"/>
    <n v="3"/>
    <x v="1"/>
    <d v="2024-05-03T00:00:00"/>
  </r>
  <r>
    <s v="CUST0908"/>
    <s v="Female"/>
    <n v="52"/>
    <x v="3"/>
    <x v="2"/>
    <x v="1"/>
    <n v="56"/>
    <n v="64.510000000000005"/>
    <x v="0"/>
    <n v="1"/>
    <n v="1"/>
    <x v="0"/>
    <d v="2021-02-03T00:00:00"/>
  </r>
  <r>
    <s v="CUST0909"/>
    <s v="Male"/>
    <n v="24"/>
    <x v="3"/>
    <x v="1"/>
    <x v="2"/>
    <n v="70"/>
    <n v="86.5"/>
    <x v="1"/>
    <n v="8"/>
    <n v="5"/>
    <x v="1"/>
    <d v="2024-09-29T00:00:00"/>
  </r>
  <r>
    <s v="CUST0910"/>
    <s v="Male"/>
    <n v="44"/>
    <x v="2"/>
    <x v="0"/>
    <x v="1"/>
    <n v="71"/>
    <n v="60.72"/>
    <x v="3"/>
    <n v="7"/>
    <n v="1"/>
    <x v="0"/>
    <d v="2025-06-14T00:00:00"/>
  </r>
  <r>
    <s v="CUST0911"/>
    <s v="Male"/>
    <n v="44"/>
    <x v="3"/>
    <x v="0"/>
    <x v="1"/>
    <n v="29"/>
    <n v="62.61"/>
    <x v="2"/>
    <n v="4"/>
    <n v="3"/>
    <x v="1"/>
    <d v="2025-06-17T00:00:00"/>
  </r>
  <r>
    <s v="CUST0912"/>
    <s v="Male"/>
    <n v="61"/>
    <x v="2"/>
    <x v="0"/>
    <x v="1"/>
    <n v="5"/>
    <n v="55.23"/>
    <x v="3"/>
    <n v="5"/>
    <n v="5"/>
    <x v="1"/>
    <d v="2024-05-13T00:00:00"/>
  </r>
  <r>
    <s v="CUST0913"/>
    <s v="Male"/>
    <n v="39"/>
    <x v="2"/>
    <x v="1"/>
    <x v="1"/>
    <n v="31"/>
    <n v="63.34"/>
    <x v="1"/>
    <n v="3"/>
    <n v="5"/>
    <x v="1"/>
    <d v="2025-08-24T00:00:00"/>
  </r>
  <r>
    <s v="CUST0914"/>
    <s v="Female"/>
    <n v="69"/>
    <x v="3"/>
    <x v="0"/>
    <x v="2"/>
    <n v="50"/>
    <n v="99.66"/>
    <x v="3"/>
    <n v="6"/>
    <n v="3"/>
    <x v="1"/>
    <d v="2023-06-15T00:00:00"/>
  </r>
  <r>
    <s v="CUST0915"/>
    <s v="Female"/>
    <n v="24"/>
    <x v="2"/>
    <x v="1"/>
    <x v="0"/>
    <n v="51"/>
    <n v="42.65"/>
    <x v="2"/>
    <n v="8"/>
    <n v="2"/>
    <x v="1"/>
    <d v="2022-02-22T00:00:00"/>
  </r>
  <r>
    <s v="CUST0916"/>
    <s v="Female"/>
    <n v="23"/>
    <x v="1"/>
    <x v="2"/>
    <x v="0"/>
    <n v="20"/>
    <n v="30.42"/>
    <x v="0"/>
    <n v="6"/>
    <n v="1"/>
    <x v="1"/>
    <d v="2021-09-25T00:00:00"/>
  </r>
  <r>
    <s v="CUST0917"/>
    <s v="Male"/>
    <n v="58"/>
    <x v="0"/>
    <x v="0"/>
    <x v="0"/>
    <n v="29"/>
    <n v="34.450000000000003"/>
    <x v="3"/>
    <n v="6"/>
    <n v="3"/>
    <x v="1"/>
    <d v="2022-07-18T00:00:00"/>
  </r>
  <r>
    <s v="CUST0918"/>
    <s v="Female"/>
    <n v="27"/>
    <x v="1"/>
    <x v="1"/>
    <x v="2"/>
    <n v="14"/>
    <n v="86.66"/>
    <x v="0"/>
    <n v="1"/>
    <n v="2"/>
    <x v="1"/>
    <d v="2022-01-05T00:00:00"/>
  </r>
  <r>
    <s v="CUST0919"/>
    <s v="Female"/>
    <n v="22"/>
    <x v="3"/>
    <x v="2"/>
    <x v="0"/>
    <n v="51"/>
    <n v="31.51"/>
    <x v="0"/>
    <n v="6"/>
    <n v="1"/>
    <x v="1"/>
    <d v="2024-07-05T00:00:00"/>
  </r>
  <r>
    <s v="CUST0920"/>
    <s v="Female"/>
    <n v="31"/>
    <x v="3"/>
    <x v="2"/>
    <x v="1"/>
    <n v="58"/>
    <n v="67.13"/>
    <x v="3"/>
    <n v="4"/>
    <n v="1"/>
    <x v="1"/>
    <d v="2024-09-12T00:00:00"/>
  </r>
  <r>
    <s v="CUST0921"/>
    <s v="Female"/>
    <n v="25"/>
    <x v="0"/>
    <x v="2"/>
    <x v="1"/>
    <n v="70"/>
    <n v="55.08"/>
    <x v="2"/>
    <n v="1"/>
    <n v="2"/>
    <x v="1"/>
    <d v="2024-01-03T00:00:00"/>
  </r>
  <r>
    <s v="CUST0922"/>
    <s v="Female"/>
    <n v="51"/>
    <x v="2"/>
    <x v="0"/>
    <x v="1"/>
    <n v="15"/>
    <n v="68.48"/>
    <x v="0"/>
    <n v="5"/>
    <n v="2"/>
    <x v="0"/>
    <d v="2025-01-30T00:00:00"/>
  </r>
  <r>
    <s v="CUST0923"/>
    <s v="Female"/>
    <n v="35"/>
    <x v="0"/>
    <x v="2"/>
    <x v="0"/>
    <n v="12"/>
    <n v="35.229999999999997"/>
    <x v="2"/>
    <n v="7"/>
    <n v="4"/>
    <x v="1"/>
    <d v="2023-03-31T00:00:00"/>
  </r>
  <r>
    <s v="CUST0924"/>
    <s v="Female"/>
    <n v="34"/>
    <x v="2"/>
    <x v="0"/>
    <x v="2"/>
    <n v="36"/>
    <n v="99.43"/>
    <x v="0"/>
    <n v="4"/>
    <n v="2"/>
    <x v="1"/>
    <d v="2025-01-18T00:00:00"/>
  </r>
  <r>
    <s v="CUST0925"/>
    <s v="Male"/>
    <n v="45"/>
    <x v="3"/>
    <x v="2"/>
    <x v="2"/>
    <n v="35"/>
    <n v="97.24"/>
    <x v="0"/>
    <n v="6"/>
    <n v="4"/>
    <x v="0"/>
    <d v="2022-12-24T00:00:00"/>
  </r>
  <r>
    <s v="CUST0926"/>
    <s v="Male"/>
    <n v="58"/>
    <x v="1"/>
    <x v="2"/>
    <x v="0"/>
    <n v="5"/>
    <n v="44.37"/>
    <x v="2"/>
    <n v="6"/>
    <n v="3"/>
    <x v="1"/>
    <d v="2025-12-02T00:00:00"/>
  </r>
  <r>
    <s v="CUST0927"/>
    <s v="Male"/>
    <n v="43"/>
    <x v="1"/>
    <x v="0"/>
    <x v="0"/>
    <n v="42"/>
    <n v="36.44"/>
    <x v="3"/>
    <n v="5"/>
    <n v="2"/>
    <x v="0"/>
    <d v="2024-09-07T00:00:00"/>
  </r>
  <r>
    <s v="CUST0928"/>
    <s v="Male"/>
    <n v="41"/>
    <x v="2"/>
    <x v="2"/>
    <x v="0"/>
    <n v="2"/>
    <n v="34.78"/>
    <x v="0"/>
    <n v="5"/>
    <n v="2"/>
    <x v="1"/>
    <d v="2025-06-17T00:00:00"/>
  </r>
  <r>
    <s v="CUST0929"/>
    <s v="Male"/>
    <n v="32"/>
    <x v="1"/>
    <x v="2"/>
    <x v="1"/>
    <n v="28"/>
    <n v="62.91"/>
    <x v="0"/>
    <n v="8"/>
    <n v="3"/>
    <x v="1"/>
    <d v="2025-07-12T00:00:00"/>
  </r>
  <r>
    <s v="CUST0930"/>
    <s v="Female"/>
    <n v="54"/>
    <x v="3"/>
    <x v="1"/>
    <x v="1"/>
    <n v="41"/>
    <n v="67.2"/>
    <x v="3"/>
    <n v="3"/>
    <n v="1"/>
    <x v="1"/>
    <d v="2023-10-19T00:00:00"/>
  </r>
  <r>
    <s v="CUST0931"/>
    <s v="Female"/>
    <n v="35"/>
    <x v="3"/>
    <x v="0"/>
    <x v="0"/>
    <n v="58"/>
    <n v="32.57"/>
    <x v="2"/>
    <n v="6"/>
    <n v="2"/>
    <x v="1"/>
    <d v="2022-08-07T00:00:00"/>
  </r>
  <r>
    <s v="CUST0932"/>
    <s v="Female"/>
    <n v="59"/>
    <x v="1"/>
    <x v="2"/>
    <x v="1"/>
    <n v="17"/>
    <n v="67.62"/>
    <x v="1"/>
    <n v="0"/>
    <n v="5"/>
    <x v="1"/>
    <d v="2021-03-22T00:00:00"/>
  </r>
  <r>
    <s v="CUST0933"/>
    <s v="Male"/>
    <n v="59"/>
    <x v="1"/>
    <x v="0"/>
    <x v="1"/>
    <n v="13"/>
    <n v="67.45"/>
    <x v="1"/>
    <n v="4"/>
    <n v="3"/>
    <x v="1"/>
    <d v="2022-12-10T00:00:00"/>
  </r>
  <r>
    <s v="CUST0934"/>
    <s v="Male"/>
    <n v="23"/>
    <x v="0"/>
    <x v="2"/>
    <x v="2"/>
    <n v="7"/>
    <n v="90.9"/>
    <x v="1"/>
    <n v="7"/>
    <n v="1"/>
    <x v="1"/>
    <d v="2024-06-19T00:00:00"/>
  </r>
  <r>
    <s v="CUST0935"/>
    <s v="Female"/>
    <n v="19"/>
    <x v="2"/>
    <x v="0"/>
    <x v="0"/>
    <n v="18"/>
    <n v="31.58"/>
    <x v="2"/>
    <n v="6"/>
    <n v="2"/>
    <x v="0"/>
    <d v="2022-01-27T00:00:00"/>
  </r>
  <r>
    <s v="CUST0936"/>
    <s v="Male"/>
    <n v="70"/>
    <x v="1"/>
    <x v="1"/>
    <x v="0"/>
    <n v="34"/>
    <n v="43.25"/>
    <x v="0"/>
    <n v="1"/>
    <n v="1"/>
    <x v="1"/>
    <d v="2021-06-03T00:00:00"/>
  </r>
  <r>
    <s v="CUST0937"/>
    <s v="Male"/>
    <n v="39"/>
    <x v="3"/>
    <x v="2"/>
    <x v="2"/>
    <n v="22"/>
    <n v="98.87"/>
    <x v="1"/>
    <n v="1"/>
    <n v="2"/>
    <x v="1"/>
    <d v="2021-10-31T00:00:00"/>
  </r>
  <r>
    <s v="CUST0938"/>
    <s v="Male"/>
    <n v="58"/>
    <x v="3"/>
    <x v="1"/>
    <x v="0"/>
    <n v="67"/>
    <n v="37.909999999999997"/>
    <x v="1"/>
    <n v="7"/>
    <n v="3"/>
    <x v="1"/>
    <d v="2025-02-05T00:00:00"/>
  </r>
  <r>
    <s v="CUST0939"/>
    <s v="Male"/>
    <n v="32"/>
    <x v="1"/>
    <x v="2"/>
    <x v="1"/>
    <n v="11"/>
    <n v="60.3"/>
    <x v="3"/>
    <n v="3"/>
    <n v="1"/>
    <x v="0"/>
    <d v="2023-10-10T00:00:00"/>
  </r>
  <r>
    <s v="CUST0940"/>
    <s v="Female"/>
    <n v="31"/>
    <x v="1"/>
    <x v="1"/>
    <x v="0"/>
    <n v="60"/>
    <n v="42.28"/>
    <x v="3"/>
    <n v="7"/>
    <n v="1"/>
    <x v="1"/>
    <d v="2025-07-26T00:00:00"/>
  </r>
  <r>
    <s v="CUST0941"/>
    <s v="Male"/>
    <n v="66"/>
    <x v="0"/>
    <x v="1"/>
    <x v="1"/>
    <n v="20"/>
    <n v="67.72"/>
    <x v="0"/>
    <n v="2"/>
    <n v="2"/>
    <x v="1"/>
    <d v="2023-03-01T00:00:00"/>
  </r>
  <r>
    <s v="CUST0942"/>
    <s v="Male"/>
    <n v="57"/>
    <x v="2"/>
    <x v="2"/>
    <x v="0"/>
    <n v="9"/>
    <n v="34.17"/>
    <x v="3"/>
    <n v="4"/>
    <n v="5"/>
    <x v="1"/>
    <d v="2021-10-29T00:00:00"/>
  </r>
  <r>
    <s v="CUST0943"/>
    <s v="Male"/>
    <n v="24"/>
    <x v="1"/>
    <x v="0"/>
    <x v="0"/>
    <n v="59"/>
    <n v="32.81"/>
    <x v="0"/>
    <n v="7"/>
    <n v="5"/>
    <x v="1"/>
    <d v="2022-06-28T00:00:00"/>
  </r>
  <r>
    <s v="CUST0944"/>
    <s v="Female"/>
    <n v="53"/>
    <x v="1"/>
    <x v="2"/>
    <x v="1"/>
    <n v="28"/>
    <n v="57.26"/>
    <x v="1"/>
    <n v="8"/>
    <n v="3"/>
    <x v="0"/>
    <d v="2022-07-13T00:00:00"/>
  </r>
  <r>
    <s v="CUST0945"/>
    <s v="Male"/>
    <n v="24"/>
    <x v="1"/>
    <x v="1"/>
    <x v="1"/>
    <n v="55"/>
    <n v="57.91"/>
    <x v="3"/>
    <n v="6"/>
    <n v="2"/>
    <x v="1"/>
    <d v="2023-12-21T00:00:00"/>
  </r>
  <r>
    <s v="CUST0946"/>
    <s v="Male"/>
    <n v="51"/>
    <x v="3"/>
    <x v="0"/>
    <x v="2"/>
    <n v="7"/>
    <n v="94.7"/>
    <x v="0"/>
    <n v="3"/>
    <n v="1"/>
    <x v="0"/>
    <d v="2021-03-15T00:00:00"/>
  </r>
  <r>
    <s v="CUST0947"/>
    <s v="Male"/>
    <n v="33"/>
    <x v="1"/>
    <x v="1"/>
    <x v="0"/>
    <n v="36"/>
    <n v="33.4"/>
    <x v="1"/>
    <n v="6"/>
    <n v="4"/>
    <x v="0"/>
    <d v="2025-02-12T00:00:00"/>
  </r>
  <r>
    <s v="CUST0948"/>
    <s v="Male"/>
    <n v="49"/>
    <x v="2"/>
    <x v="0"/>
    <x v="0"/>
    <n v="45"/>
    <n v="39.549999999999997"/>
    <x v="2"/>
    <n v="0"/>
    <n v="1"/>
    <x v="0"/>
    <d v="2024-12-05T00:00:00"/>
  </r>
  <r>
    <s v="CUST0949"/>
    <s v="Male"/>
    <n v="65"/>
    <x v="0"/>
    <x v="1"/>
    <x v="0"/>
    <n v="22"/>
    <n v="34.729999999999997"/>
    <x v="0"/>
    <n v="2"/>
    <n v="2"/>
    <x v="1"/>
    <d v="2023-07-22T00:00:00"/>
  </r>
  <r>
    <s v="CUST0950"/>
    <s v="Female"/>
    <n v="18"/>
    <x v="3"/>
    <x v="2"/>
    <x v="1"/>
    <n v="3"/>
    <n v="57.66"/>
    <x v="2"/>
    <n v="1"/>
    <n v="2"/>
    <x v="1"/>
    <d v="2025-10-14T00:00:00"/>
  </r>
  <r>
    <s v="CUST0951"/>
    <s v="Female"/>
    <n v="56"/>
    <x v="0"/>
    <x v="2"/>
    <x v="2"/>
    <n v="1"/>
    <n v="92.32"/>
    <x v="3"/>
    <n v="7"/>
    <n v="1"/>
    <x v="0"/>
    <d v="2021-02-05T00:00:00"/>
  </r>
  <r>
    <s v="CUST0952"/>
    <s v="Male"/>
    <n v="32"/>
    <x v="2"/>
    <x v="0"/>
    <x v="0"/>
    <n v="13"/>
    <n v="34.57"/>
    <x v="2"/>
    <n v="7"/>
    <n v="4"/>
    <x v="1"/>
    <d v="2024-01-23T00:00:00"/>
  </r>
  <r>
    <s v="CUST0953"/>
    <s v="Male"/>
    <n v="60"/>
    <x v="3"/>
    <x v="2"/>
    <x v="1"/>
    <n v="59"/>
    <n v="55.2"/>
    <x v="2"/>
    <n v="4"/>
    <n v="3"/>
    <x v="1"/>
    <d v="2025-05-06T00:00:00"/>
  </r>
  <r>
    <s v="CUST0954"/>
    <s v="Male"/>
    <n v="25"/>
    <x v="0"/>
    <x v="1"/>
    <x v="2"/>
    <n v="3"/>
    <n v="87.22"/>
    <x v="1"/>
    <n v="3"/>
    <n v="2"/>
    <x v="1"/>
    <d v="2021-03-05T00:00:00"/>
  </r>
  <r>
    <s v="CUST0955"/>
    <s v="Female"/>
    <n v="54"/>
    <x v="3"/>
    <x v="2"/>
    <x v="0"/>
    <n v="12"/>
    <n v="32.909999999999997"/>
    <x v="1"/>
    <n v="1"/>
    <n v="3"/>
    <x v="1"/>
    <d v="2024-10-22T00:00:00"/>
  </r>
  <r>
    <s v="CUST0956"/>
    <s v="Male"/>
    <n v="51"/>
    <x v="2"/>
    <x v="2"/>
    <x v="2"/>
    <n v="45"/>
    <n v="98.32"/>
    <x v="1"/>
    <n v="6"/>
    <n v="3"/>
    <x v="1"/>
    <d v="2021-03-26T00:00:00"/>
  </r>
  <r>
    <s v="CUST0957"/>
    <s v="Male"/>
    <n v="57"/>
    <x v="1"/>
    <x v="2"/>
    <x v="1"/>
    <n v="45"/>
    <n v="59.33"/>
    <x v="0"/>
    <n v="7"/>
    <n v="2"/>
    <x v="1"/>
    <d v="2021-11-04T00:00:00"/>
  </r>
  <r>
    <s v="CUST0958"/>
    <s v="Male"/>
    <n v="57"/>
    <x v="2"/>
    <x v="2"/>
    <x v="1"/>
    <n v="37"/>
    <n v="55.97"/>
    <x v="2"/>
    <n v="0"/>
    <n v="4"/>
    <x v="0"/>
    <d v="2022-08-03T00:00:00"/>
  </r>
  <r>
    <s v="CUST0959"/>
    <s v="Female"/>
    <n v="21"/>
    <x v="3"/>
    <x v="2"/>
    <x v="0"/>
    <n v="56"/>
    <n v="35.28"/>
    <x v="0"/>
    <n v="0"/>
    <n v="3"/>
    <x v="1"/>
    <d v="2025-12-05T00:00:00"/>
  </r>
  <r>
    <s v="CUST0960"/>
    <s v="Male"/>
    <n v="68"/>
    <x v="2"/>
    <x v="0"/>
    <x v="2"/>
    <n v="35"/>
    <n v="87.14"/>
    <x v="3"/>
    <n v="6"/>
    <n v="5"/>
    <x v="1"/>
    <d v="2022-08-19T00:00:00"/>
  </r>
  <r>
    <s v="CUST0961"/>
    <s v="Female"/>
    <n v="20"/>
    <x v="3"/>
    <x v="2"/>
    <x v="0"/>
    <n v="50"/>
    <n v="36.340000000000003"/>
    <x v="0"/>
    <n v="4"/>
    <n v="3"/>
    <x v="1"/>
    <d v="2021-12-21T00:00:00"/>
  </r>
  <r>
    <s v="CUST0962"/>
    <s v="Male"/>
    <n v="61"/>
    <x v="0"/>
    <x v="1"/>
    <x v="0"/>
    <n v="26"/>
    <n v="33.75"/>
    <x v="1"/>
    <n v="8"/>
    <n v="2"/>
    <x v="1"/>
    <d v="2021-06-25T00:00:00"/>
  </r>
  <r>
    <s v="CUST0963"/>
    <s v="Male"/>
    <n v="54"/>
    <x v="3"/>
    <x v="1"/>
    <x v="0"/>
    <n v="49"/>
    <n v="41.74"/>
    <x v="1"/>
    <n v="1"/>
    <n v="2"/>
    <x v="1"/>
    <d v="2024-11-22T00:00:00"/>
  </r>
  <r>
    <s v="CUST0964"/>
    <s v="Male"/>
    <n v="50"/>
    <x v="0"/>
    <x v="2"/>
    <x v="1"/>
    <n v="55"/>
    <n v="62"/>
    <x v="1"/>
    <n v="7"/>
    <n v="1"/>
    <x v="1"/>
    <d v="2021-02-24T00:00:00"/>
  </r>
  <r>
    <s v="CUST0965"/>
    <s v="Male"/>
    <n v="23"/>
    <x v="2"/>
    <x v="1"/>
    <x v="1"/>
    <n v="32"/>
    <n v="63.7"/>
    <x v="2"/>
    <n v="2"/>
    <n v="5"/>
    <x v="1"/>
    <d v="2024-03-04T00:00:00"/>
  </r>
  <r>
    <s v="CUST0966"/>
    <s v="Male"/>
    <n v="21"/>
    <x v="3"/>
    <x v="0"/>
    <x v="1"/>
    <n v="1"/>
    <n v="61.94"/>
    <x v="1"/>
    <n v="0"/>
    <n v="1"/>
    <x v="0"/>
    <d v="2025-08-27T00:00:00"/>
  </r>
  <r>
    <s v="CUST0967"/>
    <s v="Female"/>
    <n v="39"/>
    <x v="1"/>
    <x v="2"/>
    <x v="2"/>
    <n v="62"/>
    <n v="95.36"/>
    <x v="0"/>
    <n v="1"/>
    <n v="5"/>
    <x v="1"/>
    <d v="2025-02-23T00:00:00"/>
  </r>
  <r>
    <s v="CUST0968"/>
    <s v="Female"/>
    <n v="62"/>
    <x v="2"/>
    <x v="1"/>
    <x v="0"/>
    <n v="72"/>
    <n v="41.11"/>
    <x v="1"/>
    <n v="2"/>
    <n v="2"/>
    <x v="1"/>
    <d v="2024-08-03T00:00:00"/>
  </r>
  <r>
    <s v="CUST0969"/>
    <s v="Female"/>
    <n v="37"/>
    <x v="0"/>
    <x v="1"/>
    <x v="0"/>
    <n v="63"/>
    <n v="39.35"/>
    <x v="3"/>
    <n v="1"/>
    <n v="1"/>
    <x v="0"/>
    <d v="2024-05-21T00:00:00"/>
  </r>
  <r>
    <s v="CUST0970"/>
    <s v="Female"/>
    <n v="51"/>
    <x v="1"/>
    <x v="0"/>
    <x v="0"/>
    <n v="14"/>
    <n v="37.11"/>
    <x v="1"/>
    <n v="6"/>
    <n v="1"/>
    <x v="1"/>
    <d v="2022-09-07T00:00:00"/>
  </r>
  <r>
    <s v="CUST0971"/>
    <s v="Male"/>
    <n v="48"/>
    <x v="2"/>
    <x v="0"/>
    <x v="2"/>
    <n v="34"/>
    <n v="97.33"/>
    <x v="1"/>
    <n v="1"/>
    <n v="4"/>
    <x v="0"/>
    <d v="2021-02-14T00:00:00"/>
  </r>
  <r>
    <s v="CUST0972"/>
    <s v="Female"/>
    <n v="27"/>
    <x v="2"/>
    <x v="0"/>
    <x v="2"/>
    <n v="70"/>
    <n v="88.01"/>
    <x v="1"/>
    <n v="4"/>
    <n v="3"/>
    <x v="1"/>
    <d v="2024-04-20T00:00:00"/>
  </r>
  <r>
    <s v="CUST0973"/>
    <s v="Male"/>
    <n v="41"/>
    <x v="0"/>
    <x v="2"/>
    <x v="1"/>
    <n v="14"/>
    <n v="61.96"/>
    <x v="1"/>
    <n v="2"/>
    <n v="1"/>
    <x v="1"/>
    <d v="2021-09-04T00:00:00"/>
  </r>
  <r>
    <s v="CUST0974"/>
    <s v="Male"/>
    <n v="18"/>
    <x v="0"/>
    <x v="0"/>
    <x v="2"/>
    <n v="57"/>
    <n v="85.64"/>
    <x v="2"/>
    <n v="2"/>
    <n v="4"/>
    <x v="1"/>
    <d v="2023-07-28T00:00:00"/>
  </r>
  <r>
    <s v="CUST0975"/>
    <s v="Male"/>
    <n v="18"/>
    <x v="2"/>
    <x v="2"/>
    <x v="2"/>
    <n v="65"/>
    <n v="88.16"/>
    <x v="1"/>
    <n v="8"/>
    <n v="1"/>
    <x v="0"/>
    <d v="2021-11-07T00:00:00"/>
  </r>
  <r>
    <s v="CUST0976"/>
    <s v="Male"/>
    <n v="59"/>
    <x v="0"/>
    <x v="2"/>
    <x v="2"/>
    <n v="18"/>
    <n v="89.18"/>
    <x v="2"/>
    <n v="6"/>
    <n v="1"/>
    <x v="1"/>
    <d v="2024-08-14T00:00:00"/>
  </r>
  <r>
    <s v="CUST0977"/>
    <s v="Male"/>
    <n v="42"/>
    <x v="3"/>
    <x v="1"/>
    <x v="2"/>
    <n v="24"/>
    <n v="93.64"/>
    <x v="2"/>
    <n v="2"/>
    <n v="3"/>
    <x v="1"/>
    <d v="2024-04-04T00:00:00"/>
  </r>
  <r>
    <s v="CUST0978"/>
    <s v="Male"/>
    <n v="55"/>
    <x v="3"/>
    <x v="0"/>
    <x v="0"/>
    <n v="4"/>
    <n v="42.78"/>
    <x v="3"/>
    <n v="3"/>
    <n v="1"/>
    <x v="1"/>
    <d v="2023-10-20T00:00:00"/>
  </r>
  <r>
    <s v="CUST0979"/>
    <s v="Male"/>
    <n v="38"/>
    <x v="2"/>
    <x v="1"/>
    <x v="0"/>
    <n v="14"/>
    <n v="43.5"/>
    <x v="3"/>
    <n v="6"/>
    <n v="4"/>
    <x v="1"/>
    <d v="2021-05-07T00:00:00"/>
  </r>
  <r>
    <s v="CUST0980"/>
    <s v="Male"/>
    <n v="25"/>
    <x v="1"/>
    <x v="1"/>
    <x v="0"/>
    <n v="57"/>
    <n v="41.45"/>
    <x v="0"/>
    <n v="2"/>
    <n v="3"/>
    <x v="1"/>
    <d v="2023-07-10T00:00:00"/>
  </r>
  <r>
    <s v="CUST0981"/>
    <s v="Male"/>
    <n v="26"/>
    <x v="2"/>
    <x v="0"/>
    <x v="1"/>
    <n v="63"/>
    <n v="61.56"/>
    <x v="2"/>
    <n v="3"/>
    <n v="2"/>
    <x v="1"/>
    <d v="2023-06-08T00:00:00"/>
  </r>
  <r>
    <s v="CUST0982"/>
    <s v="Female"/>
    <n v="23"/>
    <x v="1"/>
    <x v="1"/>
    <x v="2"/>
    <n v="13"/>
    <n v="88.05"/>
    <x v="3"/>
    <n v="0"/>
    <n v="3"/>
    <x v="1"/>
    <d v="2024-03-09T00:00:00"/>
  </r>
  <r>
    <s v="CUST0983"/>
    <s v="Female"/>
    <n v="39"/>
    <x v="2"/>
    <x v="1"/>
    <x v="2"/>
    <n v="68"/>
    <n v="92.44"/>
    <x v="3"/>
    <n v="7"/>
    <n v="5"/>
    <x v="1"/>
    <d v="2024-06-20T00:00:00"/>
  </r>
  <r>
    <s v="CUST0984"/>
    <s v="Female"/>
    <n v="69"/>
    <x v="1"/>
    <x v="2"/>
    <x v="1"/>
    <n v="49"/>
    <n v="68.11"/>
    <x v="0"/>
    <n v="2"/>
    <n v="5"/>
    <x v="1"/>
    <d v="2021-08-30T00:00:00"/>
  </r>
  <r>
    <s v="CUST0985"/>
    <s v="Male"/>
    <n v="32"/>
    <x v="1"/>
    <x v="1"/>
    <x v="2"/>
    <n v="43"/>
    <n v="85.34"/>
    <x v="2"/>
    <n v="4"/>
    <n v="4"/>
    <x v="1"/>
    <d v="2021-05-20T00:00:00"/>
  </r>
  <r>
    <s v="CUST0986"/>
    <s v="Female"/>
    <n v="36"/>
    <x v="1"/>
    <x v="1"/>
    <x v="2"/>
    <n v="31"/>
    <n v="97.8"/>
    <x v="2"/>
    <n v="6"/>
    <n v="5"/>
    <x v="0"/>
    <d v="2024-11-29T00:00:00"/>
  </r>
  <r>
    <s v="CUST0987"/>
    <s v="Female"/>
    <n v="55"/>
    <x v="3"/>
    <x v="2"/>
    <x v="2"/>
    <n v="4"/>
    <n v="85.48"/>
    <x v="1"/>
    <n v="4"/>
    <n v="2"/>
    <x v="1"/>
    <d v="2025-04-16T00:00:00"/>
  </r>
  <r>
    <s v="CUST0988"/>
    <s v="Female"/>
    <n v="26"/>
    <x v="2"/>
    <x v="1"/>
    <x v="2"/>
    <n v="43"/>
    <n v="98.86"/>
    <x v="0"/>
    <n v="3"/>
    <n v="4"/>
    <x v="0"/>
    <d v="2024-02-29T00:00:00"/>
  </r>
  <r>
    <s v="CUST0989"/>
    <s v="Female"/>
    <n v="40"/>
    <x v="1"/>
    <x v="2"/>
    <x v="2"/>
    <n v="11"/>
    <n v="98.31"/>
    <x v="1"/>
    <n v="2"/>
    <n v="3"/>
    <x v="1"/>
    <d v="2021-08-02T00:00:00"/>
  </r>
  <r>
    <s v="CUST0990"/>
    <s v="Female"/>
    <n v="49"/>
    <x v="2"/>
    <x v="1"/>
    <x v="1"/>
    <n v="56"/>
    <n v="62.16"/>
    <x v="3"/>
    <n v="0"/>
    <n v="1"/>
    <x v="0"/>
    <d v="2025-05-21T00:00:00"/>
  </r>
  <r>
    <s v="CUST0991"/>
    <s v="Female"/>
    <n v="52"/>
    <x v="3"/>
    <x v="1"/>
    <x v="2"/>
    <n v="3"/>
    <n v="93.29"/>
    <x v="0"/>
    <n v="6"/>
    <n v="4"/>
    <x v="1"/>
    <d v="2023-05-31T00:00:00"/>
  </r>
  <r>
    <s v="CUST0992"/>
    <s v="Male"/>
    <n v="53"/>
    <x v="2"/>
    <x v="0"/>
    <x v="1"/>
    <n v="16"/>
    <n v="68.459999999999994"/>
    <x v="2"/>
    <n v="5"/>
    <n v="2"/>
    <x v="0"/>
    <d v="2021-04-29T00:00:00"/>
  </r>
  <r>
    <s v="CUST0993"/>
    <s v="Female"/>
    <n v="32"/>
    <x v="1"/>
    <x v="1"/>
    <x v="0"/>
    <n v="30"/>
    <n v="36.200000000000003"/>
    <x v="0"/>
    <n v="0"/>
    <n v="2"/>
    <x v="1"/>
    <d v="2021-06-06T00:00:00"/>
  </r>
  <r>
    <s v="CUST0994"/>
    <s v="Female"/>
    <n v="26"/>
    <x v="3"/>
    <x v="0"/>
    <x v="1"/>
    <n v="6"/>
    <n v="59.71"/>
    <x v="3"/>
    <n v="4"/>
    <n v="2"/>
    <x v="1"/>
    <d v="2023-09-08T00:00:00"/>
  </r>
  <r>
    <s v="CUST0995"/>
    <s v="Female"/>
    <n v="60"/>
    <x v="1"/>
    <x v="0"/>
    <x v="1"/>
    <n v="70"/>
    <n v="58.09"/>
    <x v="2"/>
    <n v="3"/>
    <n v="4"/>
    <x v="1"/>
    <d v="2023-01-22T00:00:00"/>
  </r>
  <r>
    <s v="CUST0996"/>
    <s v="Male"/>
    <n v="59"/>
    <x v="2"/>
    <x v="1"/>
    <x v="1"/>
    <n v="41"/>
    <n v="65.47"/>
    <x v="0"/>
    <n v="0"/>
    <n v="3"/>
    <x v="1"/>
    <d v="2024-12-15T00:00:00"/>
  </r>
  <r>
    <s v="CUST0997"/>
    <s v="Male"/>
    <n v="35"/>
    <x v="1"/>
    <x v="0"/>
    <x v="0"/>
    <n v="67"/>
    <n v="33.46"/>
    <x v="3"/>
    <n v="1"/>
    <n v="3"/>
    <x v="1"/>
    <d v="2025-06-02T00:00:00"/>
  </r>
  <r>
    <s v="CUST0998"/>
    <s v="Female"/>
    <n v="20"/>
    <x v="2"/>
    <x v="1"/>
    <x v="1"/>
    <n v="59"/>
    <n v="69.3"/>
    <x v="0"/>
    <n v="7"/>
    <n v="1"/>
    <x v="1"/>
    <d v="2024-04-19T00:00:00"/>
  </r>
  <r>
    <s v="CUST0999"/>
    <s v="Male"/>
    <n v="37"/>
    <x v="1"/>
    <x v="0"/>
    <x v="1"/>
    <n v="50"/>
    <n v="62.43"/>
    <x v="1"/>
    <n v="6"/>
    <n v="4"/>
    <x v="0"/>
    <d v="2022-02-26T00:00:00"/>
  </r>
  <r>
    <s v="CUST1000"/>
    <s v="Male"/>
    <n v="29"/>
    <x v="3"/>
    <x v="1"/>
    <x v="0"/>
    <n v="40"/>
    <n v="30.47"/>
    <x v="2"/>
    <n v="0"/>
    <n v="5"/>
    <x v="1"/>
    <d v="2022-11-2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5FE08-45EB-47D1-8860-C2E10E099BDF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scription Plan">
  <location ref="B55:C59" firstHeaderRow="1" firstDataRow="1" firstDataCol="1"/>
  <pivotFields count="13">
    <pivotField showAll="0"/>
    <pivotField showAll="0"/>
    <pivotField numFmtI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numFmtId="166" showAll="0"/>
    <pivotField showAll="0"/>
    <pivotField numFmtId="1" showAll="0"/>
    <pivotField dataField="1" numFmtId="1" showAll="0"/>
    <pivotField showAll="0"/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tisfaction_Score" fld="10" subtotal="average" baseField="5" baseItem="0" numFmtId="2"/>
  </dataFields>
  <formats count="1">
    <format dxfId="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B86D4-95BB-4C26-BC01-7D29E9DDF4A1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ayment Method">
  <location ref="B46:E52" firstHeaderRow="1" firstDataRow="2" firstDataCol="1"/>
  <pivotFields count="13">
    <pivotField dataField="1" showAll="0"/>
    <pivotField showAll="0"/>
    <pivotField numFmtId="1" showAll="0"/>
    <pivotField showAll="0"/>
    <pivotField showAll="0"/>
    <pivotField showAll="0"/>
    <pivotField numFmtId="1" showAll="0"/>
    <pivotField numFmtId="166" showAll="0"/>
    <pivotField axis="axisRow" showAll="0">
      <items count="5">
        <item x="3"/>
        <item x="0"/>
        <item x="2"/>
        <item x="1"/>
        <item t="default"/>
      </items>
    </pivotField>
    <pivotField numFmtId="1" showAll="0"/>
    <pivotField numFmtId="1" showAll="0"/>
    <pivotField axis="axisCol" showAll="0">
      <items count="3">
        <item x="1"/>
        <item x="0"/>
        <item t="default"/>
      </items>
    </pivotField>
    <pivotField numFmtId="164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A0661-3100-4BF9-9C88-BB411DEE260F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hurn">
  <location ref="B37:C40" firstHeaderRow="1" firstDataRow="1" firstDataCol="1"/>
  <pivotFields count="13">
    <pivotField showAll="0"/>
    <pivotField showAll="0"/>
    <pivotField numFmtId="1" showAll="0"/>
    <pivotField showAll="0"/>
    <pivotField showAll="0"/>
    <pivotField showAll="0"/>
    <pivotField dataField="1" numFmtId="1" showAll="0"/>
    <pivotField numFmtId="166" showAll="0"/>
    <pivotField showAll="0"/>
    <pivotField numFmtId="1" showAll="0"/>
    <pivotField numFmtId="1" showAll="0"/>
    <pivotField axis="axisRow" showAll="0">
      <items count="3">
        <item x="1"/>
        <item x="0"/>
        <item t="default"/>
      </items>
    </pivotField>
    <pivotField numFmtId="164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Tenure_Months" fld="6" subtotal="average" baseField="11" baseItem="0" numFmtId="171"/>
  </dataFields>
  <formats count="1">
    <format dxfId="2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FBCFF-2F19-49F7-9E76-57666F34B807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B28:E34" firstHeaderRow="1" firstDataRow="2" firstDataCol="1"/>
  <pivotFields count="13">
    <pivotField dataField="1" showAll="0"/>
    <pivotField showAll="0"/>
    <pivotField numFmtId="1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numFmtId="166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numFmtId="164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21446-752C-47CB-8D12-0B997044569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ntract Type">
  <location ref="B19:E24" firstHeaderRow="1" firstDataRow="2" firstDataCol="1"/>
  <pivotFields count="13">
    <pivotField dataField="1" showAll="0"/>
    <pivotField showAll="0"/>
    <pivotField numFmtI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" showAll="0"/>
    <pivotField numFmtId="166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8A802-1781-4673-9C92-13FE8DE03A2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ubscription Plan">
  <location ref="B10:E15" firstHeaderRow="1" firstDataRow="2" firstDataCol="1"/>
  <pivotFields count="13">
    <pivotField dataField="1" showAll="0"/>
    <pivotField showAll="0"/>
    <pivotField numFmtI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numFmtId="166" showAll="0"/>
    <pivotField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5F80F-67DE-46A0-AD81-2DB9674BAEC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ubscription Plan">
  <location ref="B2:C6" firstHeaderRow="1" firstDataRow="1" firstDataCol="1"/>
  <pivotFields count="13">
    <pivotField dataField="1" showAll="0"/>
    <pivotField showAll="0"/>
    <pivotField numFmtI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numFmtId="166" showAll="0"/>
    <pivotField showAll="0"/>
    <pivotField numFmtId="1" showAll="0"/>
    <pivotField numFmtId="1" showAll="0"/>
    <pivotField showAll="0"/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Data" displayName="Raw_Data" ref="A1:M1001">
  <autoFilter ref="A1:M1001" xr:uid="{00000000-0009-0000-0100-000001000000}"/>
  <tableColumns count="13">
    <tableColumn id="1" xr3:uid="{00000000-0010-0000-0000-000001000000}" name="Customer_ID"/>
    <tableColumn id="2" xr3:uid="{00000000-0010-0000-0000-000002000000}" name="Gender"/>
    <tableColumn id="3" xr3:uid="{00000000-0010-0000-0000-000003000000}" name="Age" dataDxfId="6"/>
    <tableColumn id="4" xr3:uid="{00000000-0010-0000-0000-000004000000}" name="Region"/>
    <tableColumn id="5" xr3:uid="{00000000-0010-0000-0000-000005000000}" name="Contract_Type"/>
    <tableColumn id="6" xr3:uid="{00000000-0010-0000-0000-000006000000}" name="Subscription_Plan"/>
    <tableColumn id="7" xr3:uid="{00000000-0010-0000-0000-000007000000}" name="Tenure_Months" dataDxfId="5"/>
    <tableColumn id="8" xr3:uid="{00000000-0010-0000-0000-000008000000}" name="Monthly_Charges" dataDxfId="7"/>
    <tableColumn id="9" xr3:uid="{00000000-0010-0000-0000-000009000000}" name="Payment_Method"/>
    <tableColumn id="10" xr3:uid="{00000000-0010-0000-0000-00000A000000}" name="Support_Tickets" dataDxfId="4"/>
    <tableColumn id="11" xr3:uid="{00000000-0010-0000-0000-00000B000000}" name="Satisfaction_Score" dataDxfId="3"/>
    <tableColumn id="12" xr3:uid="{00000000-0010-0000-0000-00000C000000}" name="Churn"/>
    <tableColumn id="13" xr3:uid="{00000000-0010-0000-0000-00000D000000}" name="Joi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zoomScale="80" zoomScaleNormal="80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5" customWidth="1"/>
    <col min="2" max="2" width="12" customWidth="1"/>
    <col min="3" max="3" width="8" style="6" customWidth="1"/>
    <col min="4" max="4" width="14" customWidth="1"/>
    <col min="5" max="5" width="16" customWidth="1"/>
    <col min="6" max="6" width="18" customWidth="1"/>
    <col min="7" max="7" width="16" style="6" customWidth="1"/>
    <col min="8" max="8" width="18" style="4" customWidth="1"/>
    <col min="9" max="9" width="20" customWidth="1"/>
    <col min="10" max="10" width="17" style="6" customWidth="1"/>
    <col min="11" max="11" width="19" style="6" customWidth="1"/>
    <col min="12" max="12" width="10" customWidth="1"/>
    <col min="13" max="13" width="14" customWidth="1"/>
  </cols>
  <sheetData>
    <row r="1" spans="1:13" x14ac:dyDescent="0.2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3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6">
        <v>19</v>
      </c>
      <c r="D2" t="s">
        <v>15</v>
      </c>
      <c r="E2" t="s">
        <v>16</v>
      </c>
      <c r="F2" t="s">
        <v>17</v>
      </c>
      <c r="G2" s="6">
        <v>18</v>
      </c>
      <c r="H2" s="4">
        <v>41.05</v>
      </c>
      <c r="I2" t="s">
        <v>18</v>
      </c>
      <c r="J2" s="6">
        <v>6</v>
      </c>
      <c r="K2" s="6">
        <v>1</v>
      </c>
      <c r="L2" t="s">
        <v>19</v>
      </c>
      <c r="M2" s="2">
        <v>44644</v>
      </c>
    </row>
    <row r="3" spans="1:13" x14ac:dyDescent="0.25">
      <c r="A3" t="s">
        <v>20</v>
      </c>
      <c r="B3" t="s">
        <v>14</v>
      </c>
      <c r="C3" s="6">
        <v>50</v>
      </c>
      <c r="D3" t="s">
        <v>21</v>
      </c>
      <c r="E3" t="s">
        <v>22</v>
      </c>
      <c r="F3" t="s">
        <v>17</v>
      </c>
      <c r="G3" s="6">
        <v>70</v>
      </c>
      <c r="H3" s="4">
        <v>36.29</v>
      </c>
      <c r="I3" t="s">
        <v>23</v>
      </c>
      <c r="J3" s="6">
        <v>4</v>
      </c>
      <c r="K3" s="6">
        <v>1</v>
      </c>
      <c r="L3" t="s">
        <v>24</v>
      </c>
      <c r="M3" s="2">
        <v>44523</v>
      </c>
    </row>
    <row r="4" spans="1:13" x14ac:dyDescent="0.25">
      <c r="A4" t="s">
        <v>25</v>
      </c>
      <c r="B4" t="s">
        <v>26</v>
      </c>
      <c r="C4" s="6">
        <v>39</v>
      </c>
      <c r="D4" t="s">
        <v>15</v>
      </c>
      <c r="E4" t="s">
        <v>16</v>
      </c>
      <c r="F4" t="s">
        <v>17</v>
      </c>
      <c r="G4" s="6">
        <v>44</v>
      </c>
      <c r="H4" s="4">
        <v>31.53</v>
      </c>
      <c r="I4" t="s">
        <v>23</v>
      </c>
      <c r="J4" s="6">
        <v>1</v>
      </c>
      <c r="K4" s="6">
        <v>3</v>
      </c>
      <c r="L4" t="s">
        <v>24</v>
      </c>
      <c r="M4" s="2">
        <v>45433</v>
      </c>
    </row>
    <row r="5" spans="1:13" x14ac:dyDescent="0.25">
      <c r="A5" t="s">
        <v>27</v>
      </c>
      <c r="B5" t="s">
        <v>26</v>
      </c>
      <c r="C5" s="6">
        <v>69</v>
      </c>
      <c r="D5" t="s">
        <v>21</v>
      </c>
      <c r="E5" t="s">
        <v>22</v>
      </c>
      <c r="F5" t="s">
        <v>28</v>
      </c>
      <c r="G5" s="6">
        <v>69</v>
      </c>
      <c r="H5" s="4">
        <v>56.87</v>
      </c>
      <c r="I5" t="s">
        <v>23</v>
      </c>
      <c r="J5" s="6">
        <v>1</v>
      </c>
      <c r="K5" s="6">
        <v>5</v>
      </c>
      <c r="L5" t="s">
        <v>24</v>
      </c>
      <c r="M5" s="2">
        <v>45484</v>
      </c>
    </row>
    <row r="6" spans="1:13" x14ac:dyDescent="0.25">
      <c r="A6" t="s">
        <v>29</v>
      </c>
      <c r="B6" t="s">
        <v>26</v>
      </c>
      <c r="C6" s="6">
        <v>54</v>
      </c>
      <c r="D6" t="s">
        <v>30</v>
      </c>
      <c r="E6" t="s">
        <v>22</v>
      </c>
      <c r="F6" t="s">
        <v>17</v>
      </c>
      <c r="G6" s="6">
        <v>6</v>
      </c>
      <c r="H6" s="4">
        <v>39.92</v>
      </c>
      <c r="I6" t="s">
        <v>31</v>
      </c>
      <c r="J6" s="6">
        <v>1</v>
      </c>
      <c r="K6" s="6">
        <v>2</v>
      </c>
      <c r="L6" t="s">
        <v>24</v>
      </c>
      <c r="M6" s="2">
        <v>44975</v>
      </c>
    </row>
    <row r="7" spans="1:13" x14ac:dyDescent="0.25">
      <c r="A7" t="s">
        <v>32</v>
      </c>
      <c r="B7" t="s">
        <v>26</v>
      </c>
      <c r="C7" s="6">
        <v>47</v>
      </c>
      <c r="D7" t="s">
        <v>15</v>
      </c>
      <c r="E7" t="s">
        <v>16</v>
      </c>
      <c r="F7" t="s">
        <v>28</v>
      </c>
      <c r="G7" s="6">
        <v>46</v>
      </c>
      <c r="H7" s="4">
        <v>58.14</v>
      </c>
      <c r="I7" t="s">
        <v>31</v>
      </c>
      <c r="J7" s="6">
        <v>1</v>
      </c>
      <c r="K7" s="6">
        <v>5</v>
      </c>
      <c r="L7" t="s">
        <v>24</v>
      </c>
      <c r="M7" s="2">
        <v>45290</v>
      </c>
    </row>
    <row r="8" spans="1:13" x14ac:dyDescent="0.25">
      <c r="A8" t="s">
        <v>33</v>
      </c>
      <c r="B8" t="s">
        <v>14</v>
      </c>
      <c r="C8" s="6">
        <v>28</v>
      </c>
      <c r="D8" t="s">
        <v>34</v>
      </c>
      <c r="E8" t="s">
        <v>35</v>
      </c>
      <c r="F8" t="s">
        <v>28</v>
      </c>
      <c r="G8" s="6">
        <v>72</v>
      </c>
      <c r="H8" s="4">
        <v>58.29</v>
      </c>
      <c r="I8" t="s">
        <v>31</v>
      </c>
      <c r="J8" s="6">
        <v>0</v>
      </c>
      <c r="K8" s="6">
        <v>2</v>
      </c>
      <c r="L8" t="s">
        <v>24</v>
      </c>
      <c r="M8" s="2">
        <v>45845</v>
      </c>
    </row>
    <row r="9" spans="1:13" x14ac:dyDescent="0.25">
      <c r="A9" t="s">
        <v>36</v>
      </c>
      <c r="B9" t="s">
        <v>26</v>
      </c>
      <c r="C9" s="6">
        <v>43</v>
      </c>
      <c r="D9" t="s">
        <v>15</v>
      </c>
      <c r="E9" t="s">
        <v>16</v>
      </c>
      <c r="F9" t="s">
        <v>17</v>
      </c>
      <c r="G9" s="6">
        <v>41</v>
      </c>
      <c r="H9" s="4">
        <v>33.19</v>
      </c>
      <c r="I9" t="s">
        <v>23</v>
      </c>
      <c r="J9" s="6">
        <v>6</v>
      </c>
      <c r="K9" s="6">
        <v>4</v>
      </c>
      <c r="L9" t="s">
        <v>19</v>
      </c>
      <c r="M9" s="2">
        <v>44482</v>
      </c>
    </row>
    <row r="10" spans="1:13" x14ac:dyDescent="0.25">
      <c r="A10" t="s">
        <v>37</v>
      </c>
      <c r="B10" t="s">
        <v>14</v>
      </c>
      <c r="C10" s="6">
        <v>65</v>
      </c>
      <c r="D10" t="s">
        <v>15</v>
      </c>
      <c r="E10" t="s">
        <v>22</v>
      </c>
      <c r="F10" t="s">
        <v>38</v>
      </c>
      <c r="G10" s="6">
        <v>55</v>
      </c>
      <c r="H10" s="4">
        <v>98.47</v>
      </c>
      <c r="I10" t="s">
        <v>23</v>
      </c>
      <c r="J10" s="6">
        <v>5</v>
      </c>
      <c r="K10" s="6">
        <v>2</v>
      </c>
      <c r="L10" t="s">
        <v>24</v>
      </c>
      <c r="M10" s="2">
        <v>44480</v>
      </c>
    </row>
    <row r="11" spans="1:13" x14ac:dyDescent="0.25">
      <c r="A11" t="s">
        <v>39</v>
      </c>
      <c r="B11" t="s">
        <v>26</v>
      </c>
      <c r="C11" s="6">
        <v>23</v>
      </c>
      <c r="D11" t="s">
        <v>21</v>
      </c>
      <c r="E11" t="s">
        <v>16</v>
      </c>
      <c r="F11" t="s">
        <v>17</v>
      </c>
      <c r="G11" s="6">
        <v>21</v>
      </c>
      <c r="H11" s="4">
        <v>41.88</v>
      </c>
      <c r="I11" t="s">
        <v>23</v>
      </c>
      <c r="J11" s="6">
        <v>1</v>
      </c>
      <c r="K11" s="6">
        <v>4</v>
      </c>
      <c r="L11" t="s">
        <v>24</v>
      </c>
      <c r="M11" s="2">
        <v>45155</v>
      </c>
    </row>
    <row r="12" spans="1:13" x14ac:dyDescent="0.25">
      <c r="A12" t="s">
        <v>40</v>
      </c>
      <c r="B12" t="s">
        <v>26</v>
      </c>
      <c r="C12" s="6">
        <v>53</v>
      </c>
      <c r="D12" t="s">
        <v>21</v>
      </c>
      <c r="E12" t="s">
        <v>22</v>
      </c>
      <c r="F12" t="s">
        <v>38</v>
      </c>
      <c r="G12" s="6">
        <v>15</v>
      </c>
      <c r="H12" s="4">
        <v>95.23</v>
      </c>
      <c r="I12" t="s">
        <v>31</v>
      </c>
      <c r="J12" s="6">
        <v>5</v>
      </c>
      <c r="K12" s="6">
        <v>1</v>
      </c>
      <c r="L12" t="s">
        <v>24</v>
      </c>
      <c r="M12" s="2">
        <v>44520</v>
      </c>
    </row>
    <row r="13" spans="1:13" x14ac:dyDescent="0.25">
      <c r="A13" t="s">
        <v>41</v>
      </c>
      <c r="B13" t="s">
        <v>26</v>
      </c>
      <c r="C13" s="6">
        <v>18</v>
      </c>
      <c r="D13" t="s">
        <v>15</v>
      </c>
      <c r="E13" t="s">
        <v>22</v>
      </c>
      <c r="F13" t="s">
        <v>17</v>
      </c>
      <c r="G13" s="6">
        <v>65</v>
      </c>
      <c r="H13" s="4">
        <v>43.69</v>
      </c>
      <c r="I13" t="s">
        <v>31</v>
      </c>
      <c r="J13" s="6">
        <v>8</v>
      </c>
      <c r="K13" s="6">
        <v>5</v>
      </c>
      <c r="L13" t="s">
        <v>24</v>
      </c>
      <c r="M13" s="2">
        <v>44962</v>
      </c>
    </row>
    <row r="14" spans="1:13" x14ac:dyDescent="0.25">
      <c r="A14" t="s">
        <v>42</v>
      </c>
      <c r="B14" t="s">
        <v>14</v>
      </c>
      <c r="C14" s="6">
        <v>52</v>
      </c>
      <c r="D14" t="s">
        <v>21</v>
      </c>
      <c r="E14" t="s">
        <v>22</v>
      </c>
      <c r="F14" t="s">
        <v>28</v>
      </c>
      <c r="G14" s="6">
        <v>63</v>
      </c>
      <c r="H14" s="4">
        <v>55.29</v>
      </c>
      <c r="I14" t="s">
        <v>31</v>
      </c>
      <c r="J14" s="6">
        <v>4</v>
      </c>
      <c r="K14" s="6">
        <v>2</v>
      </c>
      <c r="L14" t="s">
        <v>19</v>
      </c>
      <c r="M14" s="2">
        <v>45995</v>
      </c>
    </row>
    <row r="15" spans="1:13" x14ac:dyDescent="0.25">
      <c r="A15" t="s">
        <v>43</v>
      </c>
      <c r="B15" t="s">
        <v>14</v>
      </c>
      <c r="C15" s="6">
        <v>23</v>
      </c>
      <c r="D15" t="s">
        <v>34</v>
      </c>
      <c r="E15" t="s">
        <v>16</v>
      </c>
      <c r="F15" t="s">
        <v>38</v>
      </c>
      <c r="G15" s="6">
        <v>17</v>
      </c>
      <c r="H15" s="4">
        <v>86.93</v>
      </c>
      <c r="I15" t="s">
        <v>23</v>
      </c>
      <c r="J15" s="6">
        <v>8</v>
      </c>
      <c r="K15" s="6">
        <v>2</v>
      </c>
      <c r="L15" t="s">
        <v>19</v>
      </c>
      <c r="M15" s="2">
        <v>45983</v>
      </c>
    </row>
    <row r="16" spans="1:13" x14ac:dyDescent="0.25">
      <c r="A16" t="s">
        <v>44</v>
      </c>
      <c r="B16" t="s">
        <v>26</v>
      </c>
      <c r="C16" s="6">
        <v>31</v>
      </c>
      <c r="D16" t="s">
        <v>30</v>
      </c>
      <c r="E16" t="s">
        <v>22</v>
      </c>
      <c r="F16" t="s">
        <v>28</v>
      </c>
      <c r="G16" s="6">
        <v>52</v>
      </c>
      <c r="H16" s="4">
        <v>69.930000000000007</v>
      </c>
      <c r="I16" t="s">
        <v>31</v>
      </c>
      <c r="J16" s="6">
        <v>7</v>
      </c>
      <c r="K16" s="6">
        <v>5</v>
      </c>
      <c r="L16" t="s">
        <v>24</v>
      </c>
      <c r="M16" s="2">
        <v>44704</v>
      </c>
    </row>
    <row r="17" spans="1:13" x14ac:dyDescent="0.25">
      <c r="A17" t="s">
        <v>45</v>
      </c>
      <c r="B17" t="s">
        <v>14</v>
      </c>
      <c r="C17" s="6">
        <v>22</v>
      </c>
      <c r="D17" t="s">
        <v>15</v>
      </c>
      <c r="E17" t="s">
        <v>16</v>
      </c>
      <c r="F17" t="s">
        <v>38</v>
      </c>
      <c r="G17" s="6">
        <v>71</v>
      </c>
      <c r="H17" s="4">
        <v>88.45</v>
      </c>
      <c r="I17" t="s">
        <v>46</v>
      </c>
      <c r="J17" s="6">
        <v>0</v>
      </c>
      <c r="K17" s="6">
        <v>1</v>
      </c>
      <c r="L17" t="s">
        <v>24</v>
      </c>
      <c r="M17" s="2">
        <v>44317</v>
      </c>
    </row>
    <row r="18" spans="1:13" x14ac:dyDescent="0.25">
      <c r="A18" t="s">
        <v>47</v>
      </c>
      <c r="B18" t="s">
        <v>14</v>
      </c>
      <c r="C18" s="6">
        <v>22</v>
      </c>
      <c r="D18" t="s">
        <v>21</v>
      </c>
      <c r="E18" t="s">
        <v>35</v>
      </c>
      <c r="F18" t="s">
        <v>17</v>
      </c>
      <c r="G18" s="6">
        <v>66</v>
      </c>
      <c r="H18" s="4">
        <v>33.57</v>
      </c>
      <c r="I18" t="s">
        <v>23</v>
      </c>
      <c r="J18" s="6">
        <v>3</v>
      </c>
      <c r="K18" s="6">
        <v>5</v>
      </c>
      <c r="L18" t="s">
        <v>24</v>
      </c>
      <c r="M18" s="2">
        <v>45366</v>
      </c>
    </row>
    <row r="19" spans="1:13" x14ac:dyDescent="0.25">
      <c r="A19" t="s">
        <v>48</v>
      </c>
      <c r="B19" t="s">
        <v>26</v>
      </c>
      <c r="C19" s="6">
        <v>33</v>
      </c>
      <c r="D19" t="s">
        <v>34</v>
      </c>
      <c r="E19" t="s">
        <v>35</v>
      </c>
      <c r="F19" t="s">
        <v>17</v>
      </c>
      <c r="G19" s="6">
        <v>13</v>
      </c>
      <c r="H19" s="4">
        <v>31.45</v>
      </c>
      <c r="I19" t="s">
        <v>23</v>
      </c>
      <c r="J19" s="6">
        <v>5</v>
      </c>
      <c r="K19" s="6">
        <v>4</v>
      </c>
      <c r="L19" t="s">
        <v>24</v>
      </c>
      <c r="M19" s="2">
        <v>45966</v>
      </c>
    </row>
    <row r="20" spans="1:13" x14ac:dyDescent="0.25">
      <c r="A20" t="s">
        <v>49</v>
      </c>
      <c r="B20" t="s">
        <v>14</v>
      </c>
      <c r="C20" s="6">
        <v>61</v>
      </c>
      <c r="D20" t="s">
        <v>21</v>
      </c>
      <c r="E20" t="s">
        <v>16</v>
      </c>
      <c r="F20" t="s">
        <v>28</v>
      </c>
      <c r="G20" s="6">
        <v>44</v>
      </c>
      <c r="H20" s="4">
        <v>67.010000000000005</v>
      </c>
      <c r="I20" t="s">
        <v>18</v>
      </c>
      <c r="J20" s="6">
        <v>3</v>
      </c>
      <c r="K20" s="6">
        <v>2</v>
      </c>
      <c r="L20" t="s">
        <v>19</v>
      </c>
      <c r="M20" s="2">
        <v>45115</v>
      </c>
    </row>
    <row r="21" spans="1:13" x14ac:dyDescent="0.25">
      <c r="A21" t="s">
        <v>50</v>
      </c>
      <c r="B21" t="s">
        <v>14</v>
      </c>
      <c r="C21" s="6">
        <v>45</v>
      </c>
      <c r="D21" t="s">
        <v>30</v>
      </c>
      <c r="E21" t="s">
        <v>35</v>
      </c>
      <c r="F21" t="s">
        <v>28</v>
      </c>
      <c r="G21" s="6">
        <v>32</v>
      </c>
      <c r="H21" s="4">
        <v>68.12</v>
      </c>
      <c r="I21" t="s">
        <v>18</v>
      </c>
      <c r="J21" s="6">
        <v>7</v>
      </c>
      <c r="K21" s="6">
        <v>5</v>
      </c>
      <c r="L21" t="s">
        <v>19</v>
      </c>
      <c r="M21" s="2">
        <v>45532</v>
      </c>
    </row>
    <row r="22" spans="1:13" x14ac:dyDescent="0.25">
      <c r="A22" t="s">
        <v>51</v>
      </c>
      <c r="B22" t="s">
        <v>14</v>
      </c>
      <c r="C22" s="6">
        <v>23</v>
      </c>
      <c r="D22" t="s">
        <v>30</v>
      </c>
      <c r="E22" t="s">
        <v>16</v>
      </c>
      <c r="F22" t="s">
        <v>28</v>
      </c>
      <c r="G22" s="6">
        <v>63</v>
      </c>
      <c r="H22" s="4">
        <v>62.22</v>
      </c>
      <c r="I22" t="s">
        <v>23</v>
      </c>
      <c r="J22" s="6">
        <v>0</v>
      </c>
      <c r="K22" s="6">
        <v>2</v>
      </c>
      <c r="L22" t="s">
        <v>24</v>
      </c>
      <c r="M22" s="2">
        <v>44996</v>
      </c>
    </row>
    <row r="23" spans="1:13" x14ac:dyDescent="0.25">
      <c r="A23" t="s">
        <v>52</v>
      </c>
      <c r="B23" t="s">
        <v>26</v>
      </c>
      <c r="C23" s="6">
        <v>68</v>
      </c>
      <c r="D23" t="s">
        <v>34</v>
      </c>
      <c r="E23" t="s">
        <v>35</v>
      </c>
      <c r="F23" t="s">
        <v>28</v>
      </c>
      <c r="G23" s="6">
        <v>72</v>
      </c>
      <c r="H23" s="4">
        <v>64.930000000000007</v>
      </c>
      <c r="I23" t="s">
        <v>23</v>
      </c>
      <c r="J23" s="6">
        <v>2</v>
      </c>
      <c r="K23" s="6">
        <v>2</v>
      </c>
      <c r="L23" t="s">
        <v>24</v>
      </c>
      <c r="M23" s="2">
        <v>44316</v>
      </c>
    </row>
    <row r="24" spans="1:13" x14ac:dyDescent="0.25">
      <c r="A24" t="s">
        <v>53</v>
      </c>
      <c r="B24" t="s">
        <v>14</v>
      </c>
      <c r="C24" s="6">
        <v>65</v>
      </c>
      <c r="D24" t="s">
        <v>15</v>
      </c>
      <c r="E24" t="s">
        <v>16</v>
      </c>
      <c r="F24" t="s">
        <v>17</v>
      </c>
      <c r="G24" s="6">
        <v>62</v>
      </c>
      <c r="H24" s="4">
        <v>37.54</v>
      </c>
      <c r="I24" t="s">
        <v>46</v>
      </c>
      <c r="J24" s="6">
        <v>0</v>
      </c>
      <c r="K24" s="6">
        <v>5</v>
      </c>
      <c r="L24" t="s">
        <v>19</v>
      </c>
      <c r="M24" s="2">
        <v>44577</v>
      </c>
    </row>
    <row r="25" spans="1:13" x14ac:dyDescent="0.25">
      <c r="A25" t="s">
        <v>54</v>
      </c>
      <c r="B25" t="s">
        <v>14</v>
      </c>
      <c r="C25" s="6">
        <v>56</v>
      </c>
      <c r="D25" t="s">
        <v>21</v>
      </c>
      <c r="E25" t="s">
        <v>22</v>
      </c>
      <c r="F25" t="s">
        <v>17</v>
      </c>
      <c r="G25" s="6">
        <v>52</v>
      </c>
      <c r="H25" s="4">
        <v>31.8</v>
      </c>
      <c r="I25" t="s">
        <v>46</v>
      </c>
      <c r="J25" s="6">
        <v>0</v>
      </c>
      <c r="K25" s="6">
        <v>5</v>
      </c>
      <c r="L25" t="s">
        <v>24</v>
      </c>
      <c r="M25" s="2">
        <v>45543</v>
      </c>
    </row>
    <row r="26" spans="1:13" x14ac:dyDescent="0.25">
      <c r="A26" t="s">
        <v>55</v>
      </c>
      <c r="B26" t="s">
        <v>26</v>
      </c>
      <c r="C26" s="6">
        <v>34</v>
      </c>
      <c r="D26" t="s">
        <v>30</v>
      </c>
      <c r="E26" t="s">
        <v>22</v>
      </c>
      <c r="F26" t="s">
        <v>38</v>
      </c>
      <c r="G26" s="6">
        <v>41</v>
      </c>
      <c r="H26" s="4">
        <v>88.58</v>
      </c>
      <c r="I26" t="s">
        <v>23</v>
      </c>
      <c r="J26" s="6">
        <v>2</v>
      </c>
      <c r="K26" s="6">
        <v>3</v>
      </c>
      <c r="L26" t="s">
        <v>24</v>
      </c>
      <c r="M26" s="2">
        <v>45736</v>
      </c>
    </row>
    <row r="27" spans="1:13" x14ac:dyDescent="0.25">
      <c r="A27" t="s">
        <v>56</v>
      </c>
      <c r="B27" t="s">
        <v>14</v>
      </c>
      <c r="C27" s="6">
        <v>18</v>
      </c>
      <c r="D27" t="s">
        <v>34</v>
      </c>
      <c r="E27" t="s">
        <v>22</v>
      </c>
      <c r="F27" t="s">
        <v>38</v>
      </c>
      <c r="G27" s="6">
        <v>13</v>
      </c>
      <c r="H27" s="4">
        <v>86.1</v>
      </c>
      <c r="I27" t="s">
        <v>46</v>
      </c>
      <c r="J27" s="6">
        <v>8</v>
      </c>
      <c r="K27" s="6">
        <v>3</v>
      </c>
      <c r="L27" t="s">
        <v>19</v>
      </c>
      <c r="M27" s="2">
        <v>44911</v>
      </c>
    </row>
    <row r="28" spans="1:13" x14ac:dyDescent="0.25">
      <c r="A28" t="s">
        <v>57</v>
      </c>
      <c r="B28" t="s">
        <v>14</v>
      </c>
      <c r="C28" s="6">
        <v>33</v>
      </c>
      <c r="D28" t="s">
        <v>15</v>
      </c>
      <c r="E28" t="s">
        <v>35</v>
      </c>
      <c r="F28" t="s">
        <v>17</v>
      </c>
      <c r="G28" s="6">
        <v>57</v>
      </c>
      <c r="H28" s="4">
        <v>42.51</v>
      </c>
      <c r="I28" t="s">
        <v>31</v>
      </c>
      <c r="J28" s="6">
        <v>8</v>
      </c>
      <c r="K28" s="6">
        <v>1</v>
      </c>
      <c r="L28" t="s">
        <v>24</v>
      </c>
      <c r="M28" s="2">
        <v>45332</v>
      </c>
    </row>
    <row r="29" spans="1:13" x14ac:dyDescent="0.25">
      <c r="A29" t="s">
        <v>58</v>
      </c>
      <c r="B29" t="s">
        <v>26</v>
      </c>
      <c r="C29" s="6">
        <v>60</v>
      </c>
      <c r="D29" t="s">
        <v>21</v>
      </c>
      <c r="E29" t="s">
        <v>16</v>
      </c>
      <c r="F29" t="s">
        <v>28</v>
      </c>
      <c r="G29" s="6">
        <v>15</v>
      </c>
      <c r="H29" s="4">
        <v>68.349999999999994</v>
      </c>
      <c r="I29" t="s">
        <v>46</v>
      </c>
      <c r="J29" s="6">
        <v>4</v>
      </c>
      <c r="K29" s="6">
        <v>3</v>
      </c>
      <c r="L29" t="s">
        <v>24</v>
      </c>
      <c r="M29" s="2">
        <v>45666</v>
      </c>
    </row>
    <row r="30" spans="1:13" x14ac:dyDescent="0.25">
      <c r="A30" t="s">
        <v>59</v>
      </c>
      <c r="B30" t="s">
        <v>26</v>
      </c>
      <c r="C30" s="6">
        <v>31</v>
      </c>
      <c r="D30" t="s">
        <v>15</v>
      </c>
      <c r="E30" t="s">
        <v>22</v>
      </c>
      <c r="F30" t="s">
        <v>28</v>
      </c>
      <c r="G30" s="6">
        <v>33</v>
      </c>
      <c r="H30" s="4">
        <v>68.58</v>
      </c>
      <c r="I30" t="s">
        <v>18</v>
      </c>
      <c r="J30" s="6">
        <v>1</v>
      </c>
      <c r="K30" s="6">
        <v>4</v>
      </c>
      <c r="L30" t="s">
        <v>24</v>
      </c>
      <c r="M30" s="2">
        <v>44287</v>
      </c>
    </row>
    <row r="31" spans="1:13" x14ac:dyDescent="0.25">
      <c r="A31" t="s">
        <v>60</v>
      </c>
      <c r="B31" t="s">
        <v>14</v>
      </c>
      <c r="C31" s="6">
        <v>39</v>
      </c>
      <c r="D31" t="s">
        <v>30</v>
      </c>
      <c r="E31" t="s">
        <v>22</v>
      </c>
      <c r="F31" t="s">
        <v>28</v>
      </c>
      <c r="G31" s="6">
        <v>21</v>
      </c>
      <c r="H31" s="4">
        <v>66.12</v>
      </c>
      <c r="I31" t="s">
        <v>23</v>
      </c>
      <c r="J31" s="6">
        <v>8</v>
      </c>
      <c r="K31" s="6">
        <v>1</v>
      </c>
      <c r="L31" t="s">
        <v>19</v>
      </c>
      <c r="M31" s="2">
        <v>45612</v>
      </c>
    </row>
    <row r="32" spans="1:13" x14ac:dyDescent="0.25">
      <c r="A32" t="s">
        <v>61</v>
      </c>
      <c r="B32" t="s">
        <v>14</v>
      </c>
      <c r="C32" s="6">
        <v>52</v>
      </c>
      <c r="D32" t="s">
        <v>21</v>
      </c>
      <c r="E32" t="s">
        <v>35</v>
      </c>
      <c r="F32" t="s">
        <v>38</v>
      </c>
      <c r="G32" s="6">
        <v>71</v>
      </c>
      <c r="H32" s="4">
        <v>87.22</v>
      </c>
      <c r="I32" t="s">
        <v>46</v>
      </c>
      <c r="J32" s="6">
        <v>0</v>
      </c>
      <c r="K32" s="6">
        <v>3</v>
      </c>
      <c r="L32" t="s">
        <v>24</v>
      </c>
      <c r="M32" s="2">
        <v>45827</v>
      </c>
    </row>
    <row r="33" spans="1:13" x14ac:dyDescent="0.25">
      <c r="A33" t="s">
        <v>62</v>
      </c>
      <c r="B33" t="s">
        <v>14</v>
      </c>
      <c r="C33" s="6">
        <v>40</v>
      </c>
      <c r="D33" t="s">
        <v>30</v>
      </c>
      <c r="E33" t="s">
        <v>22</v>
      </c>
      <c r="F33" t="s">
        <v>17</v>
      </c>
      <c r="G33" s="6">
        <v>14</v>
      </c>
      <c r="H33" s="4">
        <v>35.31</v>
      </c>
      <c r="I33" t="s">
        <v>23</v>
      </c>
      <c r="J33" s="6">
        <v>2</v>
      </c>
      <c r="K33" s="6">
        <v>2</v>
      </c>
      <c r="L33" t="s">
        <v>24</v>
      </c>
      <c r="M33" s="2">
        <v>45835</v>
      </c>
    </row>
    <row r="34" spans="1:13" x14ac:dyDescent="0.25">
      <c r="A34" t="s">
        <v>63</v>
      </c>
      <c r="B34" t="s">
        <v>14</v>
      </c>
      <c r="C34" s="6">
        <v>44</v>
      </c>
      <c r="D34" t="s">
        <v>21</v>
      </c>
      <c r="E34" t="s">
        <v>16</v>
      </c>
      <c r="F34" t="s">
        <v>38</v>
      </c>
      <c r="G34" s="6">
        <v>43</v>
      </c>
      <c r="H34" s="4">
        <v>96.74</v>
      </c>
      <c r="I34" t="s">
        <v>23</v>
      </c>
      <c r="J34" s="6">
        <v>3</v>
      </c>
      <c r="K34" s="6">
        <v>3</v>
      </c>
      <c r="L34" t="s">
        <v>19</v>
      </c>
      <c r="M34" s="2">
        <v>45633</v>
      </c>
    </row>
    <row r="35" spans="1:13" x14ac:dyDescent="0.25">
      <c r="A35" t="s">
        <v>64</v>
      </c>
      <c r="B35" t="s">
        <v>14</v>
      </c>
      <c r="C35" s="6">
        <v>42</v>
      </c>
      <c r="D35" t="s">
        <v>21</v>
      </c>
      <c r="E35" t="s">
        <v>35</v>
      </c>
      <c r="F35" t="s">
        <v>17</v>
      </c>
      <c r="G35" s="6">
        <v>26</v>
      </c>
      <c r="H35" s="4">
        <v>42.25</v>
      </c>
      <c r="I35" t="s">
        <v>23</v>
      </c>
      <c r="J35" s="6">
        <v>5</v>
      </c>
      <c r="K35" s="6">
        <v>3</v>
      </c>
      <c r="L35" t="s">
        <v>24</v>
      </c>
      <c r="M35" s="2">
        <v>45981</v>
      </c>
    </row>
    <row r="36" spans="1:13" x14ac:dyDescent="0.25">
      <c r="A36" t="s">
        <v>65</v>
      </c>
      <c r="B36" t="s">
        <v>14</v>
      </c>
      <c r="C36" s="6">
        <v>32</v>
      </c>
      <c r="D36" t="s">
        <v>21</v>
      </c>
      <c r="E36" t="s">
        <v>22</v>
      </c>
      <c r="F36" t="s">
        <v>17</v>
      </c>
      <c r="G36" s="6">
        <v>52</v>
      </c>
      <c r="H36" s="4">
        <v>34.92</v>
      </c>
      <c r="I36" t="s">
        <v>18</v>
      </c>
      <c r="J36" s="6">
        <v>4</v>
      </c>
      <c r="K36" s="6">
        <v>3</v>
      </c>
      <c r="L36" t="s">
        <v>24</v>
      </c>
      <c r="M36" s="2">
        <v>45015</v>
      </c>
    </row>
    <row r="37" spans="1:13" x14ac:dyDescent="0.25">
      <c r="A37" t="s">
        <v>66</v>
      </c>
      <c r="B37" t="s">
        <v>26</v>
      </c>
      <c r="C37" s="6">
        <v>19</v>
      </c>
      <c r="D37" t="s">
        <v>21</v>
      </c>
      <c r="E37" t="s">
        <v>35</v>
      </c>
      <c r="F37" t="s">
        <v>17</v>
      </c>
      <c r="G37" s="6">
        <v>34</v>
      </c>
      <c r="H37" s="4">
        <v>30.57</v>
      </c>
      <c r="I37" t="s">
        <v>23</v>
      </c>
      <c r="J37" s="6">
        <v>5</v>
      </c>
      <c r="K37" s="6">
        <v>3</v>
      </c>
      <c r="L37" t="s">
        <v>24</v>
      </c>
      <c r="M37" s="2">
        <v>45244</v>
      </c>
    </row>
    <row r="38" spans="1:13" x14ac:dyDescent="0.25">
      <c r="A38" t="s">
        <v>67</v>
      </c>
      <c r="B38" t="s">
        <v>14</v>
      </c>
      <c r="C38" s="6">
        <v>42</v>
      </c>
      <c r="D38" t="s">
        <v>30</v>
      </c>
      <c r="E38" t="s">
        <v>35</v>
      </c>
      <c r="F38" t="s">
        <v>17</v>
      </c>
      <c r="G38" s="6">
        <v>56</v>
      </c>
      <c r="H38" s="4">
        <v>30.03</v>
      </c>
      <c r="I38" t="s">
        <v>46</v>
      </c>
      <c r="J38" s="6">
        <v>5</v>
      </c>
      <c r="K38" s="6">
        <v>4</v>
      </c>
      <c r="L38" t="s">
        <v>19</v>
      </c>
      <c r="M38" s="2">
        <v>45557</v>
      </c>
    </row>
    <row r="39" spans="1:13" x14ac:dyDescent="0.25">
      <c r="A39" t="s">
        <v>68</v>
      </c>
      <c r="B39" t="s">
        <v>26</v>
      </c>
      <c r="C39" s="6">
        <v>57</v>
      </c>
      <c r="D39" t="s">
        <v>15</v>
      </c>
      <c r="E39" t="s">
        <v>22</v>
      </c>
      <c r="F39" t="s">
        <v>17</v>
      </c>
      <c r="G39" s="6">
        <v>39</v>
      </c>
      <c r="H39" s="4">
        <v>37.61</v>
      </c>
      <c r="I39" t="s">
        <v>23</v>
      </c>
      <c r="J39" s="6">
        <v>5</v>
      </c>
      <c r="K39" s="6">
        <v>4</v>
      </c>
      <c r="L39" t="s">
        <v>24</v>
      </c>
      <c r="M39" s="2">
        <v>45332</v>
      </c>
    </row>
    <row r="40" spans="1:13" x14ac:dyDescent="0.25">
      <c r="A40" t="s">
        <v>69</v>
      </c>
      <c r="B40" t="s">
        <v>14</v>
      </c>
      <c r="C40" s="6">
        <v>30</v>
      </c>
      <c r="D40" t="s">
        <v>34</v>
      </c>
      <c r="E40" t="s">
        <v>22</v>
      </c>
      <c r="F40" t="s">
        <v>28</v>
      </c>
      <c r="G40" s="6">
        <v>23</v>
      </c>
      <c r="H40" s="4">
        <v>64.23</v>
      </c>
      <c r="I40" t="s">
        <v>31</v>
      </c>
      <c r="J40" s="6">
        <v>6</v>
      </c>
      <c r="K40" s="6">
        <v>5</v>
      </c>
      <c r="L40" t="s">
        <v>24</v>
      </c>
      <c r="M40" s="2">
        <v>44819</v>
      </c>
    </row>
    <row r="41" spans="1:13" x14ac:dyDescent="0.25">
      <c r="A41" t="s">
        <v>70</v>
      </c>
      <c r="B41" t="s">
        <v>26</v>
      </c>
      <c r="C41" s="6">
        <v>31</v>
      </c>
      <c r="D41" t="s">
        <v>34</v>
      </c>
      <c r="E41" t="s">
        <v>22</v>
      </c>
      <c r="F41" t="s">
        <v>38</v>
      </c>
      <c r="G41" s="6">
        <v>42</v>
      </c>
      <c r="H41" s="4">
        <v>91.97</v>
      </c>
      <c r="I41" t="s">
        <v>23</v>
      </c>
      <c r="J41" s="6">
        <v>3</v>
      </c>
      <c r="K41" s="6">
        <v>5</v>
      </c>
      <c r="L41" t="s">
        <v>24</v>
      </c>
      <c r="M41" s="2">
        <v>45827</v>
      </c>
    </row>
    <row r="42" spans="1:13" x14ac:dyDescent="0.25">
      <c r="A42" t="s">
        <v>71</v>
      </c>
      <c r="B42" t="s">
        <v>14</v>
      </c>
      <c r="C42" s="6">
        <v>60</v>
      </c>
      <c r="D42" t="s">
        <v>21</v>
      </c>
      <c r="E42" t="s">
        <v>35</v>
      </c>
      <c r="F42" t="s">
        <v>38</v>
      </c>
      <c r="G42" s="6">
        <v>43</v>
      </c>
      <c r="H42" s="4">
        <v>86.4</v>
      </c>
      <c r="I42" t="s">
        <v>46</v>
      </c>
      <c r="J42" s="6">
        <v>4</v>
      </c>
      <c r="K42" s="6">
        <v>2</v>
      </c>
      <c r="L42" t="s">
        <v>24</v>
      </c>
      <c r="M42" s="2">
        <v>44498</v>
      </c>
    </row>
    <row r="43" spans="1:13" x14ac:dyDescent="0.25">
      <c r="A43" t="s">
        <v>72</v>
      </c>
      <c r="B43" t="s">
        <v>14</v>
      </c>
      <c r="C43" s="6">
        <v>20</v>
      </c>
      <c r="D43" t="s">
        <v>30</v>
      </c>
      <c r="E43" t="s">
        <v>35</v>
      </c>
      <c r="F43" t="s">
        <v>38</v>
      </c>
      <c r="G43" s="6">
        <v>10</v>
      </c>
      <c r="H43" s="4">
        <v>91.83</v>
      </c>
      <c r="I43" t="s">
        <v>46</v>
      </c>
      <c r="J43" s="6">
        <v>6</v>
      </c>
      <c r="K43" s="6">
        <v>4</v>
      </c>
      <c r="L43" t="s">
        <v>24</v>
      </c>
      <c r="M43" s="2">
        <v>44499</v>
      </c>
    </row>
    <row r="44" spans="1:13" x14ac:dyDescent="0.25">
      <c r="A44" t="s">
        <v>73</v>
      </c>
      <c r="B44" t="s">
        <v>14</v>
      </c>
      <c r="C44" s="6">
        <v>66</v>
      </c>
      <c r="D44" t="s">
        <v>21</v>
      </c>
      <c r="E44" t="s">
        <v>35</v>
      </c>
      <c r="F44" t="s">
        <v>17</v>
      </c>
      <c r="G44" s="6">
        <v>23</v>
      </c>
      <c r="H44" s="4">
        <v>42.06</v>
      </c>
      <c r="I44" t="s">
        <v>23</v>
      </c>
      <c r="J44" s="6">
        <v>0</v>
      </c>
      <c r="K44" s="6">
        <v>5</v>
      </c>
      <c r="L44" t="s">
        <v>24</v>
      </c>
      <c r="M44" s="2">
        <v>45934</v>
      </c>
    </row>
    <row r="45" spans="1:13" x14ac:dyDescent="0.25">
      <c r="A45" t="s">
        <v>74</v>
      </c>
      <c r="B45" t="s">
        <v>14</v>
      </c>
      <c r="C45" s="6">
        <v>47</v>
      </c>
      <c r="D45" t="s">
        <v>30</v>
      </c>
      <c r="E45" t="s">
        <v>35</v>
      </c>
      <c r="F45" t="s">
        <v>38</v>
      </c>
      <c r="G45" s="6">
        <v>68</v>
      </c>
      <c r="H45" s="4">
        <v>99.82</v>
      </c>
      <c r="I45" t="s">
        <v>31</v>
      </c>
      <c r="J45" s="6">
        <v>7</v>
      </c>
      <c r="K45" s="6">
        <v>5</v>
      </c>
      <c r="L45" t="s">
        <v>24</v>
      </c>
      <c r="M45" s="2">
        <v>45230</v>
      </c>
    </row>
    <row r="46" spans="1:13" x14ac:dyDescent="0.25">
      <c r="A46" t="s">
        <v>75</v>
      </c>
      <c r="B46" t="s">
        <v>26</v>
      </c>
      <c r="C46" s="6">
        <v>53</v>
      </c>
      <c r="D46" t="s">
        <v>34</v>
      </c>
      <c r="E46" t="s">
        <v>16</v>
      </c>
      <c r="F46" t="s">
        <v>38</v>
      </c>
      <c r="G46" s="6">
        <v>61</v>
      </c>
      <c r="H46" s="4">
        <v>91.75</v>
      </c>
      <c r="I46" t="s">
        <v>46</v>
      </c>
      <c r="J46" s="6">
        <v>4</v>
      </c>
      <c r="K46" s="6">
        <v>5</v>
      </c>
      <c r="L46" t="s">
        <v>24</v>
      </c>
      <c r="M46" s="2">
        <v>44686</v>
      </c>
    </row>
    <row r="47" spans="1:13" x14ac:dyDescent="0.25">
      <c r="A47" t="s">
        <v>76</v>
      </c>
      <c r="B47" t="s">
        <v>26</v>
      </c>
      <c r="C47" s="6">
        <v>46</v>
      </c>
      <c r="D47" t="s">
        <v>21</v>
      </c>
      <c r="E47" t="s">
        <v>22</v>
      </c>
      <c r="F47" t="s">
        <v>28</v>
      </c>
      <c r="G47" s="6">
        <v>31</v>
      </c>
      <c r="H47" s="4">
        <v>59.08</v>
      </c>
      <c r="I47" t="s">
        <v>31</v>
      </c>
      <c r="J47" s="6">
        <v>8</v>
      </c>
      <c r="K47" s="6">
        <v>1</v>
      </c>
      <c r="L47" t="s">
        <v>19</v>
      </c>
      <c r="M47" s="2">
        <v>44670</v>
      </c>
    </row>
    <row r="48" spans="1:13" x14ac:dyDescent="0.25">
      <c r="A48" t="s">
        <v>77</v>
      </c>
      <c r="B48" t="s">
        <v>26</v>
      </c>
      <c r="C48" s="6">
        <v>62</v>
      </c>
      <c r="D48" t="s">
        <v>30</v>
      </c>
      <c r="E48" t="s">
        <v>22</v>
      </c>
      <c r="F48" t="s">
        <v>17</v>
      </c>
      <c r="G48" s="6">
        <v>9</v>
      </c>
      <c r="H48" s="4">
        <v>36.22</v>
      </c>
      <c r="I48" t="s">
        <v>31</v>
      </c>
      <c r="J48" s="6">
        <v>8</v>
      </c>
      <c r="K48" s="6">
        <v>4</v>
      </c>
      <c r="L48" t="s">
        <v>24</v>
      </c>
      <c r="M48" s="2">
        <v>44620</v>
      </c>
    </row>
    <row r="49" spans="1:13" x14ac:dyDescent="0.25">
      <c r="A49" t="s">
        <v>78</v>
      </c>
      <c r="B49" t="s">
        <v>26</v>
      </c>
      <c r="C49" s="6">
        <v>42</v>
      </c>
      <c r="D49" t="s">
        <v>21</v>
      </c>
      <c r="E49" t="s">
        <v>22</v>
      </c>
      <c r="F49" t="s">
        <v>28</v>
      </c>
      <c r="G49" s="6">
        <v>62</v>
      </c>
      <c r="H49" s="4">
        <v>55.09</v>
      </c>
      <c r="I49" t="s">
        <v>31</v>
      </c>
      <c r="J49" s="6">
        <v>4</v>
      </c>
      <c r="K49" s="6">
        <v>4</v>
      </c>
      <c r="L49" t="s">
        <v>24</v>
      </c>
      <c r="M49" s="2">
        <v>45908</v>
      </c>
    </row>
    <row r="50" spans="1:13" x14ac:dyDescent="0.25">
      <c r="A50" t="s">
        <v>79</v>
      </c>
      <c r="B50" t="s">
        <v>26</v>
      </c>
      <c r="C50" s="6">
        <v>52</v>
      </c>
      <c r="D50" t="s">
        <v>30</v>
      </c>
      <c r="E50" t="s">
        <v>35</v>
      </c>
      <c r="F50" t="s">
        <v>17</v>
      </c>
      <c r="G50" s="6">
        <v>35</v>
      </c>
      <c r="H50" s="4">
        <v>36.54</v>
      </c>
      <c r="I50" t="s">
        <v>18</v>
      </c>
      <c r="J50" s="6">
        <v>6</v>
      </c>
      <c r="K50" s="6">
        <v>3</v>
      </c>
      <c r="L50" t="s">
        <v>24</v>
      </c>
      <c r="M50" s="2">
        <v>45831</v>
      </c>
    </row>
    <row r="51" spans="1:13" x14ac:dyDescent="0.25">
      <c r="A51" t="s">
        <v>80</v>
      </c>
      <c r="B51" t="s">
        <v>26</v>
      </c>
      <c r="C51" s="6">
        <v>64</v>
      </c>
      <c r="D51" t="s">
        <v>30</v>
      </c>
      <c r="E51" t="s">
        <v>35</v>
      </c>
      <c r="F51" t="s">
        <v>17</v>
      </c>
      <c r="G51" s="6">
        <v>69</v>
      </c>
      <c r="H51" s="4">
        <v>30.4</v>
      </c>
      <c r="I51" t="s">
        <v>23</v>
      </c>
      <c r="J51" s="6">
        <v>0</v>
      </c>
      <c r="K51" s="6">
        <v>1</v>
      </c>
      <c r="L51" t="s">
        <v>24</v>
      </c>
      <c r="M51" s="2">
        <v>44474</v>
      </c>
    </row>
    <row r="52" spans="1:13" x14ac:dyDescent="0.25">
      <c r="A52" t="s">
        <v>81</v>
      </c>
      <c r="B52" t="s">
        <v>26</v>
      </c>
      <c r="C52" s="6">
        <v>29</v>
      </c>
      <c r="D52" t="s">
        <v>21</v>
      </c>
      <c r="E52" t="s">
        <v>35</v>
      </c>
      <c r="F52" t="s">
        <v>28</v>
      </c>
      <c r="G52" s="6">
        <v>42</v>
      </c>
      <c r="H52" s="4">
        <v>58.17</v>
      </c>
      <c r="I52" t="s">
        <v>31</v>
      </c>
      <c r="J52" s="6">
        <v>5</v>
      </c>
      <c r="K52" s="6">
        <v>4</v>
      </c>
      <c r="L52" t="s">
        <v>24</v>
      </c>
      <c r="M52" s="2">
        <v>45900</v>
      </c>
    </row>
    <row r="53" spans="1:13" x14ac:dyDescent="0.25">
      <c r="A53" t="s">
        <v>82</v>
      </c>
      <c r="B53" t="s">
        <v>26</v>
      </c>
      <c r="C53" s="6">
        <v>34</v>
      </c>
      <c r="D53" t="s">
        <v>21</v>
      </c>
      <c r="E53" t="s">
        <v>35</v>
      </c>
      <c r="F53" t="s">
        <v>17</v>
      </c>
      <c r="G53" s="6">
        <v>70</v>
      </c>
      <c r="H53" s="4">
        <v>30.78</v>
      </c>
      <c r="I53" t="s">
        <v>31</v>
      </c>
      <c r="J53" s="6">
        <v>3</v>
      </c>
      <c r="K53" s="6">
        <v>1</v>
      </c>
      <c r="L53" t="s">
        <v>24</v>
      </c>
      <c r="M53" s="2">
        <v>45531</v>
      </c>
    </row>
    <row r="54" spans="1:13" x14ac:dyDescent="0.25">
      <c r="A54" t="s">
        <v>83</v>
      </c>
      <c r="B54" t="s">
        <v>14</v>
      </c>
      <c r="C54" s="6">
        <v>66</v>
      </c>
      <c r="D54" t="s">
        <v>21</v>
      </c>
      <c r="E54" t="s">
        <v>16</v>
      </c>
      <c r="F54" t="s">
        <v>17</v>
      </c>
      <c r="G54" s="6">
        <v>3</v>
      </c>
      <c r="H54" s="4">
        <v>39.32</v>
      </c>
      <c r="I54" t="s">
        <v>46</v>
      </c>
      <c r="J54" s="6">
        <v>2</v>
      </c>
      <c r="K54" s="6">
        <v>4</v>
      </c>
      <c r="L54" t="s">
        <v>24</v>
      </c>
      <c r="M54" s="2">
        <v>45352</v>
      </c>
    </row>
    <row r="55" spans="1:13" x14ac:dyDescent="0.25">
      <c r="A55" t="s">
        <v>84</v>
      </c>
      <c r="B55" t="s">
        <v>14</v>
      </c>
      <c r="C55" s="6">
        <v>47</v>
      </c>
      <c r="D55" t="s">
        <v>15</v>
      </c>
      <c r="E55" t="s">
        <v>35</v>
      </c>
      <c r="F55" t="s">
        <v>17</v>
      </c>
      <c r="G55" s="6">
        <v>15</v>
      </c>
      <c r="H55" s="4">
        <v>41.67</v>
      </c>
      <c r="I55" t="s">
        <v>46</v>
      </c>
      <c r="J55" s="6">
        <v>4</v>
      </c>
      <c r="K55" s="6">
        <v>1</v>
      </c>
      <c r="L55" t="s">
        <v>24</v>
      </c>
      <c r="M55" s="2">
        <v>44835</v>
      </c>
    </row>
    <row r="56" spans="1:13" x14ac:dyDescent="0.25">
      <c r="A56" t="s">
        <v>85</v>
      </c>
      <c r="B56" t="s">
        <v>26</v>
      </c>
      <c r="C56" s="6">
        <v>43</v>
      </c>
      <c r="D56" t="s">
        <v>30</v>
      </c>
      <c r="E56" t="s">
        <v>16</v>
      </c>
      <c r="F56" t="s">
        <v>38</v>
      </c>
      <c r="G56" s="6">
        <v>32</v>
      </c>
      <c r="H56" s="4">
        <v>86.53</v>
      </c>
      <c r="I56" t="s">
        <v>31</v>
      </c>
      <c r="J56" s="6">
        <v>1</v>
      </c>
      <c r="K56" s="6">
        <v>5</v>
      </c>
      <c r="L56" t="s">
        <v>24</v>
      </c>
      <c r="M56" s="2">
        <v>44908</v>
      </c>
    </row>
    <row r="57" spans="1:13" x14ac:dyDescent="0.25">
      <c r="A57" t="s">
        <v>86</v>
      </c>
      <c r="B57" t="s">
        <v>26</v>
      </c>
      <c r="C57" s="6">
        <v>60</v>
      </c>
      <c r="D57" t="s">
        <v>15</v>
      </c>
      <c r="E57" t="s">
        <v>16</v>
      </c>
      <c r="F57" t="s">
        <v>38</v>
      </c>
      <c r="G57" s="6">
        <v>44</v>
      </c>
      <c r="H57" s="4">
        <v>85.19</v>
      </c>
      <c r="I57" t="s">
        <v>23</v>
      </c>
      <c r="J57" s="6">
        <v>7</v>
      </c>
      <c r="K57" s="6">
        <v>1</v>
      </c>
      <c r="L57" t="s">
        <v>24</v>
      </c>
      <c r="M57" s="2">
        <v>44938</v>
      </c>
    </row>
    <row r="58" spans="1:13" x14ac:dyDescent="0.25">
      <c r="A58" t="s">
        <v>87</v>
      </c>
      <c r="B58" t="s">
        <v>26</v>
      </c>
      <c r="C58" s="6">
        <v>63</v>
      </c>
      <c r="D58" t="s">
        <v>30</v>
      </c>
      <c r="E58" t="s">
        <v>35</v>
      </c>
      <c r="F58" t="s">
        <v>17</v>
      </c>
      <c r="G58" s="6">
        <v>67</v>
      </c>
      <c r="H58" s="4">
        <v>44.48</v>
      </c>
      <c r="I58" t="s">
        <v>31</v>
      </c>
      <c r="J58" s="6">
        <v>8</v>
      </c>
      <c r="K58" s="6">
        <v>4</v>
      </c>
      <c r="L58" t="s">
        <v>24</v>
      </c>
      <c r="M58" s="2">
        <v>45888</v>
      </c>
    </row>
    <row r="59" spans="1:13" x14ac:dyDescent="0.25">
      <c r="A59" t="s">
        <v>88</v>
      </c>
      <c r="B59" t="s">
        <v>26</v>
      </c>
      <c r="C59" s="6">
        <v>38</v>
      </c>
      <c r="D59" t="s">
        <v>30</v>
      </c>
      <c r="E59" t="s">
        <v>16</v>
      </c>
      <c r="F59" t="s">
        <v>28</v>
      </c>
      <c r="G59" s="6">
        <v>58</v>
      </c>
      <c r="H59" s="4">
        <v>58.66</v>
      </c>
      <c r="I59" t="s">
        <v>23</v>
      </c>
      <c r="J59" s="6">
        <v>6</v>
      </c>
      <c r="K59" s="6">
        <v>3</v>
      </c>
      <c r="L59" t="s">
        <v>19</v>
      </c>
      <c r="M59" s="2">
        <v>45939</v>
      </c>
    </row>
    <row r="60" spans="1:13" x14ac:dyDescent="0.25">
      <c r="A60" t="s">
        <v>89</v>
      </c>
      <c r="B60" t="s">
        <v>26</v>
      </c>
      <c r="C60" s="6">
        <v>29</v>
      </c>
      <c r="D60" t="s">
        <v>34</v>
      </c>
      <c r="E60" t="s">
        <v>16</v>
      </c>
      <c r="F60" t="s">
        <v>28</v>
      </c>
      <c r="G60" s="6">
        <v>34</v>
      </c>
      <c r="H60" s="4">
        <v>60.11</v>
      </c>
      <c r="I60" t="s">
        <v>31</v>
      </c>
      <c r="J60" s="6">
        <v>8</v>
      </c>
      <c r="K60" s="6">
        <v>1</v>
      </c>
      <c r="L60" t="s">
        <v>24</v>
      </c>
      <c r="M60" s="2">
        <v>44588</v>
      </c>
    </row>
    <row r="61" spans="1:13" x14ac:dyDescent="0.25">
      <c r="A61" t="s">
        <v>90</v>
      </c>
      <c r="B61" t="s">
        <v>14</v>
      </c>
      <c r="C61" s="6">
        <v>33</v>
      </c>
      <c r="D61" t="s">
        <v>34</v>
      </c>
      <c r="E61" t="s">
        <v>35</v>
      </c>
      <c r="F61" t="s">
        <v>38</v>
      </c>
      <c r="G61" s="6">
        <v>31</v>
      </c>
      <c r="H61" s="4">
        <v>95.36</v>
      </c>
      <c r="I61" t="s">
        <v>23</v>
      </c>
      <c r="J61" s="6">
        <v>7</v>
      </c>
      <c r="K61" s="6">
        <v>1</v>
      </c>
      <c r="L61" t="s">
        <v>19</v>
      </c>
      <c r="M61" s="2">
        <v>44650</v>
      </c>
    </row>
    <row r="62" spans="1:13" x14ac:dyDescent="0.25">
      <c r="A62" t="s">
        <v>91</v>
      </c>
      <c r="B62" t="s">
        <v>26</v>
      </c>
      <c r="C62" s="6">
        <v>62</v>
      </c>
      <c r="D62" t="s">
        <v>30</v>
      </c>
      <c r="E62" t="s">
        <v>35</v>
      </c>
      <c r="F62" t="s">
        <v>38</v>
      </c>
      <c r="G62" s="6">
        <v>48</v>
      </c>
      <c r="H62" s="4">
        <v>92.1</v>
      </c>
      <c r="I62" t="s">
        <v>31</v>
      </c>
      <c r="J62" s="6">
        <v>6</v>
      </c>
      <c r="K62" s="6">
        <v>5</v>
      </c>
      <c r="L62" t="s">
        <v>24</v>
      </c>
      <c r="M62" s="2">
        <v>45636</v>
      </c>
    </row>
    <row r="63" spans="1:13" x14ac:dyDescent="0.25">
      <c r="A63" t="s">
        <v>92</v>
      </c>
      <c r="B63" t="s">
        <v>26</v>
      </c>
      <c r="C63" s="6">
        <v>35</v>
      </c>
      <c r="D63" t="s">
        <v>15</v>
      </c>
      <c r="E63" t="s">
        <v>35</v>
      </c>
      <c r="F63" t="s">
        <v>17</v>
      </c>
      <c r="G63" s="6">
        <v>16</v>
      </c>
      <c r="H63" s="4">
        <v>40.82</v>
      </c>
      <c r="I63" t="s">
        <v>31</v>
      </c>
      <c r="J63" s="6">
        <v>1</v>
      </c>
      <c r="K63" s="6">
        <v>5</v>
      </c>
      <c r="L63" t="s">
        <v>24</v>
      </c>
      <c r="M63" s="2">
        <v>45610</v>
      </c>
    </row>
    <row r="64" spans="1:13" x14ac:dyDescent="0.25">
      <c r="A64" t="s">
        <v>93</v>
      </c>
      <c r="B64" t="s">
        <v>14</v>
      </c>
      <c r="C64" s="6">
        <v>30</v>
      </c>
      <c r="D64" t="s">
        <v>30</v>
      </c>
      <c r="E64" t="s">
        <v>22</v>
      </c>
      <c r="F64" t="s">
        <v>28</v>
      </c>
      <c r="G64" s="6">
        <v>36</v>
      </c>
      <c r="H64" s="4">
        <v>65.87</v>
      </c>
      <c r="I64" t="s">
        <v>31</v>
      </c>
      <c r="J64" s="6">
        <v>1</v>
      </c>
      <c r="K64" s="6">
        <v>2</v>
      </c>
      <c r="L64" t="s">
        <v>24</v>
      </c>
      <c r="M64" s="2">
        <v>44936</v>
      </c>
    </row>
    <row r="65" spans="1:13" x14ac:dyDescent="0.25">
      <c r="A65" t="s">
        <v>94</v>
      </c>
      <c r="B65" t="s">
        <v>14</v>
      </c>
      <c r="C65" s="6">
        <v>37</v>
      </c>
      <c r="D65" t="s">
        <v>21</v>
      </c>
      <c r="E65" t="s">
        <v>22</v>
      </c>
      <c r="F65" t="s">
        <v>38</v>
      </c>
      <c r="G65" s="6">
        <v>17</v>
      </c>
      <c r="H65" s="4">
        <v>89.11</v>
      </c>
      <c r="I65" t="s">
        <v>18</v>
      </c>
      <c r="J65" s="6">
        <v>8</v>
      </c>
      <c r="K65" s="6">
        <v>3</v>
      </c>
      <c r="L65" t="s">
        <v>24</v>
      </c>
      <c r="M65" s="2">
        <v>44455</v>
      </c>
    </row>
    <row r="66" spans="1:13" x14ac:dyDescent="0.25">
      <c r="A66" t="s">
        <v>95</v>
      </c>
      <c r="B66" t="s">
        <v>26</v>
      </c>
      <c r="C66" s="6">
        <v>24</v>
      </c>
      <c r="D66" t="s">
        <v>21</v>
      </c>
      <c r="E66" t="s">
        <v>22</v>
      </c>
      <c r="F66" t="s">
        <v>28</v>
      </c>
      <c r="G66" s="6">
        <v>61</v>
      </c>
      <c r="H66" s="4">
        <v>62.18</v>
      </c>
      <c r="I66" t="s">
        <v>31</v>
      </c>
      <c r="J66" s="6">
        <v>2</v>
      </c>
      <c r="K66" s="6">
        <v>1</v>
      </c>
      <c r="L66" t="s">
        <v>24</v>
      </c>
      <c r="M66" s="2">
        <v>45961</v>
      </c>
    </row>
    <row r="67" spans="1:13" x14ac:dyDescent="0.25">
      <c r="A67" t="s">
        <v>96</v>
      </c>
      <c r="B67" t="s">
        <v>26</v>
      </c>
      <c r="C67" s="6">
        <v>25</v>
      </c>
      <c r="D67" t="s">
        <v>21</v>
      </c>
      <c r="E67" t="s">
        <v>35</v>
      </c>
      <c r="F67" t="s">
        <v>28</v>
      </c>
      <c r="G67" s="6">
        <v>10</v>
      </c>
      <c r="H67" s="4">
        <v>63.66</v>
      </c>
      <c r="I67" t="s">
        <v>18</v>
      </c>
      <c r="J67" s="6">
        <v>2</v>
      </c>
      <c r="K67" s="6">
        <v>2</v>
      </c>
      <c r="L67" t="s">
        <v>24</v>
      </c>
      <c r="M67" s="2">
        <v>44819</v>
      </c>
    </row>
    <row r="68" spans="1:13" x14ac:dyDescent="0.25">
      <c r="A68" t="s">
        <v>97</v>
      </c>
      <c r="B68" t="s">
        <v>14</v>
      </c>
      <c r="C68" s="6">
        <v>33</v>
      </c>
      <c r="D68" t="s">
        <v>21</v>
      </c>
      <c r="E68" t="s">
        <v>22</v>
      </c>
      <c r="F68" t="s">
        <v>28</v>
      </c>
      <c r="G68" s="6">
        <v>29</v>
      </c>
      <c r="H68" s="4">
        <v>66.64</v>
      </c>
      <c r="I68" t="s">
        <v>23</v>
      </c>
      <c r="J68" s="6">
        <v>7</v>
      </c>
      <c r="K68" s="6">
        <v>4</v>
      </c>
      <c r="L68" t="s">
        <v>24</v>
      </c>
      <c r="M68" s="2">
        <v>45402</v>
      </c>
    </row>
    <row r="69" spans="1:13" x14ac:dyDescent="0.25">
      <c r="A69" t="s">
        <v>98</v>
      </c>
      <c r="B69" t="s">
        <v>26</v>
      </c>
      <c r="C69" s="6">
        <v>37</v>
      </c>
      <c r="D69" t="s">
        <v>21</v>
      </c>
      <c r="E69" t="s">
        <v>22</v>
      </c>
      <c r="F69" t="s">
        <v>38</v>
      </c>
      <c r="G69" s="6">
        <v>13</v>
      </c>
      <c r="H69" s="4">
        <v>99.21</v>
      </c>
      <c r="I69" t="s">
        <v>46</v>
      </c>
      <c r="J69" s="6">
        <v>3</v>
      </c>
      <c r="K69" s="6">
        <v>3</v>
      </c>
      <c r="L69" t="s">
        <v>24</v>
      </c>
      <c r="M69" s="2">
        <v>44518</v>
      </c>
    </row>
    <row r="70" spans="1:13" x14ac:dyDescent="0.25">
      <c r="A70" t="s">
        <v>99</v>
      </c>
      <c r="B70" t="s">
        <v>14</v>
      </c>
      <c r="C70" s="6">
        <v>29</v>
      </c>
      <c r="D70" t="s">
        <v>21</v>
      </c>
      <c r="E70" t="s">
        <v>16</v>
      </c>
      <c r="F70" t="s">
        <v>17</v>
      </c>
      <c r="G70" s="6">
        <v>53</v>
      </c>
      <c r="H70" s="4">
        <v>36.76</v>
      </c>
      <c r="I70" t="s">
        <v>23</v>
      </c>
      <c r="J70" s="6">
        <v>4</v>
      </c>
      <c r="K70" s="6">
        <v>1</v>
      </c>
      <c r="L70" t="s">
        <v>19</v>
      </c>
      <c r="M70" s="2">
        <v>45644</v>
      </c>
    </row>
    <row r="71" spans="1:13" x14ac:dyDescent="0.25">
      <c r="A71" t="s">
        <v>100</v>
      </c>
      <c r="B71" t="s">
        <v>26</v>
      </c>
      <c r="C71" s="6">
        <v>62</v>
      </c>
      <c r="D71" t="s">
        <v>34</v>
      </c>
      <c r="E71" t="s">
        <v>16</v>
      </c>
      <c r="F71" t="s">
        <v>38</v>
      </c>
      <c r="G71" s="6">
        <v>30</v>
      </c>
      <c r="H71" s="4">
        <v>98.86</v>
      </c>
      <c r="I71" t="s">
        <v>46</v>
      </c>
      <c r="J71" s="6">
        <v>6</v>
      </c>
      <c r="K71" s="6">
        <v>1</v>
      </c>
      <c r="L71" t="s">
        <v>24</v>
      </c>
      <c r="M71" s="2">
        <v>45523</v>
      </c>
    </row>
    <row r="72" spans="1:13" x14ac:dyDescent="0.25">
      <c r="A72" t="s">
        <v>101</v>
      </c>
      <c r="B72" t="s">
        <v>14</v>
      </c>
      <c r="C72" s="6">
        <v>35</v>
      </c>
      <c r="D72" t="s">
        <v>30</v>
      </c>
      <c r="E72" t="s">
        <v>16</v>
      </c>
      <c r="F72" t="s">
        <v>17</v>
      </c>
      <c r="G72" s="6">
        <v>22</v>
      </c>
      <c r="H72" s="4">
        <v>41.89</v>
      </c>
      <c r="I72" t="s">
        <v>31</v>
      </c>
      <c r="J72" s="6">
        <v>7</v>
      </c>
      <c r="K72" s="6">
        <v>1</v>
      </c>
      <c r="L72" t="s">
        <v>24</v>
      </c>
      <c r="M72" s="2">
        <v>44819</v>
      </c>
    </row>
    <row r="73" spans="1:13" x14ac:dyDescent="0.25">
      <c r="A73" t="s">
        <v>102</v>
      </c>
      <c r="B73" t="s">
        <v>26</v>
      </c>
      <c r="C73" s="6">
        <v>35</v>
      </c>
      <c r="D73" t="s">
        <v>34</v>
      </c>
      <c r="E73" t="s">
        <v>35</v>
      </c>
      <c r="F73" t="s">
        <v>17</v>
      </c>
      <c r="G73" s="6">
        <v>6</v>
      </c>
      <c r="H73" s="4">
        <v>43.34</v>
      </c>
      <c r="I73" t="s">
        <v>31</v>
      </c>
      <c r="J73" s="6">
        <v>4</v>
      </c>
      <c r="K73" s="6">
        <v>1</v>
      </c>
      <c r="L73" t="s">
        <v>19</v>
      </c>
      <c r="M73" s="2">
        <v>45577</v>
      </c>
    </row>
    <row r="74" spans="1:13" x14ac:dyDescent="0.25">
      <c r="A74" t="s">
        <v>103</v>
      </c>
      <c r="B74" t="s">
        <v>14</v>
      </c>
      <c r="C74" s="6">
        <v>66</v>
      </c>
      <c r="D74" t="s">
        <v>15</v>
      </c>
      <c r="E74" t="s">
        <v>22</v>
      </c>
      <c r="F74" t="s">
        <v>17</v>
      </c>
      <c r="G74" s="6">
        <v>23</v>
      </c>
      <c r="H74" s="4">
        <v>37.06</v>
      </c>
      <c r="I74" t="s">
        <v>23</v>
      </c>
      <c r="J74" s="6">
        <v>4</v>
      </c>
      <c r="K74" s="6">
        <v>2</v>
      </c>
      <c r="L74" t="s">
        <v>24</v>
      </c>
      <c r="M74" s="2">
        <v>45089</v>
      </c>
    </row>
    <row r="75" spans="1:13" x14ac:dyDescent="0.25">
      <c r="A75" t="s">
        <v>104</v>
      </c>
      <c r="B75" t="s">
        <v>26</v>
      </c>
      <c r="C75" s="6">
        <v>23</v>
      </c>
      <c r="D75" t="s">
        <v>34</v>
      </c>
      <c r="E75" t="s">
        <v>35</v>
      </c>
      <c r="F75" t="s">
        <v>28</v>
      </c>
      <c r="G75" s="6">
        <v>43</v>
      </c>
      <c r="H75" s="4">
        <v>59.82</v>
      </c>
      <c r="I75" t="s">
        <v>18</v>
      </c>
      <c r="J75" s="6">
        <v>2</v>
      </c>
      <c r="K75" s="6">
        <v>3</v>
      </c>
      <c r="L75" t="s">
        <v>24</v>
      </c>
      <c r="M75" s="2">
        <v>45211</v>
      </c>
    </row>
    <row r="76" spans="1:13" x14ac:dyDescent="0.25">
      <c r="A76" t="s">
        <v>105</v>
      </c>
      <c r="B76" t="s">
        <v>26</v>
      </c>
      <c r="C76" s="6">
        <v>60</v>
      </c>
      <c r="D76" t="s">
        <v>34</v>
      </c>
      <c r="E76" t="s">
        <v>22</v>
      </c>
      <c r="F76" t="s">
        <v>17</v>
      </c>
      <c r="G76" s="6">
        <v>59</v>
      </c>
      <c r="H76" s="4">
        <v>31.32</v>
      </c>
      <c r="I76" t="s">
        <v>31</v>
      </c>
      <c r="J76" s="6">
        <v>5</v>
      </c>
      <c r="K76" s="6">
        <v>1</v>
      </c>
      <c r="L76" t="s">
        <v>24</v>
      </c>
      <c r="M76" s="2">
        <v>45024</v>
      </c>
    </row>
    <row r="77" spans="1:13" x14ac:dyDescent="0.25">
      <c r="A77" t="s">
        <v>106</v>
      </c>
      <c r="B77" t="s">
        <v>14</v>
      </c>
      <c r="C77" s="6">
        <v>60</v>
      </c>
      <c r="D77" t="s">
        <v>34</v>
      </c>
      <c r="E77" t="s">
        <v>35</v>
      </c>
      <c r="F77" t="s">
        <v>17</v>
      </c>
      <c r="G77" s="6">
        <v>25</v>
      </c>
      <c r="H77" s="4">
        <v>37.78</v>
      </c>
      <c r="I77" t="s">
        <v>23</v>
      </c>
      <c r="J77" s="6">
        <v>7</v>
      </c>
      <c r="K77" s="6">
        <v>1</v>
      </c>
      <c r="L77" t="s">
        <v>19</v>
      </c>
      <c r="M77" s="2">
        <v>45321</v>
      </c>
    </row>
    <row r="78" spans="1:13" x14ac:dyDescent="0.25">
      <c r="A78" t="s">
        <v>107</v>
      </c>
      <c r="B78" t="s">
        <v>14</v>
      </c>
      <c r="C78" s="6">
        <v>36</v>
      </c>
      <c r="D78" t="s">
        <v>34</v>
      </c>
      <c r="E78" t="s">
        <v>22</v>
      </c>
      <c r="F78" t="s">
        <v>28</v>
      </c>
      <c r="G78" s="6">
        <v>16</v>
      </c>
      <c r="H78" s="4">
        <v>55.43</v>
      </c>
      <c r="I78" t="s">
        <v>46</v>
      </c>
      <c r="J78" s="6">
        <v>2</v>
      </c>
      <c r="K78" s="6">
        <v>3</v>
      </c>
      <c r="L78" t="s">
        <v>24</v>
      </c>
      <c r="M78" s="2">
        <v>45328</v>
      </c>
    </row>
    <row r="79" spans="1:13" x14ac:dyDescent="0.25">
      <c r="A79" t="s">
        <v>108</v>
      </c>
      <c r="B79" t="s">
        <v>26</v>
      </c>
      <c r="C79" s="6">
        <v>23</v>
      </c>
      <c r="D79" t="s">
        <v>30</v>
      </c>
      <c r="E79" t="s">
        <v>16</v>
      </c>
      <c r="F79" t="s">
        <v>28</v>
      </c>
      <c r="G79" s="6">
        <v>16</v>
      </c>
      <c r="H79" s="4">
        <v>64.72</v>
      </c>
      <c r="I79" t="s">
        <v>46</v>
      </c>
      <c r="J79" s="6">
        <v>7</v>
      </c>
      <c r="K79" s="6">
        <v>3</v>
      </c>
      <c r="L79" t="s">
        <v>24</v>
      </c>
      <c r="M79" s="2">
        <v>44756</v>
      </c>
    </row>
    <row r="80" spans="1:13" x14ac:dyDescent="0.25">
      <c r="A80" t="s">
        <v>109</v>
      </c>
      <c r="B80" t="s">
        <v>26</v>
      </c>
      <c r="C80" s="6">
        <v>48</v>
      </c>
      <c r="D80" t="s">
        <v>34</v>
      </c>
      <c r="E80" t="s">
        <v>16</v>
      </c>
      <c r="F80" t="s">
        <v>28</v>
      </c>
      <c r="G80" s="6">
        <v>71</v>
      </c>
      <c r="H80" s="4">
        <v>57.17</v>
      </c>
      <c r="I80" t="s">
        <v>46</v>
      </c>
      <c r="J80" s="6">
        <v>8</v>
      </c>
      <c r="K80" s="6">
        <v>2</v>
      </c>
      <c r="L80" t="s">
        <v>24</v>
      </c>
      <c r="M80" s="2">
        <v>44762</v>
      </c>
    </row>
    <row r="81" spans="1:13" x14ac:dyDescent="0.25">
      <c r="A81" t="s">
        <v>110</v>
      </c>
      <c r="B81" t="s">
        <v>26</v>
      </c>
      <c r="C81" s="6">
        <v>39</v>
      </c>
      <c r="D81" t="s">
        <v>15</v>
      </c>
      <c r="E81" t="s">
        <v>16</v>
      </c>
      <c r="F81" t="s">
        <v>28</v>
      </c>
      <c r="G81" s="6">
        <v>39</v>
      </c>
      <c r="H81" s="4">
        <v>67.56</v>
      </c>
      <c r="I81" t="s">
        <v>23</v>
      </c>
      <c r="J81" s="6">
        <v>2</v>
      </c>
      <c r="K81" s="6">
        <v>4</v>
      </c>
      <c r="L81" t="s">
        <v>24</v>
      </c>
      <c r="M81" s="2">
        <v>44903</v>
      </c>
    </row>
    <row r="82" spans="1:13" x14ac:dyDescent="0.25">
      <c r="A82" t="s">
        <v>111</v>
      </c>
      <c r="B82" t="s">
        <v>26</v>
      </c>
      <c r="C82" s="6">
        <v>53</v>
      </c>
      <c r="D82" t="s">
        <v>34</v>
      </c>
      <c r="E82" t="s">
        <v>35</v>
      </c>
      <c r="F82" t="s">
        <v>28</v>
      </c>
      <c r="G82" s="6">
        <v>25</v>
      </c>
      <c r="H82" s="4">
        <v>69.709999999999994</v>
      </c>
      <c r="I82" t="s">
        <v>46</v>
      </c>
      <c r="J82" s="6">
        <v>6</v>
      </c>
      <c r="K82" s="6">
        <v>2</v>
      </c>
      <c r="L82" t="s">
        <v>24</v>
      </c>
      <c r="M82" s="2">
        <v>45038</v>
      </c>
    </row>
    <row r="83" spans="1:13" x14ac:dyDescent="0.25">
      <c r="A83" t="s">
        <v>112</v>
      </c>
      <c r="B83" t="s">
        <v>14</v>
      </c>
      <c r="C83" s="6">
        <v>38</v>
      </c>
      <c r="D83" t="s">
        <v>34</v>
      </c>
      <c r="E83" t="s">
        <v>22</v>
      </c>
      <c r="F83" t="s">
        <v>28</v>
      </c>
      <c r="G83" s="6">
        <v>50</v>
      </c>
      <c r="H83" s="4">
        <v>69.83</v>
      </c>
      <c r="I83" t="s">
        <v>46</v>
      </c>
      <c r="J83" s="6">
        <v>7</v>
      </c>
      <c r="K83" s="6">
        <v>1</v>
      </c>
      <c r="L83" t="s">
        <v>19</v>
      </c>
      <c r="M83" s="2">
        <v>45405</v>
      </c>
    </row>
    <row r="84" spans="1:13" x14ac:dyDescent="0.25">
      <c r="A84" t="s">
        <v>113</v>
      </c>
      <c r="B84" t="s">
        <v>26</v>
      </c>
      <c r="C84" s="6">
        <v>24</v>
      </c>
      <c r="D84" t="s">
        <v>34</v>
      </c>
      <c r="E84" t="s">
        <v>16</v>
      </c>
      <c r="F84" t="s">
        <v>38</v>
      </c>
      <c r="G84" s="6">
        <v>59</v>
      </c>
      <c r="H84" s="4">
        <v>85.23</v>
      </c>
      <c r="I84" t="s">
        <v>46</v>
      </c>
      <c r="J84" s="6">
        <v>6</v>
      </c>
      <c r="K84" s="6">
        <v>2</v>
      </c>
      <c r="L84" t="s">
        <v>19</v>
      </c>
      <c r="M84" s="2">
        <v>45797</v>
      </c>
    </row>
    <row r="85" spans="1:13" x14ac:dyDescent="0.25">
      <c r="A85" t="s">
        <v>114</v>
      </c>
      <c r="B85" t="s">
        <v>26</v>
      </c>
      <c r="C85" s="6">
        <v>39</v>
      </c>
      <c r="D85" t="s">
        <v>34</v>
      </c>
      <c r="E85" t="s">
        <v>22</v>
      </c>
      <c r="F85" t="s">
        <v>17</v>
      </c>
      <c r="G85" s="6">
        <v>43</v>
      </c>
      <c r="H85" s="4">
        <v>42.79</v>
      </c>
      <c r="I85" t="s">
        <v>23</v>
      </c>
      <c r="J85" s="6">
        <v>5</v>
      </c>
      <c r="K85" s="6">
        <v>4</v>
      </c>
      <c r="L85" t="s">
        <v>24</v>
      </c>
      <c r="M85" s="2">
        <v>44270</v>
      </c>
    </row>
    <row r="86" spans="1:13" x14ac:dyDescent="0.25">
      <c r="A86" t="s">
        <v>115</v>
      </c>
      <c r="B86" t="s">
        <v>14</v>
      </c>
      <c r="C86" s="6">
        <v>33</v>
      </c>
      <c r="D86" t="s">
        <v>15</v>
      </c>
      <c r="E86" t="s">
        <v>16</v>
      </c>
      <c r="F86" t="s">
        <v>38</v>
      </c>
      <c r="G86" s="6">
        <v>12</v>
      </c>
      <c r="H86" s="4">
        <v>91.51</v>
      </c>
      <c r="I86" t="s">
        <v>18</v>
      </c>
      <c r="J86" s="6">
        <v>1</v>
      </c>
      <c r="K86" s="6">
        <v>4</v>
      </c>
      <c r="L86" t="s">
        <v>19</v>
      </c>
      <c r="M86" s="2">
        <v>44810</v>
      </c>
    </row>
    <row r="87" spans="1:13" x14ac:dyDescent="0.25">
      <c r="A87" t="s">
        <v>116</v>
      </c>
      <c r="B87" t="s">
        <v>14</v>
      </c>
      <c r="C87" s="6">
        <v>20</v>
      </c>
      <c r="D87" t="s">
        <v>15</v>
      </c>
      <c r="E87" t="s">
        <v>16</v>
      </c>
      <c r="F87" t="s">
        <v>28</v>
      </c>
      <c r="G87" s="6">
        <v>46</v>
      </c>
      <c r="H87" s="4">
        <v>60.62</v>
      </c>
      <c r="I87" t="s">
        <v>46</v>
      </c>
      <c r="J87" s="6">
        <v>3</v>
      </c>
      <c r="K87" s="6">
        <v>5</v>
      </c>
      <c r="L87" t="s">
        <v>24</v>
      </c>
      <c r="M87" s="2">
        <v>45593</v>
      </c>
    </row>
    <row r="88" spans="1:13" x14ac:dyDescent="0.25">
      <c r="A88" t="s">
        <v>117</v>
      </c>
      <c r="B88" t="s">
        <v>14</v>
      </c>
      <c r="C88" s="6">
        <v>28</v>
      </c>
      <c r="D88" t="s">
        <v>30</v>
      </c>
      <c r="E88" t="s">
        <v>16</v>
      </c>
      <c r="F88" t="s">
        <v>38</v>
      </c>
      <c r="G88" s="6">
        <v>49</v>
      </c>
      <c r="H88" s="4">
        <v>94.3</v>
      </c>
      <c r="I88" t="s">
        <v>46</v>
      </c>
      <c r="J88" s="6">
        <v>7</v>
      </c>
      <c r="K88" s="6">
        <v>5</v>
      </c>
      <c r="L88" t="s">
        <v>19</v>
      </c>
      <c r="M88" s="2">
        <v>45141</v>
      </c>
    </row>
    <row r="89" spans="1:13" x14ac:dyDescent="0.25">
      <c r="A89" t="s">
        <v>118</v>
      </c>
      <c r="B89" t="s">
        <v>26</v>
      </c>
      <c r="C89" s="6">
        <v>47</v>
      </c>
      <c r="D89" t="s">
        <v>15</v>
      </c>
      <c r="E89" t="s">
        <v>22</v>
      </c>
      <c r="F89" t="s">
        <v>17</v>
      </c>
      <c r="G89" s="6">
        <v>60</v>
      </c>
      <c r="H89" s="4">
        <v>43.52</v>
      </c>
      <c r="I89" t="s">
        <v>46</v>
      </c>
      <c r="J89" s="6">
        <v>1</v>
      </c>
      <c r="K89" s="6">
        <v>4</v>
      </c>
      <c r="L89" t="s">
        <v>24</v>
      </c>
      <c r="M89" s="2">
        <v>45400</v>
      </c>
    </row>
    <row r="90" spans="1:13" x14ac:dyDescent="0.25">
      <c r="A90" t="s">
        <v>119</v>
      </c>
      <c r="B90" t="s">
        <v>26</v>
      </c>
      <c r="C90" s="6">
        <v>58</v>
      </c>
      <c r="D90" t="s">
        <v>34</v>
      </c>
      <c r="E90" t="s">
        <v>22</v>
      </c>
      <c r="F90" t="s">
        <v>28</v>
      </c>
      <c r="G90" s="6">
        <v>59</v>
      </c>
      <c r="H90" s="4">
        <v>67.680000000000007</v>
      </c>
      <c r="I90" t="s">
        <v>46</v>
      </c>
      <c r="J90" s="6">
        <v>6</v>
      </c>
      <c r="K90" s="6">
        <v>4</v>
      </c>
      <c r="L90" t="s">
        <v>19</v>
      </c>
      <c r="M90" s="2">
        <v>44978</v>
      </c>
    </row>
    <row r="91" spans="1:13" x14ac:dyDescent="0.25">
      <c r="A91" t="s">
        <v>120</v>
      </c>
      <c r="B91" t="s">
        <v>26</v>
      </c>
      <c r="C91" s="6">
        <v>54</v>
      </c>
      <c r="D91" t="s">
        <v>15</v>
      </c>
      <c r="E91" t="s">
        <v>22</v>
      </c>
      <c r="F91" t="s">
        <v>28</v>
      </c>
      <c r="G91" s="6">
        <v>3</v>
      </c>
      <c r="H91" s="4">
        <v>69.67</v>
      </c>
      <c r="I91" t="s">
        <v>23</v>
      </c>
      <c r="J91" s="6">
        <v>4</v>
      </c>
      <c r="K91" s="6">
        <v>1</v>
      </c>
      <c r="L91" t="s">
        <v>24</v>
      </c>
      <c r="M91" s="2">
        <v>45601</v>
      </c>
    </row>
    <row r="92" spans="1:13" x14ac:dyDescent="0.25">
      <c r="A92" t="s">
        <v>121</v>
      </c>
      <c r="B92" t="s">
        <v>14</v>
      </c>
      <c r="C92" s="6">
        <v>56</v>
      </c>
      <c r="D92" t="s">
        <v>34</v>
      </c>
      <c r="E92" t="s">
        <v>35</v>
      </c>
      <c r="F92" t="s">
        <v>17</v>
      </c>
      <c r="G92" s="6">
        <v>46</v>
      </c>
      <c r="H92" s="4">
        <v>33.29</v>
      </c>
      <c r="I92" t="s">
        <v>46</v>
      </c>
      <c r="J92" s="6">
        <v>4</v>
      </c>
      <c r="K92" s="6">
        <v>2</v>
      </c>
      <c r="L92" t="s">
        <v>24</v>
      </c>
      <c r="M92" s="2">
        <v>45482</v>
      </c>
    </row>
    <row r="93" spans="1:13" x14ac:dyDescent="0.25">
      <c r="A93" t="s">
        <v>122</v>
      </c>
      <c r="B93" t="s">
        <v>14</v>
      </c>
      <c r="C93" s="6">
        <v>37</v>
      </c>
      <c r="D93" t="s">
        <v>34</v>
      </c>
      <c r="E93" t="s">
        <v>16</v>
      </c>
      <c r="F93" t="s">
        <v>38</v>
      </c>
      <c r="G93" s="6">
        <v>47</v>
      </c>
      <c r="H93" s="4">
        <v>95.99</v>
      </c>
      <c r="I93" t="s">
        <v>18</v>
      </c>
      <c r="J93" s="6">
        <v>4</v>
      </c>
      <c r="K93" s="6">
        <v>3</v>
      </c>
      <c r="L93" t="s">
        <v>24</v>
      </c>
      <c r="M93" s="2">
        <v>44556</v>
      </c>
    </row>
    <row r="94" spans="1:13" x14ac:dyDescent="0.25">
      <c r="A94" t="s">
        <v>123</v>
      </c>
      <c r="B94" t="s">
        <v>14</v>
      </c>
      <c r="C94" s="6">
        <v>26</v>
      </c>
      <c r="D94" t="s">
        <v>15</v>
      </c>
      <c r="E94" t="s">
        <v>22</v>
      </c>
      <c r="F94" t="s">
        <v>38</v>
      </c>
      <c r="G94" s="6">
        <v>35</v>
      </c>
      <c r="H94" s="4">
        <v>97.46</v>
      </c>
      <c r="I94" t="s">
        <v>31</v>
      </c>
      <c r="J94" s="6">
        <v>7</v>
      </c>
      <c r="K94" s="6">
        <v>3</v>
      </c>
      <c r="L94" t="s">
        <v>24</v>
      </c>
      <c r="M94" s="2">
        <v>44890</v>
      </c>
    </row>
    <row r="95" spans="1:13" x14ac:dyDescent="0.25">
      <c r="A95" t="s">
        <v>124</v>
      </c>
      <c r="B95" t="s">
        <v>14</v>
      </c>
      <c r="C95" s="6">
        <v>47</v>
      </c>
      <c r="D95" t="s">
        <v>21</v>
      </c>
      <c r="E95" t="s">
        <v>16</v>
      </c>
      <c r="F95" t="s">
        <v>17</v>
      </c>
      <c r="G95" s="6">
        <v>51</v>
      </c>
      <c r="H95" s="4">
        <v>44.51</v>
      </c>
      <c r="I95" t="s">
        <v>31</v>
      </c>
      <c r="J95" s="6">
        <v>1</v>
      </c>
      <c r="K95" s="6">
        <v>4</v>
      </c>
      <c r="L95" t="s">
        <v>19</v>
      </c>
      <c r="M95" s="2">
        <v>45295</v>
      </c>
    </row>
    <row r="96" spans="1:13" x14ac:dyDescent="0.25">
      <c r="A96" t="s">
        <v>125</v>
      </c>
      <c r="B96" t="s">
        <v>14</v>
      </c>
      <c r="C96" s="6">
        <v>47</v>
      </c>
      <c r="D96" t="s">
        <v>15</v>
      </c>
      <c r="E96" t="s">
        <v>22</v>
      </c>
      <c r="F96" t="s">
        <v>38</v>
      </c>
      <c r="G96" s="6">
        <v>34</v>
      </c>
      <c r="H96" s="4">
        <v>93.77</v>
      </c>
      <c r="I96" t="s">
        <v>31</v>
      </c>
      <c r="J96" s="6">
        <v>1</v>
      </c>
      <c r="K96" s="6">
        <v>2</v>
      </c>
      <c r="L96" t="s">
        <v>24</v>
      </c>
      <c r="M96" s="2">
        <v>45465</v>
      </c>
    </row>
    <row r="97" spans="1:13" x14ac:dyDescent="0.25">
      <c r="A97" t="s">
        <v>126</v>
      </c>
      <c r="B97" t="s">
        <v>26</v>
      </c>
      <c r="C97" s="6">
        <v>57</v>
      </c>
      <c r="D97" t="s">
        <v>30</v>
      </c>
      <c r="E97" t="s">
        <v>22</v>
      </c>
      <c r="F97" t="s">
        <v>17</v>
      </c>
      <c r="G97" s="6">
        <v>60</v>
      </c>
      <c r="H97" s="4">
        <v>43.64</v>
      </c>
      <c r="I97" t="s">
        <v>31</v>
      </c>
      <c r="J97" s="6">
        <v>6</v>
      </c>
      <c r="K97" s="6">
        <v>1</v>
      </c>
      <c r="L97" t="s">
        <v>19</v>
      </c>
      <c r="M97" s="2">
        <v>44273</v>
      </c>
    </row>
    <row r="98" spans="1:13" x14ac:dyDescent="0.25">
      <c r="A98" t="s">
        <v>127</v>
      </c>
      <c r="B98" t="s">
        <v>26</v>
      </c>
      <c r="C98" s="6">
        <v>49</v>
      </c>
      <c r="D98" t="s">
        <v>21</v>
      </c>
      <c r="E98" t="s">
        <v>16</v>
      </c>
      <c r="F98" t="s">
        <v>17</v>
      </c>
      <c r="G98" s="6">
        <v>69</v>
      </c>
      <c r="H98" s="4">
        <v>32.03</v>
      </c>
      <c r="I98" t="s">
        <v>23</v>
      </c>
      <c r="J98" s="6">
        <v>5</v>
      </c>
      <c r="K98" s="6">
        <v>5</v>
      </c>
      <c r="L98" t="s">
        <v>24</v>
      </c>
      <c r="M98" s="2">
        <v>45717</v>
      </c>
    </row>
    <row r="99" spans="1:13" x14ac:dyDescent="0.25">
      <c r="A99" t="s">
        <v>128</v>
      </c>
      <c r="B99" t="s">
        <v>14</v>
      </c>
      <c r="C99" s="6">
        <v>44</v>
      </c>
      <c r="D99" t="s">
        <v>21</v>
      </c>
      <c r="E99" t="s">
        <v>35</v>
      </c>
      <c r="F99" t="s">
        <v>38</v>
      </c>
      <c r="G99" s="6">
        <v>53</v>
      </c>
      <c r="H99" s="4">
        <v>99.09</v>
      </c>
      <c r="I99" t="s">
        <v>31</v>
      </c>
      <c r="J99" s="6">
        <v>0</v>
      </c>
      <c r="K99" s="6">
        <v>3</v>
      </c>
      <c r="L99" t="s">
        <v>24</v>
      </c>
      <c r="M99" s="2">
        <v>45107</v>
      </c>
    </row>
    <row r="100" spans="1:13" x14ac:dyDescent="0.25">
      <c r="A100" t="s">
        <v>129</v>
      </c>
      <c r="B100" t="s">
        <v>14</v>
      </c>
      <c r="C100" s="6">
        <v>41</v>
      </c>
      <c r="D100" t="s">
        <v>21</v>
      </c>
      <c r="E100" t="s">
        <v>22</v>
      </c>
      <c r="F100" t="s">
        <v>28</v>
      </c>
      <c r="G100" s="6">
        <v>70</v>
      </c>
      <c r="H100" s="4">
        <v>68.53</v>
      </c>
      <c r="I100" t="s">
        <v>31</v>
      </c>
      <c r="J100" s="6">
        <v>0</v>
      </c>
      <c r="K100" s="6">
        <v>4</v>
      </c>
      <c r="L100" t="s">
        <v>24</v>
      </c>
      <c r="M100" s="2">
        <v>44447</v>
      </c>
    </row>
    <row r="101" spans="1:13" x14ac:dyDescent="0.25">
      <c r="A101" t="s">
        <v>130</v>
      </c>
      <c r="B101" t="s">
        <v>26</v>
      </c>
      <c r="C101" s="6">
        <v>23</v>
      </c>
      <c r="D101" t="s">
        <v>30</v>
      </c>
      <c r="E101" t="s">
        <v>22</v>
      </c>
      <c r="F101" t="s">
        <v>38</v>
      </c>
      <c r="G101" s="6">
        <v>3</v>
      </c>
      <c r="H101" s="4">
        <v>85.76</v>
      </c>
      <c r="I101" t="s">
        <v>31</v>
      </c>
      <c r="J101" s="6">
        <v>3</v>
      </c>
      <c r="K101" s="6">
        <v>2</v>
      </c>
      <c r="L101" t="s">
        <v>24</v>
      </c>
      <c r="M101" s="2">
        <v>44617</v>
      </c>
    </row>
    <row r="102" spans="1:13" x14ac:dyDescent="0.25">
      <c r="A102" t="s">
        <v>131</v>
      </c>
      <c r="B102" t="s">
        <v>14</v>
      </c>
      <c r="C102" s="6">
        <v>66</v>
      </c>
      <c r="D102" t="s">
        <v>30</v>
      </c>
      <c r="E102" t="s">
        <v>22</v>
      </c>
      <c r="F102" t="s">
        <v>17</v>
      </c>
      <c r="G102" s="6">
        <v>30</v>
      </c>
      <c r="H102" s="4">
        <v>34.93</v>
      </c>
      <c r="I102" t="s">
        <v>46</v>
      </c>
      <c r="J102" s="6">
        <v>0</v>
      </c>
      <c r="K102" s="6">
        <v>3</v>
      </c>
      <c r="L102" t="s">
        <v>24</v>
      </c>
      <c r="M102" s="2">
        <v>44493</v>
      </c>
    </row>
    <row r="103" spans="1:13" x14ac:dyDescent="0.25">
      <c r="A103" t="s">
        <v>132</v>
      </c>
      <c r="B103" t="s">
        <v>14</v>
      </c>
      <c r="C103" s="6">
        <v>52</v>
      </c>
      <c r="D103" t="s">
        <v>15</v>
      </c>
      <c r="E103" t="s">
        <v>16</v>
      </c>
      <c r="F103" t="s">
        <v>17</v>
      </c>
      <c r="G103" s="6">
        <v>4</v>
      </c>
      <c r="H103" s="4">
        <v>31.98</v>
      </c>
      <c r="I103" t="s">
        <v>31</v>
      </c>
      <c r="J103" s="6">
        <v>3</v>
      </c>
      <c r="K103" s="6">
        <v>5</v>
      </c>
      <c r="L103" t="s">
        <v>24</v>
      </c>
      <c r="M103" s="2">
        <v>44553</v>
      </c>
    </row>
    <row r="104" spans="1:13" x14ac:dyDescent="0.25">
      <c r="A104" t="s">
        <v>133</v>
      </c>
      <c r="B104" t="s">
        <v>26</v>
      </c>
      <c r="C104" s="6">
        <v>21</v>
      </c>
      <c r="D104" t="s">
        <v>30</v>
      </c>
      <c r="E104" t="s">
        <v>22</v>
      </c>
      <c r="F104" t="s">
        <v>28</v>
      </c>
      <c r="G104" s="6">
        <v>68</v>
      </c>
      <c r="H104" s="4">
        <v>56.7</v>
      </c>
      <c r="I104" t="s">
        <v>18</v>
      </c>
      <c r="J104" s="6">
        <v>7</v>
      </c>
      <c r="K104" s="6">
        <v>4</v>
      </c>
      <c r="L104" t="s">
        <v>24</v>
      </c>
      <c r="M104" s="2">
        <v>45248</v>
      </c>
    </row>
    <row r="105" spans="1:13" x14ac:dyDescent="0.25">
      <c r="A105" t="s">
        <v>134</v>
      </c>
      <c r="B105" t="s">
        <v>14</v>
      </c>
      <c r="C105" s="6">
        <v>46</v>
      </c>
      <c r="D105" t="s">
        <v>30</v>
      </c>
      <c r="E105" t="s">
        <v>22</v>
      </c>
      <c r="F105" t="s">
        <v>17</v>
      </c>
      <c r="G105" s="6">
        <v>67</v>
      </c>
      <c r="H105" s="4">
        <v>34.520000000000003</v>
      </c>
      <c r="I105" t="s">
        <v>18</v>
      </c>
      <c r="J105" s="6">
        <v>0</v>
      </c>
      <c r="K105" s="6">
        <v>4</v>
      </c>
      <c r="L105" t="s">
        <v>24</v>
      </c>
      <c r="M105" s="2">
        <v>45070</v>
      </c>
    </row>
    <row r="106" spans="1:13" x14ac:dyDescent="0.25">
      <c r="A106" t="s">
        <v>135</v>
      </c>
      <c r="B106" t="s">
        <v>14</v>
      </c>
      <c r="C106" s="6">
        <v>49</v>
      </c>
      <c r="D106" t="s">
        <v>34</v>
      </c>
      <c r="E106" t="s">
        <v>16</v>
      </c>
      <c r="F106" t="s">
        <v>17</v>
      </c>
      <c r="G106" s="6">
        <v>42</v>
      </c>
      <c r="H106" s="4">
        <v>39.119999999999997</v>
      </c>
      <c r="I106" t="s">
        <v>18</v>
      </c>
      <c r="J106" s="6">
        <v>2</v>
      </c>
      <c r="K106" s="6">
        <v>3</v>
      </c>
      <c r="L106" t="s">
        <v>24</v>
      </c>
      <c r="M106" s="2">
        <v>45395</v>
      </c>
    </row>
    <row r="107" spans="1:13" x14ac:dyDescent="0.25">
      <c r="A107" t="s">
        <v>136</v>
      </c>
      <c r="B107" t="s">
        <v>26</v>
      </c>
      <c r="C107" s="6">
        <v>42</v>
      </c>
      <c r="D107" t="s">
        <v>15</v>
      </c>
      <c r="E107" t="s">
        <v>35</v>
      </c>
      <c r="F107" t="s">
        <v>38</v>
      </c>
      <c r="G107" s="6">
        <v>56</v>
      </c>
      <c r="H107" s="4">
        <v>86.49</v>
      </c>
      <c r="I107" t="s">
        <v>18</v>
      </c>
      <c r="J107" s="6">
        <v>8</v>
      </c>
      <c r="K107" s="6">
        <v>2</v>
      </c>
      <c r="L107" t="s">
        <v>24</v>
      </c>
      <c r="M107" s="2">
        <v>44664</v>
      </c>
    </row>
    <row r="108" spans="1:13" x14ac:dyDescent="0.25">
      <c r="A108" t="s">
        <v>137</v>
      </c>
      <c r="B108" t="s">
        <v>26</v>
      </c>
      <c r="C108" s="6">
        <v>39</v>
      </c>
      <c r="D108" t="s">
        <v>34</v>
      </c>
      <c r="E108" t="s">
        <v>35</v>
      </c>
      <c r="F108" t="s">
        <v>28</v>
      </c>
      <c r="G108" s="6">
        <v>13</v>
      </c>
      <c r="H108" s="4">
        <v>59.69</v>
      </c>
      <c r="I108" t="s">
        <v>31</v>
      </c>
      <c r="J108" s="6">
        <v>4</v>
      </c>
      <c r="K108" s="6">
        <v>3</v>
      </c>
      <c r="L108" t="s">
        <v>24</v>
      </c>
      <c r="M108" s="2">
        <v>45603</v>
      </c>
    </row>
    <row r="109" spans="1:13" x14ac:dyDescent="0.25">
      <c r="A109" t="s">
        <v>138</v>
      </c>
      <c r="B109" t="s">
        <v>26</v>
      </c>
      <c r="C109" s="6">
        <v>22</v>
      </c>
      <c r="D109" t="s">
        <v>21</v>
      </c>
      <c r="E109" t="s">
        <v>16</v>
      </c>
      <c r="F109" t="s">
        <v>17</v>
      </c>
      <c r="G109" s="6">
        <v>56</v>
      </c>
      <c r="H109" s="4">
        <v>31.45</v>
      </c>
      <c r="I109" t="s">
        <v>31</v>
      </c>
      <c r="J109" s="6">
        <v>2</v>
      </c>
      <c r="K109" s="6">
        <v>5</v>
      </c>
      <c r="L109" t="s">
        <v>19</v>
      </c>
      <c r="M109" s="2">
        <v>45347</v>
      </c>
    </row>
    <row r="110" spans="1:13" x14ac:dyDescent="0.25">
      <c r="A110" t="s">
        <v>139</v>
      </c>
      <c r="B110" t="s">
        <v>26</v>
      </c>
      <c r="C110" s="6">
        <v>60</v>
      </c>
      <c r="D110" t="s">
        <v>21</v>
      </c>
      <c r="E110" t="s">
        <v>35</v>
      </c>
      <c r="F110" t="s">
        <v>28</v>
      </c>
      <c r="G110" s="6">
        <v>55</v>
      </c>
      <c r="H110" s="4">
        <v>68.02</v>
      </c>
      <c r="I110" t="s">
        <v>18</v>
      </c>
      <c r="J110" s="6">
        <v>4</v>
      </c>
      <c r="K110" s="6">
        <v>5</v>
      </c>
      <c r="L110" t="s">
        <v>24</v>
      </c>
      <c r="M110" s="2">
        <v>44409</v>
      </c>
    </row>
    <row r="111" spans="1:13" x14ac:dyDescent="0.25">
      <c r="A111" t="s">
        <v>140</v>
      </c>
      <c r="B111" t="s">
        <v>14</v>
      </c>
      <c r="C111" s="6">
        <v>27</v>
      </c>
      <c r="D111" t="s">
        <v>34</v>
      </c>
      <c r="E111" t="s">
        <v>16</v>
      </c>
      <c r="F111" t="s">
        <v>17</v>
      </c>
      <c r="G111" s="6">
        <v>45</v>
      </c>
      <c r="H111" s="4">
        <v>42.68</v>
      </c>
      <c r="I111" t="s">
        <v>31</v>
      </c>
      <c r="J111" s="6">
        <v>1</v>
      </c>
      <c r="K111" s="6">
        <v>3</v>
      </c>
      <c r="L111" t="s">
        <v>24</v>
      </c>
      <c r="M111" s="2">
        <v>45850</v>
      </c>
    </row>
    <row r="112" spans="1:13" x14ac:dyDescent="0.25">
      <c r="A112" t="s">
        <v>141</v>
      </c>
      <c r="B112" t="s">
        <v>26</v>
      </c>
      <c r="C112" s="6">
        <v>53</v>
      </c>
      <c r="D112" t="s">
        <v>21</v>
      </c>
      <c r="E112" t="s">
        <v>22</v>
      </c>
      <c r="F112" t="s">
        <v>38</v>
      </c>
      <c r="G112" s="6">
        <v>35</v>
      </c>
      <c r="H112" s="4">
        <v>85.43</v>
      </c>
      <c r="I112" t="s">
        <v>31</v>
      </c>
      <c r="J112" s="6">
        <v>4</v>
      </c>
      <c r="K112" s="6">
        <v>3</v>
      </c>
      <c r="L112" t="s">
        <v>24</v>
      </c>
      <c r="M112" s="2">
        <v>44568</v>
      </c>
    </row>
    <row r="113" spans="1:13" x14ac:dyDescent="0.25">
      <c r="A113" t="s">
        <v>142</v>
      </c>
      <c r="B113" t="s">
        <v>14</v>
      </c>
      <c r="C113" s="6">
        <v>54</v>
      </c>
      <c r="D113" t="s">
        <v>34</v>
      </c>
      <c r="E113" t="s">
        <v>16</v>
      </c>
      <c r="F113" t="s">
        <v>17</v>
      </c>
      <c r="G113" s="6">
        <v>4</v>
      </c>
      <c r="H113" s="4">
        <v>31.38</v>
      </c>
      <c r="I113" t="s">
        <v>46</v>
      </c>
      <c r="J113" s="6">
        <v>6</v>
      </c>
      <c r="K113" s="6">
        <v>4</v>
      </c>
      <c r="L113" t="s">
        <v>24</v>
      </c>
      <c r="M113" s="2">
        <v>44519</v>
      </c>
    </row>
    <row r="114" spans="1:13" x14ac:dyDescent="0.25">
      <c r="A114" t="s">
        <v>143</v>
      </c>
      <c r="B114" t="s">
        <v>26</v>
      </c>
      <c r="C114" s="6">
        <v>37</v>
      </c>
      <c r="D114" t="s">
        <v>15</v>
      </c>
      <c r="E114" t="s">
        <v>22</v>
      </c>
      <c r="F114" t="s">
        <v>38</v>
      </c>
      <c r="G114" s="6">
        <v>11</v>
      </c>
      <c r="H114" s="4">
        <v>98.25</v>
      </c>
      <c r="I114" t="s">
        <v>46</v>
      </c>
      <c r="J114" s="6">
        <v>2</v>
      </c>
      <c r="K114" s="6">
        <v>5</v>
      </c>
      <c r="L114" t="s">
        <v>19</v>
      </c>
      <c r="M114" s="2">
        <v>44364</v>
      </c>
    </row>
    <row r="115" spans="1:13" x14ac:dyDescent="0.25">
      <c r="A115" t="s">
        <v>144</v>
      </c>
      <c r="B115" t="s">
        <v>26</v>
      </c>
      <c r="C115" s="6">
        <v>46</v>
      </c>
      <c r="D115" t="s">
        <v>34</v>
      </c>
      <c r="E115" t="s">
        <v>35</v>
      </c>
      <c r="F115" t="s">
        <v>38</v>
      </c>
      <c r="G115" s="6">
        <v>57</v>
      </c>
      <c r="H115" s="4">
        <v>91.21</v>
      </c>
      <c r="I115" t="s">
        <v>46</v>
      </c>
      <c r="J115" s="6">
        <v>8</v>
      </c>
      <c r="K115" s="6">
        <v>1</v>
      </c>
      <c r="L115" t="s">
        <v>24</v>
      </c>
      <c r="M115" s="2">
        <v>44424</v>
      </c>
    </row>
    <row r="116" spans="1:13" x14ac:dyDescent="0.25">
      <c r="A116" t="s">
        <v>145</v>
      </c>
      <c r="B116" t="s">
        <v>26</v>
      </c>
      <c r="C116" s="6">
        <v>61</v>
      </c>
      <c r="D116" t="s">
        <v>34</v>
      </c>
      <c r="E116" t="s">
        <v>22</v>
      </c>
      <c r="F116" t="s">
        <v>38</v>
      </c>
      <c r="G116" s="6">
        <v>40</v>
      </c>
      <c r="H116" s="4">
        <v>85.68</v>
      </c>
      <c r="I116" t="s">
        <v>23</v>
      </c>
      <c r="J116" s="6">
        <v>0</v>
      </c>
      <c r="K116" s="6">
        <v>1</v>
      </c>
      <c r="L116" t="s">
        <v>24</v>
      </c>
      <c r="M116" s="2">
        <v>44629</v>
      </c>
    </row>
    <row r="117" spans="1:13" x14ac:dyDescent="0.25">
      <c r="A117" t="s">
        <v>146</v>
      </c>
      <c r="B117" t="s">
        <v>14</v>
      </c>
      <c r="C117" s="6">
        <v>66</v>
      </c>
      <c r="D117" t="s">
        <v>15</v>
      </c>
      <c r="E117" t="s">
        <v>35</v>
      </c>
      <c r="F117" t="s">
        <v>28</v>
      </c>
      <c r="G117" s="6">
        <v>16</v>
      </c>
      <c r="H117" s="4">
        <v>55.12</v>
      </c>
      <c r="I117" t="s">
        <v>23</v>
      </c>
      <c r="J117" s="6">
        <v>2</v>
      </c>
      <c r="K117" s="6">
        <v>2</v>
      </c>
      <c r="L117" t="s">
        <v>24</v>
      </c>
      <c r="M117" s="2">
        <v>45638</v>
      </c>
    </row>
    <row r="118" spans="1:13" x14ac:dyDescent="0.25">
      <c r="A118" t="s">
        <v>147</v>
      </c>
      <c r="B118" t="s">
        <v>14</v>
      </c>
      <c r="C118" s="6">
        <v>50</v>
      </c>
      <c r="D118" t="s">
        <v>15</v>
      </c>
      <c r="E118" t="s">
        <v>16</v>
      </c>
      <c r="F118" t="s">
        <v>28</v>
      </c>
      <c r="G118" s="6">
        <v>6</v>
      </c>
      <c r="H118" s="4">
        <v>61.54</v>
      </c>
      <c r="I118" t="s">
        <v>23</v>
      </c>
      <c r="J118" s="6">
        <v>1</v>
      </c>
      <c r="K118" s="6">
        <v>3</v>
      </c>
      <c r="L118" t="s">
        <v>24</v>
      </c>
      <c r="M118" s="2">
        <v>45371</v>
      </c>
    </row>
    <row r="119" spans="1:13" x14ac:dyDescent="0.25">
      <c r="A119" t="s">
        <v>148</v>
      </c>
      <c r="B119" t="s">
        <v>26</v>
      </c>
      <c r="C119" s="6">
        <v>63</v>
      </c>
      <c r="D119" t="s">
        <v>34</v>
      </c>
      <c r="E119" t="s">
        <v>35</v>
      </c>
      <c r="F119" t="s">
        <v>17</v>
      </c>
      <c r="G119" s="6">
        <v>52</v>
      </c>
      <c r="H119" s="4">
        <v>30.31</v>
      </c>
      <c r="I119" t="s">
        <v>31</v>
      </c>
      <c r="J119" s="6">
        <v>2</v>
      </c>
      <c r="K119" s="6">
        <v>5</v>
      </c>
      <c r="L119" t="s">
        <v>24</v>
      </c>
      <c r="M119" s="2">
        <v>45609</v>
      </c>
    </row>
    <row r="120" spans="1:13" x14ac:dyDescent="0.25">
      <c r="A120" t="s">
        <v>149</v>
      </c>
      <c r="B120" t="s">
        <v>26</v>
      </c>
      <c r="C120" s="6">
        <v>23</v>
      </c>
      <c r="D120" t="s">
        <v>34</v>
      </c>
      <c r="E120" t="s">
        <v>16</v>
      </c>
      <c r="F120" t="s">
        <v>17</v>
      </c>
      <c r="G120" s="6">
        <v>56</v>
      </c>
      <c r="H120" s="4">
        <v>38.83</v>
      </c>
      <c r="I120" t="s">
        <v>18</v>
      </c>
      <c r="J120" s="6">
        <v>6</v>
      </c>
      <c r="K120" s="6">
        <v>3</v>
      </c>
      <c r="L120" t="s">
        <v>24</v>
      </c>
      <c r="M120" s="2">
        <v>44650</v>
      </c>
    </row>
    <row r="121" spans="1:13" x14ac:dyDescent="0.25">
      <c r="A121" t="s">
        <v>150</v>
      </c>
      <c r="B121" t="s">
        <v>26</v>
      </c>
      <c r="C121" s="6">
        <v>67</v>
      </c>
      <c r="D121" t="s">
        <v>30</v>
      </c>
      <c r="E121" t="s">
        <v>16</v>
      </c>
      <c r="F121" t="s">
        <v>38</v>
      </c>
      <c r="G121" s="6">
        <v>15</v>
      </c>
      <c r="H121" s="4">
        <v>92.96</v>
      </c>
      <c r="I121" t="s">
        <v>46</v>
      </c>
      <c r="J121" s="6">
        <v>5</v>
      </c>
      <c r="K121" s="6">
        <v>3</v>
      </c>
      <c r="L121" t="s">
        <v>24</v>
      </c>
      <c r="M121" s="2">
        <v>45874</v>
      </c>
    </row>
    <row r="122" spans="1:13" x14ac:dyDescent="0.25">
      <c r="A122" t="s">
        <v>151</v>
      </c>
      <c r="B122" t="s">
        <v>14</v>
      </c>
      <c r="C122" s="6">
        <v>33</v>
      </c>
      <c r="D122" t="s">
        <v>21</v>
      </c>
      <c r="E122" t="s">
        <v>16</v>
      </c>
      <c r="F122" t="s">
        <v>28</v>
      </c>
      <c r="G122" s="6">
        <v>26</v>
      </c>
      <c r="H122" s="4">
        <v>57.6</v>
      </c>
      <c r="I122" t="s">
        <v>46</v>
      </c>
      <c r="J122" s="6">
        <v>1</v>
      </c>
      <c r="K122" s="6">
        <v>2</v>
      </c>
      <c r="L122" t="s">
        <v>24</v>
      </c>
      <c r="M122" s="2">
        <v>45483</v>
      </c>
    </row>
    <row r="123" spans="1:13" x14ac:dyDescent="0.25">
      <c r="A123" t="s">
        <v>152</v>
      </c>
      <c r="B123" t="s">
        <v>26</v>
      </c>
      <c r="C123" s="6">
        <v>47</v>
      </c>
      <c r="D123" t="s">
        <v>34</v>
      </c>
      <c r="E123" t="s">
        <v>22</v>
      </c>
      <c r="F123" t="s">
        <v>38</v>
      </c>
      <c r="G123" s="6">
        <v>42</v>
      </c>
      <c r="H123" s="4">
        <v>97.96</v>
      </c>
      <c r="I123" t="s">
        <v>31</v>
      </c>
      <c r="J123" s="6">
        <v>2</v>
      </c>
      <c r="K123" s="6">
        <v>4</v>
      </c>
      <c r="L123" t="s">
        <v>19</v>
      </c>
      <c r="M123" s="2">
        <v>45102</v>
      </c>
    </row>
    <row r="124" spans="1:13" x14ac:dyDescent="0.25">
      <c r="A124" t="s">
        <v>153</v>
      </c>
      <c r="B124" t="s">
        <v>26</v>
      </c>
      <c r="C124" s="6">
        <v>68</v>
      </c>
      <c r="D124" t="s">
        <v>15</v>
      </c>
      <c r="E124" t="s">
        <v>22</v>
      </c>
      <c r="F124" t="s">
        <v>17</v>
      </c>
      <c r="G124" s="6">
        <v>46</v>
      </c>
      <c r="H124" s="4">
        <v>37.61</v>
      </c>
      <c r="I124" t="s">
        <v>31</v>
      </c>
      <c r="J124" s="6">
        <v>7</v>
      </c>
      <c r="K124" s="6">
        <v>4</v>
      </c>
      <c r="L124" t="s">
        <v>19</v>
      </c>
      <c r="M124" s="2">
        <v>44952</v>
      </c>
    </row>
    <row r="125" spans="1:13" x14ac:dyDescent="0.25">
      <c r="A125" t="s">
        <v>154</v>
      </c>
      <c r="B125" t="s">
        <v>26</v>
      </c>
      <c r="C125" s="6">
        <v>22</v>
      </c>
      <c r="D125" t="s">
        <v>21</v>
      </c>
      <c r="E125" t="s">
        <v>22</v>
      </c>
      <c r="F125" t="s">
        <v>38</v>
      </c>
      <c r="G125" s="6">
        <v>65</v>
      </c>
      <c r="H125" s="4">
        <v>90.77</v>
      </c>
      <c r="I125" t="s">
        <v>18</v>
      </c>
      <c r="J125" s="6">
        <v>7</v>
      </c>
      <c r="K125" s="6">
        <v>5</v>
      </c>
      <c r="L125" t="s">
        <v>24</v>
      </c>
      <c r="M125" s="2">
        <v>44855</v>
      </c>
    </row>
    <row r="126" spans="1:13" x14ac:dyDescent="0.25">
      <c r="A126" t="s">
        <v>155</v>
      </c>
      <c r="B126" t="s">
        <v>26</v>
      </c>
      <c r="C126" s="6">
        <v>50</v>
      </c>
      <c r="D126" t="s">
        <v>30</v>
      </c>
      <c r="E126" t="s">
        <v>16</v>
      </c>
      <c r="F126" t="s">
        <v>28</v>
      </c>
      <c r="G126" s="6">
        <v>14</v>
      </c>
      <c r="H126" s="4">
        <v>67.16</v>
      </c>
      <c r="I126" t="s">
        <v>31</v>
      </c>
      <c r="J126" s="6">
        <v>1</v>
      </c>
      <c r="K126" s="6">
        <v>5</v>
      </c>
      <c r="L126" t="s">
        <v>24</v>
      </c>
      <c r="M126" s="2">
        <v>44277</v>
      </c>
    </row>
    <row r="127" spans="1:13" x14ac:dyDescent="0.25">
      <c r="A127" t="s">
        <v>156</v>
      </c>
      <c r="B127" t="s">
        <v>14</v>
      </c>
      <c r="C127" s="6">
        <v>63</v>
      </c>
      <c r="D127" t="s">
        <v>34</v>
      </c>
      <c r="E127" t="s">
        <v>35</v>
      </c>
      <c r="F127" t="s">
        <v>38</v>
      </c>
      <c r="G127" s="6">
        <v>67</v>
      </c>
      <c r="H127" s="4">
        <v>94.15</v>
      </c>
      <c r="I127" t="s">
        <v>31</v>
      </c>
      <c r="J127" s="6">
        <v>5</v>
      </c>
      <c r="K127" s="6">
        <v>3</v>
      </c>
      <c r="L127" t="s">
        <v>24</v>
      </c>
      <c r="M127" s="2">
        <v>45783</v>
      </c>
    </row>
    <row r="128" spans="1:13" x14ac:dyDescent="0.25">
      <c r="A128" t="s">
        <v>157</v>
      </c>
      <c r="B128" t="s">
        <v>26</v>
      </c>
      <c r="C128" s="6">
        <v>61</v>
      </c>
      <c r="D128" t="s">
        <v>21</v>
      </c>
      <c r="E128" t="s">
        <v>22</v>
      </c>
      <c r="F128" t="s">
        <v>38</v>
      </c>
      <c r="G128" s="6">
        <v>43</v>
      </c>
      <c r="H128" s="4">
        <v>85.99</v>
      </c>
      <c r="I128" t="s">
        <v>18</v>
      </c>
      <c r="J128" s="6">
        <v>8</v>
      </c>
      <c r="K128" s="6">
        <v>4</v>
      </c>
      <c r="L128" t="s">
        <v>24</v>
      </c>
      <c r="M128" s="2">
        <v>45679</v>
      </c>
    </row>
    <row r="129" spans="1:13" x14ac:dyDescent="0.25">
      <c r="A129" t="s">
        <v>158</v>
      </c>
      <c r="B129" t="s">
        <v>14</v>
      </c>
      <c r="C129" s="6">
        <v>39</v>
      </c>
      <c r="D129" t="s">
        <v>21</v>
      </c>
      <c r="E129" t="s">
        <v>22</v>
      </c>
      <c r="F129" t="s">
        <v>38</v>
      </c>
      <c r="G129" s="6">
        <v>19</v>
      </c>
      <c r="H129" s="4">
        <v>98.75</v>
      </c>
      <c r="I129" t="s">
        <v>31</v>
      </c>
      <c r="J129" s="6">
        <v>6</v>
      </c>
      <c r="K129" s="6">
        <v>2</v>
      </c>
      <c r="L129" t="s">
        <v>24</v>
      </c>
      <c r="M129" s="2">
        <v>44370</v>
      </c>
    </row>
    <row r="130" spans="1:13" x14ac:dyDescent="0.25">
      <c r="A130" t="s">
        <v>159</v>
      </c>
      <c r="B130" t="s">
        <v>26</v>
      </c>
      <c r="C130" s="6">
        <v>53</v>
      </c>
      <c r="D130" t="s">
        <v>34</v>
      </c>
      <c r="E130" t="s">
        <v>22</v>
      </c>
      <c r="F130" t="s">
        <v>28</v>
      </c>
      <c r="G130" s="6">
        <v>17</v>
      </c>
      <c r="H130" s="4">
        <v>65.05</v>
      </c>
      <c r="I130" t="s">
        <v>18</v>
      </c>
      <c r="J130" s="6">
        <v>6</v>
      </c>
      <c r="K130" s="6">
        <v>5</v>
      </c>
      <c r="L130" t="s">
        <v>24</v>
      </c>
      <c r="M130" s="2">
        <v>44939</v>
      </c>
    </row>
    <row r="131" spans="1:13" x14ac:dyDescent="0.25">
      <c r="A131" t="s">
        <v>160</v>
      </c>
      <c r="B131" t="s">
        <v>26</v>
      </c>
      <c r="C131" s="6">
        <v>29</v>
      </c>
      <c r="D131" t="s">
        <v>30</v>
      </c>
      <c r="E131" t="s">
        <v>35</v>
      </c>
      <c r="F131" t="s">
        <v>28</v>
      </c>
      <c r="G131" s="6">
        <v>25</v>
      </c>
      <c r="H131" s="4">
        <v>58.4</v>
      </c>
      <c r="I131" t="s">
        <v>46</v>
      </c>
      <c r="J131" s="6">
        <v>2</v>
      </c>
      <c r="K131" s="6">
        <v>1</v>
      </c>
      <c r="L131" t="s">
        <v>24</v>
      </c>
      <c r="M131" s="2">
        <v>45811</v>
      </c>
    </row>
    <row r="132" spans="1:13" x14ac:dyDescent="0.25">
      <c r="A132" t="s">
        <v>161</v>
      </c>
      <c r="B132" t="s">
        <v>14</v>
      </c>
      <c r="C132" s="6">
        <v>50</v>
      </c>
      <c r="D132" t="s">
        <v>21</v>
      </c>
      <c r="E132" t="s">
        <v>22</v>
      </c>
      <c r="F132" t="s">
        <v>28</v>
      </c>
      <c r="G132" s="6">
        <v>17</v>
      </c>
      <c r="H132" s="4">
        <v>63.96</v>
      </c>
      <c r="I132" t="s">
        <v>46</v>
      </c>
      <c r="J132" s="6">
        <v>2</v>
      </c>
      <c r="K132" s="6">
        <v>2</v>
      </c>
      <c r="L132" t="s">
        <v>24</v>
      </c>
      <c r="M132" s="2">
        <v>45776</v>
      </c>
    </row>
    <row r="133" spans="1:13" x14ac:dyDescent="0.25">
      <c r="A133" t="s">
        <v>162</v>
      </c>
      <c r="B133" t="s">
        <v>14</v>
      </c>
      <c r="C133" s="6">
        <v>64</v>
      </c>
      <c r="D133" t="s">
        <v>34</v>
      </c>
      <c r="E133" t="s">
        <v>16</v>
      </c>
      <c r="F133" t="s">
        <v>28</v>
      </c>
      <c r="G133" s="6">
        <v>47</v>
      </c>
      <c r="H133" s="4">
        <v>65.150000000000006</v>
      </c>
      <c r="I133" t="s">
        <v>46</v>
      </c>
      <c r="J133" s="6">
        <v>7</v>
      </c>
      <c r="K133" s="6">
        <v>5</v>
      </c>
      <c r="L133" t="s">
        <v>24</v>
      </c>
      <c r="M133" s="2">
        <v>45730</v>
      </c>
    </row>
    <row r="134" spans="1:13" x14ac:dyDescent="0.25">
      <c r="A134" t="s">
        <v>163</v>
      </c>
      <c r="B134" t="s">
        <v>26</v>
      </c>
      <c r="C134" s="6">
        <v>32</v>
      </c>
      <c r="D134" t="s">
        <v>30</v>
      </c>
      <c r="E134" t="s">
        <v>35</v>
      </c>
      <c r="F134" t="s">
        <v>28</v>
      </c>
      <c r="G134" s="6">
        <v>25</v>
      </c>
      <c r="H134" s="4">
        <v>60.52</v>
      </c>
      <c r="I134" t="s">
        <v>23</v>
      </c>
      <c r="J134" s="6">
        <v>7</v>
      </c>
      <c r="K134" s="6">
        <v>3</v>
      </c>
      <c r="L134" t="s">
        <v>24</v>
      </c>
      <c r="M134" s="2">
        <v>45226</v>
      </c>
    </row>
    <row r="135" spans="1:13" x14ac:dyDescent="0.25">
      <c r="A135" t="s">
        <v>164</v>
      </c>
      <c r="B135" t="s">
        <v>26</v>
      </c>
      <c r="C135" s="6">
        <v>28</v>
      </c>
      <c r="D135" t="s">
        <v>30</v>
      </c>
      <c r="E135" t="s">
        <v>22</v>
      </c>
      <c r="F135" t="s">
        <v>17</v>
      </c>
      <c r="G135" s="6">
        <v>33</v>
      </c>
      <c r="H135" s="4">
        <v>30.78</v>
      </c>
      <c r="I135" t="s">
        <v>23</v>
      </c>
      <c r="J135" s="6">
        <v>5</v>
      </c>
      <c r="K135" s="6">
        <v>5</v>
      </c>
      <c r="L135" t="s">
        <v>24</v>
      </c>
      <c r="M135" s="2">
        <v>45653</v>
      </c>
    </row>
    <row r="136" spans="1:13" x14ac:dyDescent="0.25">
      <c r="A136" t="s">
        <v>165</v>
      </c>
      <c r="B136" t="s">
        <v>14</v>
      </c>
      <c r="C136" s="6">
        <v>36</v>
      </c>
      <c r="D136" t="s">
        <v>21</v>
      </c>
      <c r="E136" t="s">
        <v>16</v>
      </c>
      <c r="F136" t="s">
        <v>28</v>
      </c>
      <c r="G136" s="6">
        <v>58</v>
      </c>
      <c r="H136" s="4">
        <v>68.58</v>
      </c>
      <c r="I136" t="s">
        <v>46</v>
      </c>
      <c r="J136" s="6">
        <v>6</v>
      </c>
      <c r="K136" s="6">
        <v>1</v>
      </c>
      <c r="L136" t="s">
        <v>24</v>
      </c>
      <c r="M136" s="2">
        <v>44651</v>
      </c>
    </row>
    <row r="137" spans="1:13" x14ac:dyDescent="0.25">
      <c r="A137" t="s">
        <v>166</v>
      </c>
      <c r="B137" t="s">
        <v>26</v>
      </c>
      <c r="C137" s="6">
        <v>40</v>
      </c>
      <c r="D137" t="s">
        <v>21</v>
      </c>
      <c r="E137" t="s">
        <v>35</v>
      </c>
      <c r="F137" t="s">
        <v>17</v>
      </c>
      <c r="G137" s="6">
        <v>51</v>
      </c>
      <c r="H137" s="4">
        <v>37.53</v>
      </c>
      <c r="I137" t="s">
        <v>46</v>
      </c>
      <c r="J137" s="6">
        <v>6</v>
      </c>
      <c r="K137" s="6">
        <v>1</v>
      </c>
      <c r="L137" t="s">
        <v>24</v>
      </c>
      <c r="M137" s="2">
        <v>44254</v>
      </c>
    </row>
    <row r="138" spans="1:13" x14ac:dyDescent="0.25">
      <c r="A138" t="s">
        <v>167</v>
      </c>
      <c r="B138" t="s">
        <v>26</v>
      </c>
      <c r="C138" s="6">
        <v>24</v>
      </c>
      <c r="D138" t="s">
        <v>15</v>
      </c>
      <c r="E138" t="s">
        <v>16</v>
      </c>
      <c r="F138" t="s">
        <v>17</v>
      </c>
      <c r="G138" s="6">
        <v>5</v>
      </c>
      <c r="H138" s="4">
        <v>34.299999999999997</v>
      </c>
      <c r="I138" t="s">
        <v>23</v>
      </c>
      <c r="J138" s="6">
        <v>2</v>
      </c>
      <c r="K138" s="6">
        <v>4</v>
      </c>
      <c r="L138" t="s">
        <v>24</v>
      </c>
      <c r="M138" s="2">
        <v>44207</v>
      </c>
    </row>
    <row r="139" spans="1:13" x14ac:dyDescent="0.25">
      <c r="A139" t="s">
        <v>168</v>
      </c>
      <c r="B139" t="s">
        <v>14</v>
      </c>
      <c r="C139" s="6">
        <v>19</v>
      </c>
      <c r="D139" t="s">
        <v>15</v>
      </c>
      <c r="E139" t="s">
        <v>16</v>
      </c>
      <c r="F139" t="s">
        <v>17</v>
      </c>
      <c r="G139" s="6">
        <v>71</v>
      </c>
      <c r="H139" s="4">
        <v>44.1</v>
      </c>
      <c r="I139" t="s">
        <v>23</v>
      </c>
      <c r="J139" s="6">
        <v>1</v>
      </c>
      <c r="K139" s="6">
        <v>3</v>
      </c>
      <c r="L139" t="s">
        <v>24</v>
      </c>
      <c r="M139" s="2">
        <v>44446</v>
      </c>
    </row>
    <row r="140" spans="1:13" x14ac:dyDescent="0.25">
      <c r="A140" t="s">
        <v>169</v>
      </c>
      <c r="B140" t="s">
        <v>14</v>
      </c>
      <c r="C140" s="6">
        <v>33</v>
      </c>
      <c r="D140" t="s">
        <v>34</v>
      </c>
      <c r="E140" t="s">
        <v>22</v>
      </c>
      <c r="F140" t="s">
        <v>38</v>
      </c>
      <c r="G140" s="6">
        <v>59</v>
      </c>
      <c r="H140" s="4">
        <v>85.94</v>
      </c>
      <c r="I140" t="s">
        <v>23</v>
      </c>
      <c r="J140" s="6">
        <v>8</v>
      </c>
      <c r="K140" s="6">
        <v>1</v>
      </c>
      <c r="L140" t="s">
        <v>24</v>
      </c>
      <c r="M140" s="2">
        <v>45374</v>
      </c>
    </row>
    <row r="141" spans="1:13" x14ac:dyDescent="0.25">
      <c r="A141" t="s">
        <v>170</v>
      </c>
      <c r="B141" t="s">
        <v>14</v>
      </c>
      <c r="C141" s="6">
        <v>63</v>
      </c>
      <c r="D141" t="s">
        <v>30</v>
      </c>
      <c r="E141" t="s">
        <v>35</v>
      </c>
      <c r="F141" t="s">
        <v>28</v>
      </c>
      <c r="G141" s="6">
        <v>1</v>
      </c>
      <c r="H141" s="4">
        <v>64.22</v>
      </c>
      <c r="I141" t="s">
        <v>46</v>
      </c>
      <c r="J141" s="6">
        <v>6</v>
      </c>
      <c r="K141" s="6">
        <v>2</v>
      </c>
      <c r="L141" t="s">
        <v>24</v>
      </c>
      <c r="M141" s="2">
        <v>44372</v>
      </c>
    </row>
    <row r="142" spans="1:13" x14ac:dyDescent="0.25">
      <c r="A142" t="s">
        <v>171</v>
      </c>
      <c r="B142" t="s">
        <v>26</v>
      </c>
      <c r="C142" s="6">
        <v>22</v>
      </c>
      <c r="D142" t="s">
        <v>21</v>
      </c>
      <c r="E142" t="s">
        <v>35</v>
      </c>
      <c r="F142" t="s">
        <v>28</v>
      </c>
      <c r="G142" s="6">
        <v>6</v>
      </c>
      <c r="H142" s="4">
        <v>64.540000000000006</v>
      </c>
      <c r="I142" t="s">
        <v>31</v>
      </c>
      <c r="J142" s="6">
        <v>4</v>
      </c>
      <c r="K142" s="6">
        <v>1</v>
      </c>
      <c r="L142" t="s">
        <v>24</v>
      </c>
      <c r="M142" s="2">
        <v>44335</v>
      </c>
    </row>
    <row r="143" spans="1:13" x14ac:dyDescent="0.25">
      <c r="A143" t="s">
        <v>172</v>
      </c>
      <c r="B143" t="s">
        <v>26</v>
      </c>
      <c r="C143" s="6">
        <v>33</v>
      </c>
      <c r="D143" t="s">
        <v>21</v>
      </c>
      <c r="E143" t="s">
        <v>22</v>
      </c>
      <c r="F143" t="s">
        <v>38</v>
      </c>
      <c r="G143" s="6">
        <v>43</v>
      </c>
      <c r="H143" s="4">
        <v>87</v>
      </c>
      <c r="I143" t="s">
        <v>31</v>
      </c>
      <c r="J143" s="6">
        <v>8</v>
      </c>
      <c r="K143" s="6">
        <v>3</v>
      </c>
      <c r="L143" t="s">
        <v>24</v>
      </c>
      <c r="M143" s="2">
        <v>44555</v>
      </c>
    </row>
    <row r="144" spans="1:13" x14ac:dyDescent="0.25">
      <c r="A144" t="s">
        <v>173</v>
      </c>
      <c r="B144" t="s">
        <v>26</v>
      </c>
      <c r="C144" s="6">
        <v>62</v>
      </c>
      <c r="D144" t="s">
        <v>34</v>
      </c>
      <c r="E144" t="s">
        <v>22</v>
      </c>
      <c r="F144" t="s">
        <v>17</v>
      </c>
      <c r="G144" s="6">
        <v>18</v>
      </c>
      <c r="H144" s="4">
        <v>30.95</v>
      </c>
      <c r="I144" t="s">
        <v>23</v>
      </c>
      <c r="J144" s="6">
        <v>0</v>
      </c>
      <c r="K144" s="6">
        <v>3</v>
      </c>
      <c r="L144" t="s">
        <v>24</v>
      </c>
      <c r="M144" s="2">
        <v>45817</v>
      </c>
    </row>
    <row r="145" spans="1:13" x14ac:dyDescent="0.25">
      <c r="A145" t="s">
        <v>174</v>
      </c>
      <c r="B145" t="s">
        <v>14</v>
      </c>
      <c r="C145" s="6">
        <v>20</v>
      </c>
      <c r="D145" t="s">
        <v>15</v>
      </c>
      <c r="E145" t="s">
        <v>35</v>
      </c>
      <c r="F145" t="s">
        <v>38</v>
      </c>
      <c r="G145" s="6">
        <v>51</v>
      </c>
      <c r="H145" s="4">
        <v>99.84</v>
      </c>
      <c r="I145" t="s">
        <v>23</v>
      </c>
      <c r="J145" s="6">
        <v>4</v>
      </c>
      <c r="K145" s="6">
        <v>1</v>
      </c>
      <c r="L145" t="s">
        <v>24</v>
      </c>
      <c r="M145" s="2">
        <v>44588</v>
      </c>
    </row>
    <row r="146" spans="1:13" x14ac:dyDescent="0.25">
      <c r="A146" t="s">
        <v>175</v>
      </c>
      <c r="B146" t="s">
        <v>26</v>
      </c>
      <c r="C146" s="6">
        <v>40</v>
      </c>
      <c r="D146" t="s">
        <v>21</v>
      </c>
      <c r="E146" t="s">
        <v>22</v>
      </c>
      <c r="F146" t="s">
        <v>28</v>
      </c>
      <c r="G146" s="6">
        <v>35</v>
      </c>
      <c r="H146" s="4">
        <v>56.87</v>
      </c>
      <c r="I146" t="s">
        <v>31</v>
      </c>
      <c r="J146" s="6">
        <v>6</v>
      </c>
      <c r="K146" s="6">
        <v>4</v>
      </c>
      <c r="L146" t="s">
        <v>24</v>
      </c>
      <c r="M146" s="2">
        <v>44988</v>
      </c>
    </row>
    <row r="147" spans="1:13" x14ac:dyDescent="0.25">
      <c r="A147" t="s">
        <v>176</v>
      </c>
      <c r="B147" t="s">
        <v>26</v>
      </c>
      <c r="C147" s="6">
        <v>29</v>
      </c>
      <c r="D147" t="s">
        <v>34</v>
      </c>
      <c r="E147" t="s">
        <v>22</v>
      </c>
      <c r="F147" t="s">
        <v>28</v>
      </c>
      <c r="G147" s="6">
        <v>48</v>
      </c>
      <c r="H147" s="4">
        <v>68.86</v>
      </c>
      <c r="I147" t="s">
        <v>31</v>
      </c>
      <c r="J147" s="6">
        <v>1</v>
      </c>
      <c r="K147" s="6">
        <v>4</v>
      </c>
      <c r="L147" t="s">
        <v>19</v>
      </c>
      <c r="M147" s="2">
        <v>45430</v>
      </c>
    </row>
    <row r="148" spans="1:13" x14ac:dyDescent="0.25">
      <c r="A148" t="s">
        <v>177</v>
      </c>
      <c r="B148" t="s">
        <v>14</v>
      </c>
      <c r="C148" s="6">
        <v>52</v>
      </c>
      <c r="D148" t="s">
        <v>15</v>
      </c>
      <c r="E148" t="s">
        <v>35</v>
      </c>
      <c r="F148" t="s">
        <v>17</v>
      </c>
      <c r="G148" s="6">
        <v>11</v>
      </c>
      <c r="H148" s="4">
        <v>34.92</v>
      </c>
      <c r="I148" t="s">
        <v>31</v>
      </c>
      <c r="J148" s="6">
        <v>4</v>
      </c>
      <c r="K148" s="6">
        <v>4</v>
      </c>
      <c r="L148" t="s">
        <v>24</v>
      </c>
      <c r="M148" s="2">
        <v>45069</v>
      </c>
    </row>
    <row r="149" spans="1:13" x14ac:dyDescent="0.25">
      <c r="A149" t="s">
        <v>178</v>
      </c>
      <c r="B149" t="s">
        <v>14</v>
      </c>
      <c r="C149" s="6">
        <v>62</v>
      </c>
      <c r="D149" t="s">
        <v>34</v>
      </c>
      <c r="E149" t="s">
        <v>35</v>
      </c>
      <c r="F149" t="s">
        <v>28</v>
      </c>
      <c r="G149" s="6">
        <v>6</v>
      </c>
      <c r="H149" s="4">
        <v>65.900000000000006</v>
      </c>
      <c r="I149" t="s">
        <v>31</v>
      </c>
      <c r="J149" s="6">
        <v>6</v>
      </c>
      <c r="K149" s="6">
        <v>3</v>
      </c>
      <c r="L149" t="s">
        <v>24</v>
      </c>
      <c r="M149" s="2">
        <v>45817</v>
      </c>
    </row>
    <row r="150" spans="1:13" x14ac:dyDescent="0.25">
      <c r="A150" t="s">
        <v>179</v>
      </c>
      <c r="B150" t="s">
        <v>14</v>
      </c>
      <c r="C150" s="6">
        <v>22</v>
      </c>
      <c r="D150" t="s">
        <v>34</v>
      </c>
      <c r="E150" t="s">
        <v>35</v>
      </c>
      <c r="F150" t="s">
        <v>38</v>
      </c>
      <c r="G150" s="6">
        <v>21</v>
      </c>
      <c r="H150" s="4">
        <v>99.29</v>
      </c>
      <c r="I150" t="s">
        <v>46</v>
      </c>
      <c r="J150" s="6">
        <v>7</v>
      </c>
      <c r="K150" s="6">
        <v>1</v>
      </c>
      <c r="L150" t="s">
        <v>19</v>
      </c>
      <c r="M150" s="2">
        <v>44680</v>
      </c>
    </row>
    <row r="151" spans="1:13" x14ac:dyDescent="0.25">
      <c r="A151" t="s">
        <v>180</v>
      </c>
      <c r="B151" t="s">
        <v>26</v>
      </c>
      <c r="C151" s="6">
        <v>41</v>
      </c>
      <c r="D151" t="s">
        <v>34</v>
      </c>
      <c r="E151" t="s">
        <v>22</v>
      </c>
      <c r="F151" t="s">
        <v>17</v>
      </c>
      <c r="G151" s="6">
        <v>20</v>
      </c>
      <c r="H151" s="4">
        <v>40.19</v>
      </c>
      <c r="I151" t="s">
        <v>31</v>
      </c>
      <c r="J151" s="6">
        <v>5</v>
      </c>
      <c r="K151" s="6">
        <v>4</v>
      </c>
      <c r="L151" t="s">
        <v>24</v>
      </c>
      <c r="M151" s="2">
        <v>45372</v>
      </c>
    </row>
    <row r="152" spans="1:13" x14ac:dyDescent="0.25">
      <c r="A152" t="s">
        <v>181</v>
      </c>
      <c r="B152" t="s">
        <v>14</v>
      </c>
      <c r="C152" s="6">
        <v>51</v>
      </c>
      <c r="D152" t="s">
        <v>15</v>
      </c>
      <c r="E152" t="s">
        <v>35</v>
      </c>
      <c r="F152" t="s">
        <v>28</v>
      </c>
      <c r="G152" s="6">
        <v>36</v>
      </c>
      <c r="H152" s="4">
        <v>58.74</v>
      </c>
      <c r="I152" t="s">
        <v>18</v>
      </c>
      <c r="J152" s="6">
        <v>0</v>
      </c>
      <c r="K152" s="6">
        <v>2</v>
      </c>
      <c r="L152" t="s">
        <v>24</v>
      </c>
      <c r="M152" s="2">
        <v>44989</v>
      </c>
    </row>
    <row r="153" spans="1:13" x14ac:dyDescent="0.25">
      <c r="A153" t="s">
        <v>182</v>
      </c>
      <c r="B153" t="s">
        <v>14</v>
      </c>
      <c r="C153" s="6">
        <v>34</v>
      </c>
      <c r="D153" t="s">
        <v>15</v>
      </c>
      <c r="E153" t="s">
        <v>22</v>
      </c>
      <c r="F153" t="s">
        <v>28</v>
      </c>
      <c r="G153" s="6">
        <v>28</v>
      </c>
      <c r="H153" s="4">
        <v>69.95</v>
      </c>
      <c r="I153" t="s">
        <v>31</v>
      </c>
      <c r="J153" s="6">
        <v>7</v>
      </c>
      <c r="K153" s="6">
        <v>2</v>
      </c>
      <c r="L153" t="s">
        <v>19</v>
      </c>
      <c r="M153" s="2">
        <v>45943</v>
      </c>
    </row>
    <row r="154" spans="1:13" x14ac:dyDescent="0.25">
      <c r="A154" t="s">
        <v>183</v>
      </c>
      <c r="B154" t="s">
        <v>14</v>
      </c>
      <c r="C154" s="6">
        <v>46</v>
      </c>
      <c r="D154" t="s">
        <v>30</v>
      </c>
      <c r="E154" t="s">
        <v>22</v>
      </c>
      <c r="F154" t="s">
        <v>28</v>
      </c>
      <c r="G154" s="6">
        <v>12</v>
      </c>
      <c r="H154" s="4">
        <v>67.16</v>
      </c>
      <c r="I154" t="s">
        <v>31</v>
      </c>
      <c r="J154" s="6">
        <v>5</v>
      </c>
      <c r="K154" s="6">
        <v>1</v>
      </c>
      <c r="L154" t="s">
        <v>24</v>
      </c>
      <c r="M154" s="2">
        <v>44791</v>
      </c>
    </row>
    <row r="155" spans="1:13" x14ac:dyDescent="0.25">
      <c r="A155" t="s">
        <v>184</v>
      </c>
      <c r="B155" t="s">
        <v>26</v>
      </c>
      <c r="C155" s="6">
        <v>28</v>
      </c>
      <c r="D155" t="s">
        <v>30</v>
      </c>
      <c r="E155" t="s">
        <v>35</v>
      </c>
      <c r="F155" t="s">
        <v>38</v>
      </c>
      <c r="G155" s="6">
        <v>29</v>
      </c>
      <c r="H155" s="4">
        <v>86.82</v>
      </c>
      <c r="I155" t="s">
        <v>46</v>
      </c>
      <c r="J155" s="6">
        <v>2</v>
      </c>
      <c r="K155" s="6">
        <v>2</v>
      </c>
      <c r="L155" t="s">
        <v>24</v>
      </c>
      <c r="M155" s="2">
        <v>44250</v>
      </c>
    </row>
    <row r="156" spans="1:13" x14ac:dyDescent="0.25">
      <c r="A156" t="s">
        <v>185</v>
      </c>
      <c r="B156" t="s">
        <v>26</v>
      </c>
      <c r="C156" s="6">
        <v>53</v>
      </c>
      <c r="D156" t="s">
        <v>15</v>
      </c>
      <c r="E156" t="s">
        <v>35</v>
      </c>
      <c r="F156" t="s">
        <v>38</v>
      </c>
      <c r="G156" s="6">
        <v>17</v>
      </c>
      <c r="H156" s="4">
        <v>94.18</v>
      </c>
      <c r="I156" t="s">
        <v>18</v>
      </c>
      <c r="J156" s="6">
        <v>1</v>
      </c>
      <c r="K156" s="6">
        <v>3</v>
      </c>
      <c r="L156" t="s">
        <v>24</v>
      </c>
      <c r="M156" s="2">
        <v>45665</v>
      </c>
    </row>
    <row r="157" spans="1:13" x14ac:dyDescent="0.25">
      <c r="A157" t="s">
        <v>186</v>
      </c>
      <c r="B157" t="s">
        <v>26</v>
      </c>
      <c r="C157" s="6">
        <v>51</v>
      </c>
      <c r="D157" t="s">
        <v>34</v>
      </c>
      <c r="E157" t="s">
        <v>35</v>
      </c>
      <c r="F157" t="s">
        <v>38</v>
      </c>
      <c r="G157" s="6">
        <v>10</v>
      </c>
      <c r="H157" s="4">
        <v>86.88</v>
      </c>
      <c r="I157" t="s">
        <v>31</v>
      </c>
      <c r="J157" s="6">
        <v>1</v>
      </c>
      <c r="K157" s="6">
        <v>4</v>
      </c>
      <c r="L157" t="s">
        <v>24</v>
      </c>
      <c r="M157" s="2">
        <v>45256</v>
      </c>
    </row>
    <row r="158" spans="1:13" x14ac:dyDescent="0.25">
      <c r="A158" t="s">
        <v>187</v>
      </c>
      <c r="B158" t="s">
        <v>26</v>
      </c>
      <c r="C158" s="6">
        <v>26</v>
      </c>
      <c r="D158" t="s">
        <v>30</v>
      </c>
      <c r="E158" t="s">
        <v>16</v>
      </c>
      <c r="F158" t="s">
        <v>28</v>
      </c>
      <c r="G158" s="6">
        <v>65</v>
      </c>
      <c r="H158" s="4">
        <v>68.66</v>
      </c>
      <c r="I158" t="s">
        <v>18</v>
      </c>
      <c r="J158" s="6">
        <v>1</v>
      </c>
      <c r="K158" s="6">
        <v>5</v>
      </c>
      <c r="L158" t="s">
        <v>19</v>
      </c>
      <c r="M158" s="2">
        <v>44534</v>
      </c>
    </row>
    <row r="159" spans="1:13" x14ac:dyDescent="0.25">
      <c r="A159" t="s">
        <v>188</v>
      </c>
      <c r="B159" t="s">
        <v>14</v>
      </c>
      <c r="C159" s="6">
        <v>38</v>
      </c>
      <c r="D159" t="s">
        <v>30</v>
      </c>
      <c r="E159" t="s">
        <v>35</v>
      </c>
      <c r="F159" t="s">
        <v>38</v>
      </c>
      <c r="G159" s="6">
        <v>37</v>
      </c>
      <c r="H159" s="4">
        <v>97.69</v>
      </c>
      <c r="I159" t="s">
        <v>31</v>
      </c>
      <c r="J159" s="6">
        <v>3</v>
      </c>
      <c r="K159" s="6">
        <v>5</v>
      </c>
      <c r="L159" t="s">
        <v>24</v>
      </c>
      <c r="M159" s="2">
        <v>45477</v>
      </c>
    </row>
    <row r="160" spans="1:13" x14ac:dyDescent="0.25">
      <c r="A160" t="s">
        <v>189</v>
      </c>
      <c r="B160" t="s">
        <v>26</v>
      </c>
      <c r="C160" s="6">
        <v>57</v>
      </c>
      <c r="D160" t="s">
        <v>21</v>
      </c>
      <c r="E160" t="s">
        <v>22</v>
      </c>
      <c r="F160" t="s">
        <v>38</v>
      </c>
      <c r="G160" s="6">
        <v>22</v>
      </c>
      <c r="H160" s="4">
        <v>93.88</v>
      </c>
      <c r="I160" t="s">
        <v>46</v>
      </c>
      <c r="J160" s="6">
        <v>2</v>
      </c>
      <c r="K160" s="6">
        <v>5</v>
      </c>
      <c r="L160" t="s">
        <v>24</v>
      </c>
      <c r="M160" s="2">
        <v>45436</v>
      </c>
    </row>
    <row r="161" spans="1:13" x14ac:dyDescent="0.25">
      <c r="A161" t="s">
        <v>190</v>
      </c>
      <c r="B161" t="s">
        <v>26</v>
      </c>
      <c r="C161" s="6">
        <v>54</v>
      </c>
      <c r="D161" t="s">
        <v>21</v>
      </c>
      <c r="E161" t="s">
        <v>16</v>
      </c>
      <c r="F161" t="s">
        <v>17</v>
      </c>
      <c r="G161" s="6">
        <v>6</v>
      </c>
      <c r="H161" s="4">
        <v>44.23</v>
      </c>
      <c r="I161" t="s">
        <v>31</v>
      </c>
      <c r="J161" s="6">
        <v>3</v>
      </c>
      <c r="K161" s="6">
        <v>5</v>
      </c>
      <c r="L161" t="s">
        <v>24</v>
      </c>
      <c r="M161" s="2">
        <v>45505</v>
      </c>
    </row>
    <row r="162" spans="1:13" x14ac:dyDescent="0.25">
      <c r="A162" t="s">
        <v>191</v>
      </c>
      <c r="B162" t="s">
        <v>14</v>
      </c>
      <c r="C162" s="6">
        <v>49</v>
      </c>
      <c r="D162" t="s">
        <v>15</v>
      </c>
      <c r="E162" t="s">
        <v>22</v>
      </c>
      <c r="F162" t="s">
        <v>28</v>
      </c>
      <c r="G162" s="6">
        <v>62</v>
      </c>
      <c r="H162" s="4">
        <v>58.67</v>
      </c>
      <c r="I162" t="s">
        <v>23</v>
      </c>
      <c r="J162" s="6">
        <v>4</v>
      </c>
      <c r="K162" s="6">
        <v>4</v>
      </c>
      <c r="L162" t="s">
        <v>19</v>
      </c>
      <c r="M162" s="2">
        <v>44319</v>
      </c>
    </row>
    <row r="163" spans="1:13" x14ac:dyDescent="0.25">
      <c r="A163" t="s">
        <v>192</v>
      </c>
      <c r="B163" t="s">
        <v>14</v>
      </c>
      <c r="C163" s="6">
        <v>46</v>
      </c>
      <c r="D163" t="s">
        <v>34</v>
      </c>
      <c r="E163" t="s">
        <v>35</v>
      </c>
      <c r="F163" t="s">
        <v>28</v>
      </c>
      <c r="G163" s="6">
        <v>27</v>
      </c>
      <c r="H163" s="4">
        <v>60.1</v>
      </c>
      <c r="I163" t="s">
        <v>46</v>
      </c>
      <c r="J163" s="6">
        <v>5</v>
      </c>
      <c r="K163" s="6">
        <v>3</v>
      </c>
      <c r="L163" t="s">
        <v>24</v>
      </c>
      <c r="M163" s="2">
        <v>45959</v>
      </c>
    </row>
    <row r="164" spans="1:13" x14ac:dyDescent="0.25">
      <c r="A164" t="s">
        <v>193</v>
      </c>
      <c r="B164" t="s">
        <v>26</v>
      </c>
      <c r="C164" s="6">
        <v>43</v>
      </c>
      <c r="D164" t="s">
        <v>30</v>
      </c>
      <c r="E164" t="s">
        <v>35</v>
      </c>
      <c r="F164" t="s">
        <v>38</v>
      </c>
      <c r="G164" s="6">
        <v>72</v>
      </c>
      <c r="H164" s="4">
        <v>86.59</v>
      </c>
      <c r="I164" t="s">
        <v>46</v>
      </c>
      <c r="J164" s="6">
        <v>7</v>
      </c>
      <c r="K164" s="6">
        <v>1</v>
      </c>
      <c r="L164" t="s">
        <v>19</v>
      </c>
      <c r="M164" s="2">
        <v>44704</v>
      </c>
    </row>
    <row r="165" spans="1:13" x14ac:dyDescent="0.25">
      <c r="A165" t="s">
        <v>194</v>
      </c>
      <c r="B165" t="s">
        <v>14</v>
      </c>
      <c r="C165" s="6">
        <v>24</v>
      </c>
      <c r="D165" t="s">
        <v>21</v>
      </c>
      <c r="E165" t="s">
        <v>35</v>
      </c>
      <c r="F165" t="s">
        <v>28</v>
      </c>
      <c r="G165" s="6">
        <v>54</v>
      </c>
      <c r="H165" s="4">
        <v>58.72</v>
      </c>
      <c r="I165" t="s">
        <v>46</v>
      </c>
      <c r="J165" s="6">
        <v>5</v>
      </c>
      <c r="K165" s="6">
        <v>5</v>
      </c>
      <c r="L165" t="s">
        <v>24</v>
      </c>
      <c r="M165" s="2">
        <v>44585</v>
      </c>
    </row>
    <row r="166" spans="1:13" x14ac:dyDescent="0.25">
      <c r="A166" t="s">
        <v>195</v>
      </c>
      <c r="B166" t="s">
        <v>14</v>
      </c>
      <c r="C166" s="6">
        <v>49</v>
      </c>
      <c r="D166" t="s">
        <v>34</v>
      </c>
      <c r="E166" t="s">
        <v>35</v>
      </c>
      <c r="F166" t="s">
        <v>28</v>
      </c>
      <c r="G166" s="6">
        <v>64</v>
      </c>
      <c r="H166" s="4">
        <v>55.35</v>
      </c>
      <c r="I166" t="s">
        <v>23</v>
      </c>
      <c r="J166" s="6">
        <v>8</v>
      </c>
      <c r="K166" s="6">
        <v>4</v>
      </c>
      <c r="L166" t="s">
        <v>24</v>
      </c>
      <c r="M166" s="2">
        <v>44637</v>
      </c>
    </row>
    <row r="167" spans="1:13" x14ac:dyDescent="0.25">
      <c r="A167" t="s">
        <v>196</v>
      </c>
      <c r="B167" t="s">
        <v>26</v>
      </c>
      <c r="C167" s="6">
        <v>21</v>
      </c>
      <c r="D167" t="s">
        <v>21</v>
      </c>
      <c r="E167" t="s">
        <v>35</v>
      </c>
      <c r="F167" t="s">
        <v>28</v>
      </c>
      <c r="G167" s="6">
        <v>61</v>
      </c>
      <c r="H167" s="4">
        <v>59.29</v>
      </c>
      <c r="I167" t="s">
        <v>18</v>
      </c>
      <c r="J167" s="6">
        <v>1</v>
      </c>
      <c r="K167" s="6">
        <v>4</v>
      </c>
      <c r="L167" t="s">
        <v>24</v>
      </c>
      <c r="M167" s="2">
        <v>44738</v>
      </c>
    </row>
    <row r="168" spans="1:13" x14ac:dyDescent="0.25">
      <c r="A168" t="s">
        <v>197</v>
      </c>
      <c r="B168" t="s">
        <v>26</v>
      </c>
      <c r="C168" s="6">
        <v>66</v>
      </c>
      <c r="D168" t="s">
        <v>34</v>
      </c>
      <c r="E168" t="s">
        <v>35</v>
      </c>
      <c r="F168" t="s">
        <v>17</v>
      </c>
      <c r="G168" s="6">
        <v>52</v>
      </c>
      <c r="H168" s="4">
        <v>30.77</v>
      </c>
      <c r="I168" t="s">
        <v>46</v>
      </c>
      <c r="J168" s="6">
        <v>5</v>
      </c>
      <c r="K168" s="6">
        <v>5</v>
      </c>
      <c r="L168" t="s">
        <v>24</v>
      </c>
      <c r="M168" s="2">
        <v>44988</v>
      </c>
    </row>
    <row r="169" spans="1:13" x14ac:dyDescent="0.25">
      <c r="A169" t="s">
        <v>198</v>
      </c>
      <c r="B169" t="s">
        <v>26</v>
      </c>
      <c r="C169" s="6">
        <v>66</v>
      </c>
      <c r="D169" t="s">
        <v>15</v>
      </c>
      <c r="E169" t="s">
        <v>22</v>
      </c>
      <c r="F169" t="s">
        <v>38</v>
      </c>
      <c r="G169" s="6">
        <v>16</v>
      </c>
      <c r="H169" s="4">
        <v>86.93</v>
      </c>
      <c r="I169" t="s">
        <v>18</v>
      </c>
      <c r="J169" s="6">
        <v>6</v>
      </c>
      <c r="K169" s="6">
        <v>3</v>
      </c>
      <c r="L169" t="s">
        <v>24</v>
      </c>
      <c r="M169" s="2">
        <v>44891</v>
      </c>
    </row>
    <row r="170" spans="1:13" x14ac:dyDescent="0.25">
      <c r="A170" t="s">
        <v>199</v>
      </c>
      <c r="B170" t="s">
        <v>26</v>
      </c>
      <c r="C170" s="6">
        <v>66</v>
      </c>
      <c r="D170" t="s">
        <v>30</v>
      </c>
      <c r="E170" t="s">
        <v>16</v>
      </c>
      <c r="F170" t="s">
        <v>38</v>
      </c>
      <c r="G170" s="6">
        <v>66</v>
      </c>
      <c r="H170" s="4">
        <v>91.02</v>
      </c>
      <c r="I170" t="s">
        <v>18</v>
      </c>
      <c r="J170" s="6">
        <v>0</v>
      </c>
      <c r="K170" s="6">
        <v>1</v>
      </c>
      <c r="L170" t="s">
        <v>19</v>
      </c>
      <c r="M170" s="2">
        <v>44879</v>
      </c>
    </row>
    <row r="171" spans="1:13" x14ac:dyDescent="0.25">
      <c r="A171" t="s">
        <v>200</v>
      </c>
      <c r="B171" t="s">
        <v>26</v>
      </c>
      <c r="C171" s="6">
        <v>51</v>
      </c>
      <c r="D171" t="s">
        <v>34</v>
      </c>
      <c r="E171" t="s">
        <v>16</v>
      </c>
      <c r="F171" t="s">
        <v>38</v>
      </c>
      <c r="G171" s="6">
        <v>66</v>
      </c>
      <c r="H171" s="4">
        <v>87.1</v>
      </c>
      <c r="I171" t="s">
        <v>31</v>
      </c>
      <c r="J171" s="6">
        <v>2</v>
      </c>
      <c r="K171" s="6">
        <v>4</v>
      </c>
      <c r="L171" t="s">
        <v>24</v>
      </c>
      <c r="M171" s="2">
        <v>45711</v>
      </c>
    </row>
    <row r="172" spans="1:13" x14ac:dyDescent="0.25">
      <c r="A172" t="s">
        <v>201</v>
      </c>
      <c r="B172" t="s">
        <v>26</v>
      </c>
      <c r="C172" s="6">
        <v>55</v>
      </c>
      <c r="D172" t="s">
        <v>15</v>
      </c>
      <c r="E172" t="s">
        <v>22</v>
      </c>
      <c r="F172" t="s">
        <v>38</v>
      </c>
      <c r="G172" s="6">
        <v>69</v>
      </c>
      <c r="H172" s="4">
        <v>92.35</v>
      </c>
      <c r="I172" t="s">
        <v>31</v>
      </c>
      <c r="J172" s="6">
        <v>7</v>
      </c>
      <c r="K172" s="6">
        <v>1</v>
      </c>
      <c r="L172" t="s">
        <v>24</v>
      </c>
      <c r="M172" s="2">
        <v>45576</v>
      </c>
    </row>
    <row r="173" spans="1:13" x14ac:dyDescent="0.25">
      <c r="A173" t="s">
        <v>202</v>
      </c>
      <c r="B173" t="s">
        <v>14</v>
      </c>
      <c r="C173" s="6">
        <v>44</v>
      </c>
      <c r="D173" t="s">
        <v>15</v>
      </c>
      <c r="E173" t="s">
        <v>22</v>
      </c>
      <c r="F173" t="s">
        <v>38</v>
      </c>
      <c r="G173" s="6">
        <v>4</v>
      </c>
      <c r="H173" s="4">
        <v>93.95</v>
      </c>
      <c r="I173" t="s">
        <v>31</v>
      </c>
      <c r="J173" s="6">
        <v>3</v>
      </c>
      <c r="K173" s="6">
        <v>1</v>
      </c>
      <c r="L173" t="s">
        <v>24</v>
      </c>
      <c r="M173" s="2">
        <v>44546</v>
      </c>
    </row>
    <row r="174" spans="1:13" x14ac:dyDescent="0.25">
      <c r="A174" t="s">
        <v>203</v>
      </c>
      <c r="B174" t="s">
        <v>26</v>
      </c>
      <c r="C174" s="6">
        <v>27</v>
      </c>
      <c r="D174" t="s">
        <v>30</v>
      </c>
      <c r="E174" t="s">
        <v>16</v>
      </c>
      <c r="F174" t="s">
        <v>38</v>
      </c>
      <c r="G174" s="6">
        <v>15</v>
      </c>
      <c r="H174" s="4">
        <v>87.86</v>
      </c>
      <c r="I174" t="s">
        <v>23</v>
      </c>
      <c r="J174" s="6">
        <v>5</v>
      </c>
      <c r="K174" s="6">
        <v>4</v>
      </c>
      <c r="L174" t="s">
        <v>19</v>
      </c>
      <c r="M174" s="2">
        <v>45611</v>
      </c>
    </row>
    <row r="175" spans="1:13" x14ac:dyDescent="0.25">
      <c r="A175" t="s">
        <v>204</v>
      </c>
      <c r="B175" t="s">
        <v>14</v>
      </c>
      <c r="C175" s="6">
        <v>44</v>
      </c>
      <c r="D175" t="s">
        <v>34</v>
      </c>
      <c r="E175" t="s">
        <v>22</v>
      </c>
      <c r="F175" t="s">
        <v>38</v>
      </c>
      <c r="G175" s="6">
        <v>8</v>
      </c>
      <c r="H175" s="4">
        <v>95.59</v>
      </c>
      <c r="I175" t="s">
        <v>46</v>
      </c>
      <c r="J175" s="6">
        <v>8</v>
      </c>
      <c r="K175" s="6">
        <v>3</v>
      </c>
      <c r="L175" t="s">
        <v>24</v>
      </c>
      <c r="M175" s="2">
        <v>45176</v>
      </c>
    </row>
    <row r="176" spans="1:13" x14ac:dyDescent="0.25">
      <c r="A176" t="s">
        <v>205</v>
      </c>
      <c r="B176" t="s">
        <v>26</v>
      </c>
      <c r="C176" s="6">
        <v>38</v>
      </c>
      <c r="D176" t="s">
        <v>30</v>
      </c>
      <c r="E176" t="s">
        <v>35</v>
      </c>
      <c r="F176" t="s">
        <v>38</v>
      </c>
      <c r="G176" s="6">
        <v>44</v>
      </c>
      <c r="H176" s="4">
        <v>93.19</v>
      </c>
      <c r="I176" t="s">
        <v>31</v>
      </c>
      <c r="J176" s="6">
        <v>7</v>
      </c>
      <c r="K176" s="6">
        <v>2</v>
      </c>
      <c r="L176" t="s">
        <v>24</v>
      </c>
      <c r="M176" s="2">
        <v>44768</v>
      </c>
    </row>
    <row r="177" spans="1:13" x14ac:dyDescent="0.25">
      <c r="A177" t="s">
        <v>206</v>
      </c>
      <c r="B177" t="s">
        <v>26</v>
      </c>
      <c r="C177" s="6">
        <v>32</v>
      </c>
      <c r="D177" t="s">
        <v>15</v>
      </c>
      <c r="E177" t="s">
        <v>35</v>
      </c>
      <c r="F177" t="s">
        <v>38</v>
      </c>
      <c r="G177" s="6">
        <v>27</v>
      </c>
      <c r="H177" s="4">
        <v>95.35</v>
      </c>
      <c r="I177" t="s">
        <v>23</v>
      </c>
      <c r="J177" s="6">
        <v>5</v>
      </c>
      <c r="K177" s="6">
        <v>4</v>
      </c>
      <c r="L177" t="s">
        <v>24</v>
      </c>
      <c r="M177" s="2">
        <v>45825</v>
      </c>
    </row>
    <row r="178" spans="1:13" x14ac:dyDescent="0.25">
      <c r="A178" t="s">
        <v>207</v>
      </c>
      <c r="B178" t="s">
        <v>26</v>
      </c>
      <c r="C178" s="6">
        <v>36</v>
      </c>
      <c r="D178" t="s">
        <v>21</v>
      </c>
      <c r="E178" t="s">
        <v>22</v>
      </c>
      <c r="F178" t="s">
        <v>38</v>
      </c>
      <c r="G178" s="6">
        <v>70</v>
      </c>
      <c r="H178" s="4">
        <v>90.7</v>
      </c>
      <c r="I178" t="s">
        <v>23</v>
      </c>
      <c r="J178" s="6">
        <v>5</v>
      </c>
      <c r="K178" s="6">
        <v>2</v>
      </c>
      <c r="L178" t="s">
        <v>24</v>
      </c>
      <c r="M178" s="2">
        <v>44786</v>
      </c>
    </row>
    <row r="179" spans="1:13" x14ac:dyDescent="0.25">
      <c r="A179" t="s">
        <v>208</v>
      </c>
      <c r="B179" t="s">
        <v>14</v>
      </c>
      <c r="C179" s="6">
        <v>40</v>
      </c>
      <c r="D179" t="s">
        <v>34</v>
      </c>
      <c r="E179" t="s">
        <v>22</v>
      </c>
      <c r="F179" t="s">
        <v>28</v>
      </c>
      <c r="G179" s="6">
        <v>62</v>
      </c>
      <c r="H179" s="4">
        <v>58.21</v>
      </c>
      <c r="I179" t="s">
        <v>31</v>
      </c>
      <c r="J179" s="6">
        <v>8</v>
      </c>
      <c r="K179" s="6">
        <v>3</v>
      </c>
      <c r="L179" t="s">
        <v>19</v>
      </c>
      <c r="M179" s="2">
        <v>45457</v>
      </c>
    </row>
    <row r="180" spans="1:13" x14ac:dyDescent="0.25">
      <c r="A180" t="s">
        <v>209</v>
      </c>
      <c r="B180" t="s">
        <v>14</v>
      </c>
      <c r="C180" s="6">
        <v>33</v>
      </c>
      <c r="D180" t="s">
        <v>21</v>
      </c>
      <c r="E180" t="s">
        <v>22</v>
      </c>
      <c r="F180" t="s">
        <v>38</v>
      </c>
      <c r="G180" s="6">
        <v>29</v>
      </c>
      <c r="H180" s="4">
        <v>94.57</v>
      </c>
      <c r="I180" t="s">
        <v>18</v>
      </c>
      <c r="J180" s="6">
        <v>1</v>
      </c>
      <c r="K180" s="6">
        <v>4</v>
      </c>
      <c r="L180" t="s">
        <v>24</v>
      </c>
      <c r="M180" s="2">
        <v>45164</v>
      </c>
    </row>
    <row r="181" spans="1:13" x14ac:dyDescent="0.25">
      <c r="A181" t="s">
        <v>210</v>
      </c>
      <c r="B181" t="s">
        <v>14</v>
      </c>
      <c r="C181" s="6">
        <v>61</v>
      </c>
      <c r="D181" t="s">
        <v>30</v>
      </c>
      <c r="E181" t="s">
        <v>16</v>
      </c>
      <c r="F181" t="s">
        <v>38</v>
      </c>
      <c r="G181" s="6">
        <v>21</v>
      </c>
      <c r="H181" s="4">
        <v>91.1</v>
      </c>
      <c r="I181" t="s">
        <v>23</v>
      </c>
      <c r="J181" s="6">
        <v>7</v>
      </c>
      <c r="K181" s="6">
        <v>2</v>
      </c>
      <c r="L181" t="s">
        <v>24</v>
      </c>
      <c r="M181" s="2">
        <v>44785</v>
      </c>
    </row>
    <row r="182" spans="1:13" x14ac:dyDescent="0.25">
      <c r="A182" t="s">
        <v>211</v>
      </c>
      <c r="B182" t="s">
        <v>26</v>
      </c>
      <c r="C182" s="6">
        <v>36</v>
      </c>
      <c r="D182" t="s">
        <v>21</v>
      </c>
      <c r="E182" t="s">
        <v>16</v>
      </c>
      <c r="F182" t="s">
        <v>38</v>
      </c>
      <c r="G182" s="6">
        <v>30</v>
      </c>
      <c r="H182" s="4">
        <v>93.03</v>
      </c>
      <c r="I182" t="s">
        <v>18</v>
      </c>
      <c r="J182" s="6">
        <v>2</v>
      </c>
      <c r="K182" s="6">
        <v>4</v>
      </c>
      <c r="L182" t="s">
        <v>24</v>
      </c>
      <c r="M182" s="2">
        <v>44557</v>
      </c>
    </row>
    <row r="183" spans="1:13" x14ac:dyDescent="0.25">
      <c r="A183" t="s">
        <v>212</v>
      </c>
      <c r="B183" t="s">
        <v>14</v>
      </c>
      <c r="C183" s="6">
        <v>43</v>
      </c>
      <c r="D183" t="s">
        <v>34</v>
      </c>
      <c r="E183" t="s">
        <v>16</v>
      </c>
      <c r="F183" t="s">
        <v>38</v>
      </c>
      <c r="G183" s="6">
        <v>38</v>
      </c>
      <c r="H183" s="4">
        <v>98.15</v>
      </c>
      <c r="I183" t="s">
        <v>18</v>
      </c>
      <c r="J183" s="6">
        <v>4</v>
      </c>
      <c r="K183" s="6">
        <v>5</v>
      </c>
      <c r="L183" t="s">
        <v>24</v>
      </c>
      <c r="M183" s="2">
        <v>44883</v>
      </c>
    </row>
    <row r="184" spans="1:13" x14ac:dyDescent="0.25">
      <c r="A184" t="s">
        <v>213</v>
      </c>
      <c r="B184" t="s">
        <v>26</v>
      </c>
      <c r="C184" s="6">
        <v>47</v>
      </c>
      <c r="D184" t="s">
        <v>34</v>
      </c>
      <c r="E184" t="s">
        <v>16</v>
      </c>
      <c r="F184" t="s">
        <v>38</v>
      </c>
      <c r="G184" s="6">
        <v>60</v>
      </c>
      <c r="H184" s="4">
        <v>89.09</v>
      </c>
      <c r="I184" t="s">
        <v>18</v>
      </c>
      <c r="J184" s="6">
        <v>5</v>
      </c>
      <c r="K184" s="6">
        <v>2</v>
      </c>
      <c r="L184" t="s">
        <v>24</v>
      </c>
      <c r="M184" s="2">
        <v>45524</v>
      </c>
    </row>
    <row r="185" spans="1:13" x14ac:dyDescent="0.25">
      <c r="A185" t="s">
        <v>214</v>
      </c>
      <c r="B185" t="s">
        <v>26</v>
      </c>
      <c r="C185" s="6">
        <v>63</v>
      </c>
      <c r="D185" t="s">
        <v>30</v>
      </c>
      <c r="E185" t="s">
        <v>16</v>
      </c>
      <c r="F185" t="s">
        <v>38</v>
      </c>
      <c r="G185" s="6">
        <v>44</v>
      </c>
      <c r="H185" s="4">
        <v>96.86</v>
      </c>
      <c r="I185" t="s">
        <v>46</v>
      </c>
      <c r="J185" s="6">
        <v>2</v>
      </c>
      <c r="K185" s="6">
        <v>5</v>
      </c>
      <c r="L185" t="s">
        <v>24</v>
      </c>
      <c r="M185" s="2">
        <v>45027</v>
      </c>
    </row>
    <row r="186" spans="1:13" x14ac:dyDescent="0.25">
      <c r="A186" t="s">
        <v>215</v>
      </c>
      <c r="B186" t="s">
        <v>26</v>
      </c>
      <c r="C186" s="6">
        <v>50</v>
      </c>
      <c r="D186" t="s">
        <v>15</v>
      </c>
      <c r="E186" t="s">
        <v>16</v>
      </c>
      <c r="F186" t="s">
        <v>28</v>
      </c>
      <c r="G186" s="6">
        <v>13</v>
      </c>
      <c r="H186" s="4">
        <v>57.77</v>
      </c>
      <c r="I186" t="s">
        <v>46</v>
      </c>
      <c r="J186" s="6">
        <v>7</v>
      </c>
      <c r="K186" s="6">
        <v>3</v>
      </c>
      <c r="L186" t="s">
        <v>24</v>
      </c>
      <c r="M186" s="2">
        <v>44210</v>
      </c>
    </row>
    <row r="187" spans="1:13" x14ac:dyDescent="0.25">
      <c r="A187" t="s">
        <v>216</v>
      </c>
      <c r="B187" t="s">
        <v>26</v>
      </c>
      <c r="C187" s="6">
        <v>42</v>
      </c>
      <c r="D187" t="s">
        <v>30</v>
      </c>
      <c r="E187" t="s">
        <v>35</v>
      </c>
      <c r="F187" t="s">
        <v>28</v>
      </c>
      <c r="G187" s="6">
        <v>43</v>
      </c>
      <c r="H187" s="4">
        <v>59.53</v>
      </c>
      <c r="I187" t="s">
        <v>18</v>
      </c>
      <c r="J187" s="6">
        <v>4</v>
      </c>
      <c r="K187" s="6">
        <v>3</v>
      </c>
      <c r="L187" t="s">
        <v>24</v>
      </c>
      <c r="M187" s="2">
        <v>44324</v>
      </c>
    </row>
    <row r="188" spans="1:13" x14ac:dyDescent="0.25">
      <c r="A188" t="s">
        <v>217</v>
      </c>
      <c r="B188" t="s">
        <v>14</v>
      </c>
      <c r="C188" s="6">
        <v>47</v>
      </c>
      <c r="D188" t="s">
        <v>15</v>
      </c>
      <c r="E188" t="s">
        <v>16</v>
      </c>
      <c r="F188" t="s">
        <v>28</v>
      </c>
      <c r="G188" s="6">
        <v>65</v>
      </c>
      <c r="H188" s="4">
        <v>68.849999999999994</v>
      </c>
      <c r="I188" t="s">
        <v>31</v>
      </c>
      <c r="J188" s="6">
        <v>1</v>
      </c>
      <c r="K188" s="6">
        <v>3</v>
      </c>
      <c r="L188" t="s">
        <v>24</v>
      </c>
      <c r="M188" s="2">
        <v>44649</v>
      </c>
    </row>
    <row r="189" spans="1:13" x14ac:dyDescent="0.25">
      <c r="A189" t="s">
        <v>218</v>
      </c>
      <c r="B189" t="s">
        <v>14</v>
      </c>
      <c r="C189" s="6">
        <v>26</v>
      </c>
      <c r="D189" t="s">
        <v>34</v>
      </c>
      <c r="E189" t="s">
        <v>16</v>
      </c>
      <c r="F189" t="s">
        <v>28</v>
      </c>
      <c r="G189" s="6">
        <v>48</v>
      </c>
      <c r="H189" s="4">
        <v>61.24</v>
      </c>
      <c r="I189" t="s">
        <v>23</v>
      </c>
      <c r="J189" s="6">
        <v>8</v>
      </c>
      <c r="K189" s="6">
        <v>2</v>
      </c>
      <c r="L189" t="s">
        <v>24</v>
      </c>
      <c r="M189" s="2">
        <v>45590</v>
      </c>
    </row>
    <row r="190" spans="1:13" x14ac:dyDescent="0.25">
      <c r="A190" t="s">
        <v>219</v>
      </c>
      <c r="B190" t="s">
        <v>14</v>
      </c>
      <c r="C190" s="6">
        <v>51</v>
      </c>
      <c r="D190" t="s">
        <v>34</v>
      </c>
      <c r="E190" t="s">
        <v>22</v>
      </c>
      <c r="F190" t="s">
        <v>38</v>
      </c>
      <c r="G190" s="6">
        <v>47</v>
      </c>
      <c r="H190" s="4">
        <v>86.17</v>
      </c>
      <c r="I190" t="s">
        <v>18</v>
      </c>
      <c r="J190" s="6">
        <v>0</v>
      </c>
      <c r="K190" s="6">
        <v>5</v>
      </c>
      <c r="L190" t="s">
        <v>24</v>
      </c>
      <c r="M190" s="2">
        <v>44611</v>
      </c>
    </row>
    <row r="191" spans="1:13" x14ac:dyDescent="0.25">
      <c r="A191" t="s">
        <v>220</v>
      </c>
      <c r="B191" t="s">
        <v>14</v>
      </c>
      <c r="C191" s="6">
        <v>28</v>
      </c>
      <c r="D191" t="s">
        <v>15</v>
      </c>
      <c r="E191" t="s">
        <v>22</v>
      </c>
      <c r="F191" t="s">
        <v>28</v>
      </c>
      <c r="G191" s="6">
        <v>15</v>
      </c>
      <c r="H191" s="4">
        <v>65.2</v>
      </c>
      <c r="I191" t="s">
        <v>23</v>
      </c>
      <c r="J191" s="6">
        <v>1</v>
      </c>
      <c r="K191" s="6">
        <v>5</v>
      </c>
      <c r="L191" t="s">
        <v>24</v>
      </c>
      <c r="M191" s="2">
        <v>44310</v>
      </c>
    </row>
    <row r="192" spans="1:13" x14ac:dyDescent="0.25">
      <c r="A192" t="s">
        <v>221</v>
      </c>
      <c r="B192" t="s">
        <v>26</v>
      </c>
      <c r="C192" s="6">
        <v>26</v>
      </c>
      <c r="D192" t="s">
        <v>34</v>
      </c>
      <c r="E192" t="s">
        <v>35</v>
      </c>
      <c r="F192" t="s">
        <v>38</v>
      </c>
      <c r="G192" s="6">
        <v>8</v>
      </c>
      <c r="H192" s="4">
        <v>93.38</v>
      </c>
      <c r="I192" t="s">
        <v>31</v>
      </c>
      <c r="J192" s="6">
        <v>0</v>
      </c>
      <c r="K192" s="6">
        <v>4</v>
      </c>
      <c r="L192" t="s">
        <v>24</v>
      </c>
      <c r="M192" s="2">
        <v>44203</v>
      </c>
    </row>
    <row r="193" spans="1:13" x14ac:dyDescent="0.25">
      <c r="A193" t="s">
        <v>222</v>
      </c>
      <c r="B193" t="s">
        <v>14</v>
      </c>
      <c r="C193" s="6">
        <v>55</v>
      </c>
      <c r="D193" t="s">
        <v>21</v>
      </c>
      <c r="E193" t="s">
        <v>16</v>
      </c>
      <c r="F193" t="s">
        <v>28</v>
      </c>
      <c r="G193" s="6">
        <v>45</v>
      </c>
      <c r="H193" s="4">
        <v>65.510000000000005</v>
      </c>
      <c r="I193" t="s">
        <v>18</v>
      </c>
      <c r="J193" s="6">
        <v>1</v>
      </c>
      <c r="K193" s="6">
        <v>4</v>
      </c>
      <c r="L193" t="s">
        <v>19</v>
      </c>
      <c r="M193" s="2">
        <v>45034</v>
      </c>
    </row>
    <row r="194" spans="1:13" x14ac:dyDescent="0.25">
      <c r="A194" t="s">
        <v>223</v>
      </c>
      <c r="B194" t="s">
        <v>14</v>
      </c>
      <c r="C194" s="6">
        <v>67</v>
      </c>
      <c r="D194" t="s">
        <v>30</v>
      </c>
      <c r="E194" t="s">
        <v>22</v>
      </c>
      <c r="F194" t="s">
        <v>38</v>
      </c>
      <c r="G194" s="6">
        <v>54</v>
      </c>
      <c r="H194" s="4">
        <v>90.62</v>
      </c>
      <c r="I194" t="s">
        <v>23</v>
      </c>
      <c r="J194" s="6">
        <v>7</v>
      </c>
      <c r="K194" s="6">
        <v>4</v>
      </c>
      <c r="L194" t="s">
        <v>24</v>
      </c>
      <c r="M194" s="2">
        <v>45595</v>
      </c>
    </row>
    <row r="195" spans="1:13" x14ac:dyDescent="0.25">
      <c r="A195" t="s">
        <v>224</v>
      </c>
      <c r="B195" t="s">
        <v>14</v>
      </c>
      <c r="C195" s="6">
        <v>59</v>
      </c>
      <c r="D195" t="s">
        <v>15</v>
      </c>
      <c r="E195" t="s">
        <v>16</v>
      </c>
      <c r="F195" t="s">
        <v>17</v>
      </c>
      <c r="G195" s="6">
        <v>69</v>
      </c>
      <c r="H195" s="4">
        <v>35.9</v>
      </c>
      <c r="I195" t="s">
        <v>46</v>
      </c>
      <c r="J195" s="6">
        <v>3</v>
      </c>
      <c r="K195" s="6">
        <v>1</v>
      </c>
      <c r="L195" t="s">
        <v>24</v>
      </c>
      <c r="M195" s="2">
        <v>44808</v>
      </c>
    </row>
    <row r="196" spans="1:13" x14ac:dyDescent="0.25">
      <c r="A196" t="s">
        <v>225</v>
      </c>
      <c r="B196" t="s">
        <v>26</v>
      </c>
      <c r="C196" s="6">
        <v>61</v>
      </c>
      <c r="D196" t="s">
        <v>34</v>
      </c>
      <c r="E196" t="s">
        <v>22</v>
      </c>
      <c r="F196" t="s">
        <v>28</v>
      </c>
      <c r="G196" s="6">
        <v>30</v>
      </c>
      <c r="H196" s="4">
        <v>58.71</v>
      </c>
      <c r="I196" t="s">
        <v>31</v>
      </c>
      <c r="J196" s="6">
        <v>2</v>
      </c>
      <c r="K196" s="6">
        <v>3</v>
      </c>
      <c r="L196" t="s">
        <v>24</v>
      </c>
      <c r="M196" s="2">
        <v>45989</v>
      </c>
    </row>
    <row r="197" spans="1:13" x14ac:dyDescent="0.25">
      <c r="A197" t="s">
        <v>226</v>
      </c>
      <c r="B197" t="s">
        <v>14</v>
      </c>
      <c r="C197" s="6">
        <v>20</v>
      </c>
      <c r="D197" t="s">
        <v>34</v>
      </c>
      <c r="E197" t="s">
        <v>22</v>
      </c>
      <c r="F197" t="s">
        <v>17</v>
      </c>
      <c r="G197" s="6">
        <v>31</v>
      </c>
      <c r="H197" s="4">
        <v>33.090000000000003</v>
      </c>
      <c r="I197" t="s">
        <v>18</v>
      </c>
      <c r="J197" s="6">
        <v>0</v>
      </c>
      <c r="K197" s="6">
        <v>4</v>
      </c>
      <c r="L197" t="s">
        <v>24</v>
      </c>
      <c r="M197" s="2">
        <v>45637</v>
      </c>
    </row>
    <row r="198" spans="1:13" x14ac:dyDescent="0.25">
      <c r="A198" t="s">
        <v>227</v>
      </c>
      <c r="B198" t="s">
        <v>14</v>
      </c>
      <c r="C198" s="6">
        <v>33</v>
      </c>
      <c r="D198" t="s">
        <v>21</v>
      </c>
      <c r="E198" t="s">
        <v>35</v>
      </c>
      <c r="F198" t="s">
        <v>28</v>
      </c>
      <c r="G198" s="6">
        <v>30</v>
      </c>
      <c r="H198" s="4">
        <v>63.1</v>
      </c>
      <c r="I198" t="s">
        <v>18</v>
      </c>
      <c r="J198" s="6">
        <v>2</v>
      </c>
      <c r="K198" s="6">
        <v>5</v>
      </c>
      <c r="L198" t="s">
        <v>24</v>
      </c>
      <c r="M198" s="2">
        <v>44676</v>
      </c>
    </row>
    <row r="199" spans="1:13" x14ac:dyDescent="0.25">
      <c r="A199" t="s">
        <v>228</v>
      </c>
      <c r="B199" t="s">
        <v>26</v>
      </c>
      <c r="C199" s="6">
        <v>54</v>
      </c>
      <c r="D199" t="s">
        <v>15</v>
      </c>
      <c r="E199" t="s">
        <v>16</v>
      </c>
      <c r="F199" t="s">
        <v>28</v>
      </c>
      <c r="G199" s="6">
        <v>19</v>
      </c>
      <c r="H199" s="4">
        <v>69.790000000000006</v>
      </c>
      <c r="I199" t="s">
        <v>46</v>
      </c>
      <c r="J199" s="6">
        <v>6</v>
      </c>
      <c r="K199" s="6">
        <v>3</v>
      </c>
      <c r="L199" t="s">
        <v>19</v>
      </c>
      <c r="M199" s="2">
        <v>45337</v>
      </c>
    </row>
    <row r="200" spans="1:13" x14ac:dyDescent="0.25">
      <c r="A200" t="s">
        <v>229</v>
      </c>
      <c r="B200" t="s">
        <v>14</v>
      </c>
      <c r="C200" s="6">
        <v>58</v>
      </c>
      <c r="D200" t="s">
        <v>34</v>
      </c>
      <c r="E200" t="s">
        <v>22</v>
      </c>
      <c r="F200" t="s">
        <v>28</v>
      </c>
      <c r="G200" s="6">
        <v>7</v>
      </c>
      <c r="H200" s="4">
        <v>69.58</v>
      </c>
      <c r="I200" t="s">
        <v>23</v>
      </c>
      <c r="J200" s="6">
        <v>8</v>
      </c>
      <c r="K200" s="6">
        <v>3</v>
      </c>
      <c r="L200" t="s">
        <v>24</v>
      </c>
      <c r="M200" s="2">
        <v>45033</v>
      </c>
    </row>
    <row r="201" spans="1:13" x14ac:dyDescent="0.25">
      <c r="A201" t="s">
        <v>230</v>
      </c>
      <c r="B201" t="s">
        <v>14</v>
      </c>
      <c r="C201" s="6">
        <v>37</v>
      </c>
      <c r="D201" t="s">
        <v>34</v>
      </c>
      <c r="E201" t="s">
        <v>16</v>
      </c>
      <c r="F201" t="s">
        <v>38</v>
      </c>
      <c r="G201" s="6">
        <v>61</v>
      </c>
      <c r="H201" s="4">
        <v>88.61</v>
      </c>
      <c r="I201" t="s">
        <v>46</v>
      </c>
      <c r="J201" s="6">
        <v>4</v>
      </c>
      <c r="K201" s="6">
        <v>2</v>
      </c>
      <c r="L201" t="s">
        <v>24</v>
      </c>
      <c r="M201" s="2">
        <v>44315</v>
      </c>
    </row>
    <row r="202" spans="1:13" x14ac:dyDescent="0.25">
      <c r="A202" t="s">
        <v>231</v>
      </c>
      <c r="B202" t="s">
        <v>26</v>
      </c>
      <c r="C202" s="6">
        <v>44</v>
      </c>
      <c r="D202" t="s">
        <v>30</v>
      </c>
      <c r="E202" t="s">
        <v>35</v>
      </c>
      <c r="F202" t="s">
        <v>17</v>
      </c>
      <c r="G202" s="6">
        <v>33</v>
      </c>
      <c r="H202" s="4">
        <v>33.049999999999997</v>
      </c>
      <c r="I202" t="s">
        <v>18</v>
      </c>
      <c r="J202" s="6">
        <v>7</v>
      </c>
      <c r="K202" s="6">
        <v>3</v>
      </c>
      <c r="L202" t="s">
        <v>19</v>
      </c>
      <c r="M202" s="2">
        <v>45680</v>
      </c>
    </row>
    <row r="203" spans="1:13" x14ac:dyDescent="0.25">
      <c r="A203" t="s">
        <v>232</v>
      </c>
      <c r="B203" t="s">
        <v>14</v>
      </c>
      <c r="C203" s="6">
        <v>21</v>
      </c>
      <c r="D203" t="s">
        <v>15</v>
      </c>
      <c r="E203" t="s">
        <v>35</v>
      </c>
      <c r="F203" t="s">
        <v>38</v>
      </c>
      <c r="G203" s="6">
        <v>6</v>
      </c>
      <c r="H203" s="4">
        <v>98.1</v>
      </c>
      <c r="I203" t="s">
        <v>46</v>
      </c>
      <c r="J203" s="6">
        <v>8</v>
      </c>
      <c r="K203" s="6">
        <v>2</v>
      </c>
      <c r="L203" t="s">
        <v>24</v>
      </c>
      <c r="M203" s="2">
        <v>45977</v>
      </c>
    </row>
    <row r="204" spans="1:13" x14ac:dyDescent="0.25">
      <c r="A204" t="s">
        <v>233</v>
      </c>
      <c r="B204" t="s">
        <v>26</v>
      </c>
      <c r="C204" s="6">
        <v>37</v>
      </c>
      <c r="D204" t="s">
        <v>21</v>
      </c>
      <c r="E204" t="s">
        <v>16</v>
      </c>
      <c r="F204" t="s">
        <v>17</v>
      </c>
      <c r="G204" s="6">
        <v>16</v>
      </c>
      <c r="H204" s="4">
        <v>41.2</v>
      </c>
      <c r="I204" t="s">
        <v>23</v>
      </c>
      <c r="J204" s="6">
        <v>3</v>
      </c>
      <c r="K204" s="6">
        <v>5</v>
      </c>
      <c r="L204" t="s">
        <v>24</v>
      </c>
      <c r="M204" s="2">
        <v>45009</v>
      </c>
    </row>
    <row r="205" spans="1:13" x14ac:dyDescent="0.25">
      <c r="A205" t="s">
        <v>234</v>
      </c>
      <c r="B205" t="s">
        <v>14</v>
      </c>
      <c r="C205" s="6">
        <v>53</v>
      </c>
      <c r="D205" t="s">
        <v>15</v>
      </c>
      <c r="E205" t="s">
        <v>35</v>
      </c>
      <c r="F205" t="s">
        <v>28</v>
      </c>
      <c r="G205" s="6">
        <v>60</v>
      </c>
      <c r="H205" s="4">
        <v>63</v>
      </c>
      <c r="I205" t="s">
        <v>31</v>
      </c>
      <c r="J205" s="6">
        <v>4</v>
      </c>
      <c r="K205" s="6">
        <v>3</v>
      </c>
      <c r="L205" t="s">
        <v>24</v>
      </c>
      <c r="M205" s="2">
        <v>45215</v>
      </c>
    </row>
    <row r="206" spans="1:13" x14ac:dyDescent="0.25">
      <c r="A206" t="s">
        <v>235</v>
      </c>
      <c r="B206" t="s">
        <v>26</v>
      </c>
      <c r="C206" s="6">
        <v>24</v>
      </c>
      <c r="D206" t="s">
        <v>34</v>
      </c>
      <c r="E206" t="s">
        <v>35</v>
      </c>
      <c r="F206" t="s">
        <v>17</v>
      </c>
      <c r="G206" s="6">
        <v>48</v>
      </c>
      <c r="H206" s="4">
        <v>34.69</v>
      </c>
      <c r="I206" t="s">
        <v>18</v>
      </c>
      <c r="J206" s="6">
        <v>3</v>
      </c>
      <c r="K206" s="6">
        <v>2</v>
      </c>
      <c r="L206" t="s">
        <v>19</v>
      </c>
      <c r="M206" s="2">
        <v>45330</v>
      </c>
    </row>
    <row r="207" spans="1:13" x14ac:dyDescent="0.25">
      <c r="A207" t="s">
        <v>236</v>
      </c>
      <c r="B207" t="s">
        <v>26</v>
      </c>
      <c r="C207" s="6">
        <v>36</v>
      </c>
      <c r="D207" t="s">
        <v>30</v>
      </c>
      <c r="E207" t="s">
        <v>16</v>
      </c>
      <c r="F207" t="s">
        <v>28</v>
      </c>
      <c r="G207" s="6">
        <v>30</v>
      </c>
      <c r="H207" s="4">
        <v>60.7</v>
      </c>
      <c r="I207" t="s">
        <v>46</v>
      </c>
      <c r="J207" s="6">
        <v>7</v>
      </c>
      <c r="K207" s="6">
        <v>5</v>
      </c>
      <c r="L207" t="s">
        <v>24</v>
      </c>
      <c r="M207" s="2">
        <v>45599</v>
      </c>
    </row>
    <row r="208" spans="1:13" x14ac:dyDescent="0.25">
      <c r="A208" t="s">
        <v>237</v>
      </c>
      <c r="B208" t="s">
        <v>26</v>
      </c>
      <c r="C208" s="6">
        <v>34</v>
      </c>
      <c r="D208" t="s">
        <v>34</v>
      </c>
      <c r="E208" t="s">
        <v>22</v>
      </c>
      <c r="F208" t="s">
        <v>38</v>
      </c>
      <c r="G208" s="6">
        <v>63</v>
      </c>
      <c r="H208" s="4">
        <v>91.91</v>
      </c>
      <c r="I208" t="s">
        <v>31</v>
      </c>
      <c r="J208" s="6">
        <v>2</v>
      </c>
      <c r="K208" s="6">
        <v>2</v>
      </c>
      <c r="L208" t="s">
        <v>24</v>
      </c>
      <c r="M208" s="2">
        <v>45197</v>
      </c>
    </row>
    <row r="209" spans="1:13" x14ac:dyDescent="0.25">
      <c r="A209" t="s">
        <v>238</v>
      </c>
      <c r="B209" t="s">
        <v>14</v>
      </c>
      <c r="C209" s="6">
        <v>52</v>
      </c>
      <c r="D209" t="s">
        <v>21</v>
      </c>
      <c r="E209" t="s">
        <v>22</v>
      </c>
      <c r="F209" t="s">
        <v>17</v>
      </c>
      <c r="G209" s="6">
        <v>10</v>
      </c>
      <c r="H209" s="4">
        <v>44.18</v>
      </c>
      <c r="I209" t="s">
        <v>18</v>
      </c>
      <c r="J209" s="6">
        <v>0</v>
      </c>
      <c r="K209" s="6">
        <v>4</v>
      </c>
      <c r="L209" t="s">
        <v>19</v>
      </c>
      <c r="M209" s="2">
        <v>45488</v>
      </c>
    </row>
    <row r="210" spans="1:13" x14ac:dyDescent="0.25">
      <c r="A210" t="s">
        <v>239</v>
      </c>
      <c r="B210" t="s">
        <v>14</v>
      </c>
      <c r="C210" s="6">
        <v>22</v>
      </c>
      <c r="D210" t="s">
        <v>30</v>
      </c>
      <c r="E210" t="s">
        <v>16</v>
      </c>
      <c r="F210" t="s">
        <v>17</v>
      </c>
      <c r="G210" s="6">
        <v>65</v>
      </c>
      <c r="H210" s="4">
        <v>36.840000000000003</v>
      </c>
      <c r="I210" t="s">
        <v>18</v>
      </c>
      <c r="J210" s="6">
        <v>7</v>
      </c>
      <c r="K210" s="6">
        <v>4</v>
      </c>
      <c r="L210" t="s">
        <v>19</v>
      </c>
      <c r="M210" s="2">
        <v>45286</v>
      </c>
    </row>
    <row r="211" spans="1:13" x14ac:dyDescent="0.25">
      <c r="A211" t="s">
        <v>240</v>
      </c>
      <c r="B211" t="s">
        <v>26</v>
      </c>
      <c r="C211" s="6">
        <v>18</v>
      </c>
      <c r="D211" t="s">
        <v>21</v>
      </c>
      <c r="E211" t="s">
        <v>22</v>
      </c>
      <c r="F211" t="s">
        <v>38</v>
      </c>
      <c r="G211" s="6">
        <v>36</v>
      </c>
      <c r="H211" s="4">
        <v>93.04</v>
      </c>
      <c r="I211" t="s">
        <v>31</v>
      </c>
      <c r="J211" s="6">
        <v>0</v>
      </c>
      <c r="K211" s="6">
        <v>5</v>
      </c>
      <c r="L211" t="s">
        <v>24</v>
      </c>
      <c r="M211" s="2">
        <v>45577</v>
      </c>
    </row>
    <row r="212" spans="1:13" x14ac:dyDescent="0.25">
      <c r="A212" t="s">
        <v>241</v>
      </c>
      <c r="B212" t="s">
        <v>26</v>
      </c>
      <c r="C212" s="6">
        <v>69</v>
      </c>
      <c r="D212" t="s">
        <v>30</v>
      </c>
      <c r="E212" t="s">
        <v>16</v>
      </c>
      <c r="F212" t="s">
        <v>17</v>
      </c>
      <c r="G212" s="6">
        <v>68</v>
      </c>
      <c r="H212" s="4">
        <v>32.229999999999997</v>
      </c>
      <c r="I212" t="s">
        <v>46</v>
      </c>
      <c r="J212" s="6">
        <v>8</v>
      </c>
      <c r="K212" s="6">
        <v>3</v>
      </c>
      <c r="L212" t="s">
        <v>24</v>
      </c>
      <c r="M212" s="2">
        <v>44744</v>
      </c>
    </row>
    <row r="213" spans="1:13" x14ac:dyDescent="0.25">
      <c r="A213" t="s">
        <v>242</v>
      </c>
      <c r="B213" t="s">
        <v>26</v>
      </c>
      <c r="C213" s="6">
        <v>23</v>
      </c>
      <c r="D213" t="s">
        <v>15</v>
      </c>
      <c r="E213" t="s">
        <v>35</v>
      </c>
      <c r="F213" t="s">
        <v>28</v>
      </c>
      <c r="G213" s="6">
        <v>32</v>
      </c>
      <c r="H213" s="4">
        <v>69.849999999999994</v>
      </c>
      <c r="I213" t="s">
        <v>46</v>
      </c>
      <c r="J213" s="6">
        <v>4</v>
      </c>
      <c r="K213" s="6">
        <v>1</v>
      </c>
      <c r="L213" t="s">
        <v>24</v>
      </c>
      <c r="M213" s="2">
        <v>45954</v>
      </c>
    </row>
    <row r="214" spans="1:13" x14ac:dyDescent="0.25">
      <c r="A214" t="s">
        <v>243</v>
      </c>
      <c r="B214" t="s">
        <v>14</v>
      </c>
      <c r="C214" s="6">
        <v>23</v>
      </c>
      <c r="D214" t="s">
        <v>34</v>
      </c>
      <c r="E214" t="s">
        <v>35</v>
      </c>
      <c r="F214" t="s">
        <v>28</v>
      </c>
      <c r="G214" s="6">
        <v>71</v>
      </c>
      <c r="H214" s="4">
        <v>62.14</v>
      </c>
      <c r="I214" t="s">
        <v>18</v>
      </c>
      <c r="J214" s="6">
        <v>2</v>
      </c>
      <c r="K214" s="6">
        <v>1</v>
      </c>
      <c r="L214" t="s">
        <v>24</v>
      </c>
      <c r="M214" s="2">
        <v>45085</v>
      </c>
    </row>
    <row r="215" spans="1:13" x14ac:dyDescent="0.25">
      <c r="A215" t="s">
        <v>244</v>
      </c>
      <c r="B215" t="s">
        <v>26</v>
      </c>
      <c r="C215" s="6">
        <v>54</v>
      </c>
      <c r="D215" t="s">
        <v>21</v>
      </c>
      <c r="E215" t="s">
        <v>22</v>
      </c>
      <c r="F215" t="s">
        <v>17</v>
      </c>
      <c r="G215" s="6">
        <v>30</v>
      </c>
      <c r="H215" s="4">
        <v>33.17</v>
      </c>
      <c r="I215" t="s">
        <v>23</v>
      </c>
      <c r="J215" s="6">
        <v>4</v>
      </c>
      <c r="K215" s="6">
        <v>1</v>
      </c>
      <c r="L215" t="s">
        <v>24</v>
      </c>
      <c r="M215" s="2">
        <v>45598</v>
      </c>
    </row>
    <row r="216" spans="1:13" x14ac:dyDescent="0.25">
      <c r="A216" t="s">
        <v>245</v>
      </c>
      <c r="B216" t="s">
        <v>26</v>
      </c>
      <c r="C216" s="6">
        <v>52</v>
      </c>
      <c r="D216" t="s">
        <v>21</v>
      </c>
      <c r="E216" t="s">
        <v>16</v>
      </c>
      <c r="F216" t="s">
        <v>28</v>
      </c>
      <c r="G216" s="6">
        <v>3</v>
      </c>
      <c r="H216" s="4">
        <v>69.42</v>
      </c>
      <c r="I216" t="s">
        <v>46</v>
      </c>
      <c r="J216" s="6">
        <v>6</v>
      </c>
      <c r="K216" s="6">
        <v>1</v>
      </c>
      <c r="L216" t="s">
        <v>19</v>
      </c>
      <c r="M216" s="2">
        <v>45351</v>
      </c>
    </row>
    <row r="217" spans="1:13" x14ac:dyDescent="0.25">
      <c r="A217" t="s">
        <v>246</v>
      </c>
      <c r="B217" t="s">
        <v>14</v>
      </c>
      <c r="C217" s="6">
        <v>54</v>
      </c>
      <c r="D217" t="s">
        <v>34</v>
      </c>
      <c r="E217" t="s">
        <v>22</v>
      </c>
      <c r="F217" t="s">
        <v>38</v>
      </c>
      <c r="G217" s="6">
        <v>43</v>
      </c>
      <c r="H217" s="4">
        <v>90.76</v>
      </c>
      <c r="I217" t="s">
        <v>46</v>
      </c>
      <c r="J217" s="6">
        <v>1</v>
      </c>
      <c r="K217" s="6">
        <v>5</v>
      </c>
      <c r="L217" t="s">
        <v>24</v>
      </c>
      <c r="M217" s="2">
        <v>44905</v>
      </c>
    </row>
    <row r="218" spans="1:13" x14ac:dyDescent="0.25">
      <c r="A218" t="s">
        <v>247</v>
      </c>
      <c r="B218" t="s">
        <v>14</v>
      </c>
      <c r="C218" s="6">
        <v>24</v>
      </c>
      <c r="D218" t="s">
        <v>34</v>
      </c>
      <c r="E218" t="s">
        <v>16</v>
      </c>
      <c r="F218" t="s">
        <v>17</v>
      </c>
      <c r="G218" s="6">
        <v>44</v>
      </c>
      <c r="H218" s="4">
        <v>39.08</v>
      </c>
      <c r="I218" t="s">
        <v>23</v>
      </c>
      <c r="J218" s="6">
        <v>5</v>
      </c>
      <c r="K218" s="6">
        <v>1</v>
      </c>
      <c r="L218" t="s">
        <v>24</v>
      </c>
      <c r="M218" s="2">
        <v>45801</v>
      </c>
    </row>
    <row r="219" spans="1:13" x14ac:dyDescent="0.25">
      <c r="A219" t="s">
        <v>248</v>
      </c>
      <c r="B219" t="s">
        <v>26</v>
      </c>
      <c r="C219" s="6">
        <v>49</v>
      </c>
      <c r="D219" t="s">
        <v>30</v>
      </c>
      <c r="E219" t="s">
        <v>35</v>
      </c>
      <c r="F219" t="s">
        <v>38</v>
      </c>
      <c r="G219" s="6">
        <v>49</v>
      </c>
      <c r="H219" s="4">
        <v>91.48</v>
      </c>
      <c r="I219" t="s">
        <v>23</v>
      </c>
      <c r="J219" s="6">
        <v>1</v>
      </c>
      <c r="K219" s="6">
        <v>5</v>
      </c>
      <c r="L219" t="s">
        <v>24</v>
      </c>
      <c r="M219" s="2">
        <v>44701</v>
      </c>
    </row>
    <row r="220" spans="1:13" x14ac:dyDescent="0.25">
      <c r="A220" t="s">
        <v>249</v>
      </c>
      <c r="B220" t="s">
        <v>14</v>
      </c>
      <c r="C220" s="6">
        <v>23</v>
      </c>
      <c r="D220" t="s">
        <v>15</v>
      </c>
      <c r="E220" t="s">
        <v>16</v>
      </c>
      <c r="F220" t="s">
        <v>28</v>
      </c>
      <c r="G220" s="6">
        <v>20</v>
      </c>
      <c r="H220" s="4">
        <v>66.09</v>
      </c>
      <c r="I220" t="s">
        <v>31</v>
      </c>
      <c r="J220" s="6">
        <v>5</v>
      </c>
      <c r="K220" s="6">
        <v>1</v>
      </c>
      <c r="L220" t="s">
        <v>19</v>
      </c>
      <c r="M220" s="2">
        <v>44828</v>
      </c>
    </row>
    <row r="221" spans="1:13" x14ac:dyDescent="0.25">
      <c r="A221" t="s">
        <v>250</v>
      </c>
      <c r="B221" t="s">
        <v>26</v>
      </c>
      <c r="C221" s="6">
        <v>41</v>
      </c>
      <c r="D221" t="s">
        <v>15</v>
      </c>
      <c r="E221" t="s">
        <v>16</v>
      </c>
      <c r="F221" t="s">
        <v>17</v>
      </c>
      <c r="G221" s="6">
        <v>12</v>
      </c>
      <c r="H221" s="4">
        <v>32.81</v>
      </c>
      <c r="I221" t="s">
        <v>23</v>
      </c>
      <c r="J221" s="6">
        <v>8</v>
      </c>
      <c r="K221" s="6">
        <v>5</v>
      </c>
      <c r="L221" t="s">
        <v>24</v>
      </c>
      <c r="M221" s="2">
        <v>44408</v>
      </c>
    </row>
    <row r="222" spans="1:13" x14ac:dyDescent="0.25">
      <c r="A222" t="s">
        <v>251</v>
      </c>
      <c r="B222" t="s">
        <v>14</v>
      </c>
      <c r="C222" s="6">
        <v>23</v>
      </c>
      <c r="D222" t="s">
        <v>15</v>
      </c>
      <c r="E222" t="s">
        <v>22</v>
      </c>
      <c r="F222" t="s">
        <v>17</v>
      </c>
      <c r="G222" s="6">
        <v>42</v>
      </c>
      <c r="H222" s="4">
        <v>42.96</v>
      </c>
      <c r="I222" t="s">
        <v>18</v>
      </c>
      <c r="J222" s="6">
        <v>4</v>
      </c>
      <c r="K222" s="6">
        <v>4</v>
      </c>
      <c r="L222" t="s">
        <v>24</v>
      </c>
      <c r="M222" s="2">
        <v>44370</v>
      </c>
    </row>
    <row r="223" spans="1:13" x14ac:dyDescent="0.25">
      <c r="A223" t="s">
        <v>252</v>
      </c>
      <c r="B223" t="s">
        <v>14</v>
      </c>
      <c r="C223" s="6">
        <v>54</v>
      </c>
      <c r="D223" t="s">
        <v>30</v>
      </c>
      <c r="E223" t="s">
        <v>22</v>
      </c>
      <c r="F223" t="s">
        <v>28</v>
      </c>
      <c r="G223" s="6">
        <v>22</v>
      </c>
      <c r="H223" s="4">
        <v>57.08</v>
      </c>
      <c r="I223" t="s">
        <v>31</v>
      </c>
      <c r="J223" s="6">
        <v>4</v>
      </c>
      <c r="K223" s="6">
        <v>4</v>
      </c>
      <c r="L223" t="s">
        <v>24</v>
      </c>
      <c r="M223" s="2">
        <v>44539</v>
      </c>
    </row>
    <row r="224" spans="1:13" x14ac:dyDescent="0.25">
      <c r="A224" t="s">
        <v>253</v>
      </c>
      <c r="B224" t="s">
        <v>26</v>
      </c>
      <c r="C224" s="6">
        <v>35</v>
      </c>
      <c r="D224" t="s">
        <v>34</v>
      </c>
      <c r="E224" t="s">
        <v>35</v>
      </c>
      <c r="F224" t="s">
        <v>28</v>
      </c>
      <c r="G224" s="6">
        <v>10</v>
      </c>
      <c r="H224" s="4">
        <v>60.42</v>
      </c>
      <c r="I224" t="s">
        <v>46</v>
      </c>
      <c r="J224" s="6">
        <v>7</v>
      </c>
      <c r="K224" s="6">
        <v>5</v>
      </c>
      <c r="L224" t="s">
        <v>24</v>
      </c>
      <c r="M224" s="2">
        <v>45134</v>
      </c>
    </row>
    <row r="225" spans="1:13" x14ac:dyDescent="0.25">
      <c r="A225" t="s">
        <v>254</v>
      </c>
      <c r="B225" t="s">
        <v>14</v>
      </c>
      <c r="C225" s="6">
        <v>26</v>
      </c>
      <c r="D225" t="s">
        <v>15</v>
      </c>
      <c r="E225" t="s">
        <v>16</v>
      </c>
      <c r="F225" t="s">
        <v>28</v>
      </c>
      <c r="G225" s="6">
        <v>43</v>
      </c>
      <c r="H225" s="4">
        <v>67.62</v>
      </c>
      <c r="I225" t="s">
        <v>23</v>
      </c>
      <c r="J225" s="6">
        <v>5</v>
      </c>
      <c r="K225" s="6">
        <v>4</v>
      </c>
      <c r="L225" t="s">
        <v>24</v>
      </c>
      <c r="M225" s="2">
        <v>45867</v>
      </c>
    </row>
    <row r="226" spans="1:13" x14ac:dyDescent="0.25">
      <c r="A226" t="s">
        <v>255</v>
      </c>
      <c r="B226" t="s">
        <v>14</v>
      </c>
      <c r="C226" s="6">
        <v>37</v>
      </c>
      <c r="D226" t="s">
        <v>15</v>
      </c>
      <c r="E226" t="s">
        <v>22</v>
      </c>
      <c r="F226" t="s">
        <v>38</v>
      </c>
      <c r="G226" s="6">
        <v>26</v>
      </c>
      <c r="H226" s="4">
        <v>92.19</v>
      </c>
      <c r="I226" t="s">
        <v>46</v>
      </c>
      <c r="J226" s="6">
        <v>6</v>
      </c>
      <c r="K226" s="6">
        <v>3</v>
      </c>
      <c r="L226" t="s">
        <v>24</v>
      </c>
      <c r="M226" s="2">
        <v>45620</v>
      </c>
    </row>
    <row r="227" spans="1:13" x14ac:dyDescent="0.25">
      <c r="A227" t="s">
        <v>256</v>
      </c>
      <c r="B227" t="s">
        <v>26</v>
      </c>
      <c r="C227" s="6">
        <v>54</v>
      </c>
      <c r="D227" t="s">
        <v>30</v>
      </c>
      <c r="E227" t="s">
        <v>35</v>
      </c>
      <c r="F227" t="s">
        <v>28</v>
      </c>
      <c r="G227" s="6">
        <v>36</v>
      </c>
      <c r="H227" s="4">
        <v>67.25</v>
      </c>
      <c r="I227" t="s">
        <v>23</v>
      </c>
      <c r="J227" s="6">
        <v>5</v>
      </c>
      <c r="K227" s="6">
        <v>1</v>
      </c>
      <c r="L227" t="s">
        <v>24</v>
      </c>
      <c r="M227" s="2">
        <v>44606</v>
      </c>
    </row>
    <row r="228" spans="1:13" x14ac:dyDescent="0.25">
      <c r="A228" t="s">
        <v>257</v>
      </c>
      <c r="B228" t="s">
        <v>14</v>
      </c>
      <c r="C228" s="6">
        <v>61</v>
      </c>
      <c r="D228" t="s">
        <v>21</v>
      </c>
      <c r="E228" t="s">
        <v>22</v>
      </c>
      <c r="F228" t="s">
        <v>28</v>
      </c>
      <c r="G228" s="6">
        <v>27</v>
      </c>
      <c r="H228" s="4">
        <v>61.58</v>
      </c>
      <c r="I228" t="s">
        <v>31</v>
      </c>
      <c r="J228" s="6">
        <v>1</v>
      </c>
      <c r="K228" s="6">
        <v>4</v>
      </c>
      <c r="L228" t="s">
        <v>24</v>
      </c>
      <c r="M228" s="2">
        <v>44482</v>
      </c>
    </row>
    <row r="229" spans="1:13" x14ac:dyDescent="0.25">
      <c r="A229" t="s">
        <v>258</v>
      </c>
      <c r="B229" t="s">
        <v>26</v>
      </c>
      <c r="C229" s="6">
        <v>33</v>
      </c>
      <c r="D229" t="s">
        <v>15</v>
      </c>
      <c r="E229" t="s">
        <v>22</v>
      </c>
      <c r="F229" t="s">
        <v>17</v>
      </c>
      <c r="G229" s="6">
        <v>55</v>
      </c>
      <c r="H229" s="4">
        <v>41.84</v>
      </c>
      <c r="I229" t="s">
        <v>18</v>
      </c>
      <c r="J229" s="6">
        <v>7</v>
      </c>
      <c r="K229" s="6">
        <v>5</v>
      </c>
      <c r="L229" t="s">
        <v>24</v>
      </c>
      <c r="M229" s="2">
        <v>45017</v>
      </c>
    </row>
    <row r="230" spans="1:13" x14ac:dyDescent="0.25">
      <c r="A230" t="s">
        <v>259</v>
      </c>
      <c r="B230" t="s">
        <v>26</v>
      </c>
      <c r="C230" s="6">
        <v>52</v>
      </c>
      <c r="D230" t="s">
        <v>21</v>
      </c>
      <c r="E230" t="s">
        <v>35</v>
      </c>
      <c r="F230" t="s">
        <v>38</v>
      </c>
      <c r="G230" s="6">
        <v>69</v>
      </c>
      <c r="H230" s="4">
        <v>93.91</v>
      </c>
      <c r="I230" t="s">
        <v>18</v>
      </c>
      <c r="J230" s="6">
        <v>1</v>
      </c>
      <c r="K230" s="6">
        <v>2</v>
      </c>
      <c r="L230" t="s">
        <v>24</v>
      </c>
      <c r="M230" s="2">
        <v>44924</v>
      </c>
    </row>
    <row r="231" spans="1:13" x14ac:dyDescent="0.25">
      <c r="A231" t="s">
        <v>260</v>
      </c>
      <c r="B231" t="s">
        <v>14</v>
      </c>
      <c r="C231" s="6">
        <v>59</v>
      </c>
      <c r="D231" t="s">
        <v>21</v>
      </c>
      <c r="E231" t="s">
        <v>22</v>
      </c>
      <c r="F231" t="s">
        <v>38</v>
      </c>
      <c r="G231" s="6">
        <v>52</v>
      </c>
      <c r="H231" s="4">
        <v>99.5</v>
      </c>
      <c r="I231" t="s">
        <v>31</v>
      </c>
      <c r="J231" s="6">
        <v>6</v>
      </c>
      <c r="K231" s="6">
        <v>1</v>
      </c>
      <c r="L231" t="s">
        <v>19</v>
      </c>
      <c r="M231" s="2">
        <v>44726</v>
      </c>
    </row>
    <row r="232" spans="1:13" x14ac:dyDescent="0.25">
      <c r="A232" t="s">
        <v>261</v>
      </c>
      <c r="B232" t="s">
        <v>14</v>
      </c>
      <c r="C232" s="6">
        <v>50</v>
      </c>
      <c r="D232" t="s">
        <v>30</v>
      </c>
      <c r="E232" t="s">
        <v>35</v>
      </c>
      <c r="F232" t="s">
        <v>28</v>
      </c>
      <c r="G232" s="6">
        <v>51</v>
      </c>
      <c r="H232" s="4">
        <v>61.95</v>
      </c>
      <c r="I232" t="s">
        <v>46</v>
      </c>
      <c r="J232" s="6">
        <v>5</v>
      </c>
      <c r="K232" s="6">
        <v>1</v>
      </c>
      <c r="L232" t="s">
        <v>24</v>
      </c>
      <c r="M232" s="2">
        <v>44802</v>
      </c>
    </row>
    <row r="233" spans="1:13" x14ac:dyDescent="0.25">
      <c r="A233" t="s">
        <v>262</v>
      </c>
      <c r="B233" t="s">
        <v>26</v>
      </c>
      <c r="C233" s="6">
        <v>23</v>
      </c>
      <c r="D233" t="s">
        <v>21</v>
      </c>
      <c r="E233" t="s">
        <v>22</v>
      </c>
      <c r="F233" t="s">
        <v>17</v>
      </c>
      <c r="G233" s="6">
        <v>45</v>
      </c>
      <c r="H233" s="4">
        <v>34.68</v>
      </c>
      <c r="I233" t="s">
        <v>23</v>
      </c>
      <c r="J233" s="6">
        <v>3</v>
      </c>
      <c r="K233" s="6">
        <v>5</v>
      </c>
      <c r="L233" t="s">
        <v>24</v>
      </c>
      <c r="M233" s="2">
        <v>45172</v>
      </c>
    </row>
    <row r="234" spans="1:13" x14ac:dyDescent="0.25">
      <c r="A234" t="s">
        <v>263</v>
      </c>
      <c r="B234" t="s">
        <v>14</v>
      </c>
      <c r="C234" s="6">
        <v>46</v>
      </c>
      <c r="D234" t="s">
        <v>34</v>
      </c>
      <c r="E234" t="s">
        <v>35</v>
      </c>
      <c r="F234" t="s">
        <v>17</v>
      </c>
      <c r="G234" s="6">
        <v>39</v>
      </c>
      <c r="H234" s="4">
        <v>30.67</v>
      </c>
      <c r="I234" t="s">
        <v>18</v>
      </c>
      <c r="J234" s="6">
        <v>0</v>
      </c>
      <c r="K234" s="6">
        <v>3</v>
      </c>
      <c r="L234" t="s">
        <v>24</v>
      </c>
      <c r="M234" s="2">
        <v>45583</v>
      </c>
    </row>
    <row r="235" spans="1:13" x14ac:dyDescent="0.25">
      <c r="A235" t="s">
        <v>264</v>
      </c>
      <c r="B235" t="s">
        <v>14</v>
      </c>
      <c r="C235" s="6">
        <v>65</v>
      </c>
      <c r="D235" t="s">
        <v>30</v>
      </c>
      <c r="E235" t="s">
        <v>22</v>
      </c>
      <c r="F235" t="s">
        <v>17</v>
      </c>
      <c r="G235" s="6">
        <v>71</v>
      </c>
      <c r="H235" s="4">
        <v>32.4</v>
      </c>
      <c r="I235" t="s">
        <v>23</v>
      </c>
      <c r="J235" s="6">
        <v>7</v>
      </c>
      <c r="K235" s="6">
        <v>2</v>
      </c>
      <c r="L235" t="s">
        <v>24</v>
      </c>
      <c r="M235" s="2">
        <v>45486</v>
      </c>
    </row>
    <row r="236" spans="1:13" x14ac:dyDescent="0.25">
      <c r="A236" t="s">
        <v>265</v>
      </c>
      <c r="B236" t="s">
        <v>14</v>
      </c>
      <c r="C236" s="6">
        <v>29</v>
      </c>
      <c r="D236" t="s">
        <v>34</v>
      </c>
      <c r="E236" t="s">
        <v>35</v>
      </c>
      <c r="F236" t="s">
        <v>17</v>
      </c>
      <c r="G236" s="6">
        <v>26</v>
      </c>
      <c r="H236" s="4">
        <v>36.74</v>
      </c>
      <c r="I236" t="s">
        <v>23</v>
      </c>
      <c r="J236" s="6">
        <v>6</v>
      </c>
      <c r="K236" s="6">
        <v>1</v>
      </c>
      <c r="L236" t="s">
        <v>24</v>
      </c>
      <c r="M236" s="2">
        <v>44618</v>
      </c>
    </row>
    <row r="237" spans="1:13" x14ac:dyDescent="0.25">
      <c r="A237" t="s">
        <v>266</v>
      </c>
      <c r="B237" t="s">
        <v>26</v>
      </c>
      <c r="C237" s="6">
        <v>66</v>
      </c>
      <c r="D237" t="s">
        <v>21</v>
      </c>
      <c r="E237" t="s">
        <v>22</v>
      </c>
      <c r="F237" t="s">
        <v>17</v>
      </c>
      <c r="G237" s="6">
        <v>69</v>
      </c>
      <c r="H237" s="4">
        <v>32.799999999999997</v>
      </c>
      <c r="I237" t="s">
        <v>31</v>
      </c>
      <c r="J237" s="6">
        <v>3</v>
      </c>
      <c r="K237" s="6">
        <v>4</v>
      </c>
      <c r="L237" t="s">
        <v>24</v>
      </c>
      <c r="M237" s="2">
        <v>45570</v>
      </c>
    </row>
    <row r="238" spans="1:13" x14ac:dyDescent="0.25">
      <c r="A238" t="s">
        <v>267</v>
      </c>
      <c r="B238" t="s">
        <v>26</v>
      </c>
      <c r="C238" s="6">
        <v>51</v>
      </c>
      <c r="D238" t="s">
        <v>15</v>
      </c>
      <c r="E238" t="s">
        <v>22</v>
      </c>
      <c r="F238" t="s">
        <v>28</v>
      </c>
      <c r="G238" s="6">
        <v>51</v>
      </c>
      <c r="H238" s="4">
        <v>63.81</v>
      </c>
      <c r="I238" t="s">
        <v>31</v>
      </c>
      <c r="J238" s="6">
        <v>5</v>
      </c>
      <c r="K238" s="6">
        <v>4</v>
      </c>
      <c r="L238" t="s">
        <v>24</v>
      </c>
      <c r="M238" s="2">
        <v>45863</v>
      </c>
    </row>
    <row r="239" spans="1:13" x14ac:dyDescent="0.25">
      <c r="A239" t="s">
        <v>268</v>
      </c>
      <c r="B239" t="s">
        <v>26</v>
      </c>
      <c r="C239" s="6">
        <v>57</v>
      </c>
      <c r="D239" t="s">
        <v>21</v>
      </c>
      <c r="E239" t="s">
        <v>22</v>
      </c>
      <c r="F239" t="s">
        <v>17</v>
      </c>
      <c r="G239" s="6">
        <v>41</v>
      </c>
      <c r="H239" s="4">
        <v>31.77</v>
      </c>
      <c r="I239" t="s">
        <v>31</v>
      </c>
      <c r="J239" s="6">
        <v>1</v>
      </c>
      <c r="K239" s="6">
        <v>2</v>
      </c>
      <c r="L239" t="s">
        <v>24</v>
      </c>
      <c r="M239" s="2">
        <v>44486</v>
      </c>
    </row>
    <row r="240" spans="1:13" x14ac:dyDescent="0.25">
      <c r="A240" t="s">
        <v>269</v>
      </c>
      <c r="B240" t="s">
        <v>26</v>
      </c>
      <c r="C240" s="6">
        <v>44</v>
      </c>
      <c r="D240" t="s">
        <v>30</v>
      </c>
      <c r="E240" t="s">
        <v>22</v>
      </c>
      <c r="F240" t="s">
        <v>28</v>
      </c>
      <c r="G240" s="6">
        <v>55</v>
      </c>
      <c r="H240" s="4">
        <v>57.79</v>
      </c>
      <c r="I240" t="s">
        <v>46</v>
      </c>
      <c r="J240" s="6">
        <v>8</v>
      </c>
      <c r="K240" s="6">
        <v>2</v>
      </c>
      <c r="L240" t="s">
        <v>24</v>
      </c>
      <c r="M240" s="2">
        <v>44484</v>
      </c>
    </row>
    <row r="241" spans="1:13" x14ac:dyDescent="0.25">
      <c r="A241" t="s">
        <v>270</v>
      </c>
      <c r="B241" t="s">
        <v>14</v>
      </c>
      <c r="C241" s="6">
        <v>38</v>
      </c>
      <c r="D241" t="s">
        <v>34</v>
      </c>
      <c r="E241" t="s">
        <v>22</v>
      </c>
      <c r="F241" t="s">
        <v>17</v>
      </c>
      <c r="G241" s="6">
        <v>46</v>
      </c>
      <c r="H241" s="4">
        <v>44.28</v>
      </c>
      <c r="I241" t="s">
        <v>23</v>
      </c>
      <c r="J241" s="6">
        <v>2</v>
      </c>
      <c r="K241" s="6">
        <v>2</v>
      </c>
      <c r="L241" t="s">
        <v>24</v>
      </c>
      <c r="M241" s="2">
        <v>45347</v>
      </c>
    </row>
    <row r="242" spans="1:13" x14ac:dyDescent="0.25">
      <c r="A242" t="s">
        <v>271</v>
      </c>
      <c r="B242" t="s">
        <v>26</v>
      </c>
      <c r="C242" s="6">
        <v>44</v>
      </c>
      <c r="D242" t="s">
        <v>34</v>
      </c>
      <c r="E242" t="s">
        <v>35</v>
      </c>
      <c r="F242" t="s">
        <v>38</v>
      </c>
      <c r="G242" s="6">
        <v>57</v>
      </c>
      <c r="H242" s="4">
        <v>92.33</v>
      </c>
      <c r="I242" t="s">
        <v>18</v>
      </c>
      <c r="J242" s="6">
        <v>0</v>
      </c>
      <c r="K242" s="6">
        <v>2</v>
      </c>
      <c r="L242" t="s">
        <v>24</v>
      </c>
      <c r="M242" s="2">
        <v>44759</v>
      </c>
    </row>
    <row r="243" spans="1:13" x14ac:dyDescent="0.25">
      <c r="A243" t="s">
        <v>272</v>
      </c>
      <c r="B243" t="s">
        <v>14</v>
      </c>
      <c r="C243" s="6">
        <v>52</v>
      </c>
      <c r="D243" t="s">
        <v>15</v>
      </c>
      <c r="E243" t="s">
        <v>16</v>
      </c>
      <c r="F243" t="s">
        <v>28</v>
      </c>
      <c r="G243" s="6">
        <v>64</v>
      </c>
      <c r="H243" s="4">
        <v>63.25</v>
      </c>
      <c r="I243" t="s">
        <v>18</v>
      </c>
      <c r="J243" s="6">
        <v>1</v>
      </c>
      <c r="K243" s="6">
        <v>3</v>
      </c>
      <c r="L243" t="s">
        <v>24</v>
      </c>
      <c r="M243" s="2">
        <v>45883</v>
      </c>
    </row>
    <row r="244" spans="1:13" x14ac:dyDescent="0.25">
      <c r="A244" t="s">
        <v>273</v>
      </c>
      <c r="B244" t="s">
        <v>26</v>
      </c>
      <c r="C244" s="6">
        <v>52</v>
      </c>
      <c r="D244" t="s">
        <v>21</v>
      </c>
      <c r="E244" t="s">
        <v>22</v>
      </c>
      <c r="F244" t="s">
        <v>28</v>
      </c>
      <c r="G244" s="6">
        <v>70</v>
      </c>
      <c r="H244" s="4">
        <v>58.28</v>
      </c>
      <c r="I244" t="s">
        <v>23</v>
      </c>
      <c r="J244" s="6">
        <v>1</v>
      </c>
      <c r="K244" s="6">
        <v>2</v>
      </c>
      <c r="L244" t="s">
        <v>24</v>
      </c>
      <c r="M244" s="2">
        <v>44263</v>
      </c>
    </row>
    <row r="245" spans="1:13" x14ac:dyDescent="0.25">
      <c r="A245" t="s">
        <v>274</v>
      </c>
      <c r="B245" t="s">
        <v>26</v>
      </c>
      <c r="C245" s="6">
        <v>34</v>
      </c>
      <c r="D245" t="s">
        <v>15</v>
      </c>
      <c r="E245" t="s">
        <v>16</v>
      </c>
      <c r="F245" t="s">
        <v>28</v>
      </c>
      <c r="G245" s="6">
        <v>16</v>
      </c>
      <c r="H245" s="4">
        <v>66.63</v>
      </c>
      <c r="I245" t="s">
        <v>46</v>
      </c>
      <c r="J245" s="6">
        <v>3</v>
      </c>
      <c r="K245" s="6">
        <v>5</v>
      </c>
      <c r="L245" t="s">
        <v>24</v>
      </c>
      <c r="M245" s="2">
        <v>45960</v>
      </c>
    </row>
    <row r="246" spans="1:13" x14ac:dyDescent="0.25">
      <c r="A246" t="s">
        <v>275</v>
      </c>
      <c r="B246" t="s">
        <v>26</v>
      </c>
      <c r="C246" s="6">
        <v>28</v>
      </c>
      <c r="D246" t="s">
        <v>30</v>
      </c>
      <c r="E246" t="s">
        <v>16</v>
      </c>
      <c r="F246" t="s">
        <v>17</v>
      </c>
      <c r="G246" s="6">
        <v>8</v>
      </c>
      <c r="H246" s="4">
        <v>38.549999999999997</v>
      </c>
      <c r="I246" t="s">
        <v>31</v>
      </c>
      <c r="J246" s="6">
        <v>8</v>
      </c>
      <c r="K246" s="6">
        <v>2</v>
      </c>
      <c r="L246" t="s">
        <v>19</v>
      </c>
      <c r="M246" s="2">
        <v>45638</v>
      </c>
    </row>
    <row r="247" spans="1:13" x14ac:dyDescent="0.25">
      <c r="A247" t="s">
        <v>276</v>
      </c>
      <c r="B247" t="s">
        <v>26</v>
      </c>
      <c r="C247" s="6">
        <v>36</v>
      </c>
      <c r="D247" t="s">
        <v>15</v>
      </c>
      <c r="E247" t="s">
        <v>22</v>
      </c>
      <c r="F247" t="s">
        <v>38</v>
      </c>
      <c r="G247" s="6">
        <v>13</v>
      </c>
      <c r="H247" s="4">
        <v>87.03</v>
      </c>
      <c r="I247" t="s">
        <v>23</v>
      </c>
      <c r="J247" s="6">
        <v>0</v>
      </c>
      <c r="K247" s="6">
        <v>3</v>
      </c>
      <c r="L247" t="s">
        <v>24</v>
      </c>
      <c r="M247" s="2">
        <v>44456</v>
      </c>
    </row>
    <row r="248" spans="1:13" x14ac:dyDescent="0.25">
      <c r="A248" t="s">
        <v>277</v>
      </c>
      <c r="B248" t="s">
        <v>14</v>
      </c>
      <c r="C248" s="6">
        <v>33</v>
      </c>
      <c r="D248" t="s">
        <v>30</v>
      </c>
      <c r="E248" t="s">
        <v>22</v>
      </c>
      <c r="F248" t="s">
        <v>28</v>
      </c>
      <c r="G248" s="6">
        <v>32</v>
      </c>
      <c r="H248" s="4">
        <v>66.42</v>
      </c>
      <c r="I248" t="s">
        <v>23</v>
      </c>
      <c r="J248" s="6">
        <v>7</v>
      </c>
      <c r="K248" s="6">
        <v>2</v>
      </c>
      <c r="L248" t="s">
        <v>24</v>
      </c>
      <c r="M248" s="2">
        <v>44747</v>
      </c>
    </row>
    <row r="249" spans="1:13" x14ac:dyDescent="0.25">
      <c r="A249" t="s">
        <v>278</v>
      </c>
      <c r="B249" t="s">
        <v>26</v>
      </c>
      <c r="C249" s="6">
        <v>42</v>
      </c>
      <c r="D249" t="s">
        <v>34</v>
      </c>
      <c r="E249" t="s">
        <v>16</v>
      </c>
      <c r="F249" t="s">
        <v>38</v>
      </c>
      <c r="G249" s="6">
        <v>12</v>
      </c>
      <c r="H249" s="4">
        <v>91.04</v>
      </c>
      <c r="I249" t="s">
        <v>31</v>
      </c>
      <c r="J249" s="6">
        <v>5</v>
      </c>
      <c r="K249" s="6">
        <v>4</v>
      </c>
      <c r="L249" t="s">
        <v>24</v>
      </c>
      <c r="M249" s="2">
        <v>44867</v>
      </c>
    </row>
    <row r="250" spans="1:13" x14ac:dyDescent="0.25">
      <c r="A250" t="s">
        <v>279</v>
      </c>
      <c r="B250" t="s">
        <v>14</v>
      </c>
      <c r="C250" s="6">
        <v>67</v>
      </c>
      <c r="D250" t="s">
        <v>21</v>
      </c>
      <c r="E250" t="s">
        <v>22</v>
      </c>
      <c r="F250" t="s">
        <v>28</v>
      </c>
      <c r="G250" s="6">
        <v>46</v>
      </c>
      <c r="H250" s="4">
        <v>67.75</v>
      </c>
      <c r="I250" t="s">
        <v>23</v>
      </c>
      <c r="J250" s="6">
        <v>3</v>
      </c>
      <c r="K250" s="6">
        <v>4</v>
      </c>
      <c r="L250" t="s">
        <v>24</v>
      </c>
      <c r="M250" s="2">
        <v>45210</v>
      </c>
    </row>
    <row r="251" spans="1:13" x14ac:dyDescent="0.25">
      <c r="A251" t="s">
        <v>280</v>
      </c>
      <c r="B251" t="s">
        <v>26</v>
      </c>
      <c r="C251" s="6">
        <v>38</v>
      </c>
      <c r="D251" t="s">
        <v>15</v>
      </c>
      <c r="E251" t="s">
        <v>35</v>
      </c>
      <c r="F251" t="s">
        <v>38</v>
      </c>
      <c r="G251" s="6">
        <v>17</v>
      </c>
      <c r="H251" s="4">
        <v>93.49</v>
      </c>
      <c r="I251" t="s">
        <v>23</v>
      </c>
      <c r="J251" s="6">
        <v>5</v>
      </c>
      <c r="K251" s="6">
        <v>1</v>
      </c>
      <c r="L251" t="s">
        <v>19</v>
      </c>
      <c r="M251" s="2">
        <v>45479</v>
      </c>
    </row>
    <row r="252" spans="1:13" x14ac:dyDescent="0.25">
      <c r="A252" t="s">
        <v>281</v>
      </c>
      <c r="B252" t="s">
        <v>26</v>
      </c>
      <c r="C252" s="6">
        <v>19</v>
      </c>
      <c r="D252" t="s">
        <v>21</v>
      </c>
      <c r="E252" t="s">
        <v>16</v>
      </c>
      <c r="F252" t="s">
        <v>28</v>
      </c>
      <c r="G252" s="6">
        <v>59</v>
      </c>
      <c r="H252" s="4">
        <v>55.01</v>
      </c>
      <c r="I252" t="s">
        <v>23</v>
      </c>
      <c r="J252" s="6">
        <v>3</v>
      </c>
      <c r="K252" s="6">
        <v>2</v>
      </c>
      <c r="L252" t="s">
        <v>24</v>
      </c>
      <c r="M252" s="2">
        <v>44815</v>
      </c>
    </row>
    <row r="253" spans="1:13" x14ac:dyDescent="0.25">
      <c r="A253" t="s">
        <v>282</v>
      </c>
      <c r="B253" t="s">
        <v>14</v>
      </c>
      <c r="C253" s="6">
        <v>35</v>
      </c>
      <c r="D253" t="s">
        <v>21</v>
      </c>
      <c r="E253" t="s">
        <v>22</v>
      </c>
      <c r="F253" t="s">
        <v>28</v>
      </c>
      <c r="G253" s="6">
        <v>33</v>
      </c>
      <c r="H253" s="4">
        <v>56.24</v>
      </c>
      <c r="I253" t="s">
        <v>46</v>
      </c>
      <c r="J253" s="6">
        <v>0</v>
      </c>
      <c r="K253" s="6">
        <v>4</v>
      </c>
      <c r="L253" t="s">
        <v>24</v>
      </c>
      <c r="M253" s="2">
        <v>45683</v>
      </c>
    </row>
    <row r="254" spans="1:13" x14ac:dyDescent="0.25">
      <c r="A254" t="s">
        <v>283</v>
      </c>
      <c r="B254" t="s">
        <v>14</v>
      </c>
      <c r="C254" s="6">
        <v>45</v>
      </c>
      <c r="D254" t="s">
        <v>21</v>
      </c>
      <c r="E254" t="s">
        <v>22</v>
      </c>
      <c r="F254" t="s">
        <v>17</v>
      </c>
      <c r="G254" s="6">
        <v>1</v>
      </c>
      <c r="H254" s="4">
        <v>33.200000000000003</v>
      </c>
      <c r="I254" t="s">
        <v>18</v>
      </c>
      <c r="J254" s="6">
        <v>2</v>
      </c>
      <c r="K254" s="6">
        <v>5</v>
      </c>
      <c r="L254" t="s">
        <v>24</v>
      </c>
      <c r="M254" s="2">
        <v>45589</v>
      </c>
    </row>
    <row r="255" spans="1:13" x14ac:dyDescent="0.25">
      <c r="A255" t="s">
        <v>284</v>
      </c>
      <c r="B255" t="s">
        <v>26</v>
      </c>
      <c r="C255" s="6">
        <v>18</v>
      </c>
      <c r="D255" t="s">
        <v>21</v>
      </c>
      <c r="E255" t="s">
        <v>22</v>
      </c>
      <c r="F255" t="s">
        <v>28</v>
      </c>
      <c r="G255" s="6">
        <v>16</v>
      </c>
      <c r="H255" s="4">
        <v>69.819999999999993</v>
      </c>
      <c r="I255" t="s">
        <v>23</v>
      </c>
      <c r="J255" s="6">
        <v>2</v>
      </c>
      <c r="K255" s="6">
        <v>4</v>
      </c>
      <c r="L255" t="s">
        <v>19</v>
      </c>
      <c r="M255" s="2">
        <v>44981</v>
      </c>
    </row>
    <row r="256" spans="1:13" x14ac:dyDescent="0.25">
      <c r="A256" t="s">
        <v>285</v>
      </c>
      <c r="B256" t="s">
        <v>14</v>
      </c>
      <c r="C256" s="6">
        <v>64</v>
      </c>
      <c r="D256" t="s">
        <v>21</v>
      </c>
      <c r="E256" t="s">
        <v>16</v>
      </c>
      <c r="F256" t="s">
        <v>28</v>
      </c>
      <c r="G256" s="6">
        <v>48</v>
      </c>
      <c r="H256" s="4">
        <v>68.209999999999994</v>
      </c>
      <c r="I256" t="s">
        <v>46</v>
      </c>
      <c r="J256" s="6">
        <v>6</v>
      </c>
      <c r="K256" s="6">
        <v>2</v>
      </c>
      <c r="L256" t="s">
        <v>24</v>
      </c>
      <c r="M256" s="2">
        <v>45583</v>
      </c>
    </row>
    <row r="257" spans="1:13" x14ac:dyDescent="0.25">
      <c r="A257" t="s">
        <v>286</v>
      </c>
      <c r="B257" t="s">
        <v>14</v>
      </c>
      <c r="C257" s="6">
        <v>22</v>
      </c>
      <c r="D257" t="s">
        <v>21</v>
      </c>
      <c r="E257" t="s">
        <v>22</v>
      </c>
      <c r="F257" t="s">
        <v>38</v>
      </c>
      <c r="G257" s="6">
        <v>22</v>
      </c>
      <c r="H257" s="4">
        <v>91.6</v>
      </c>
      <c r="I257" t="s">
        <v>46</v>
      </c>
      <c r="J257" s="6">
        <v>2</v>
      </c>
      <c r="K257" s="6">
        <v>4</v>
      </c>
      <c r="L257" t="s">
        <v>24</v>
      </c>
      <c r="M257" s="2">
        <v>45103</v>
      </c>
    </row>
    <row r="258" spans="1:13" x14ac:dyDescent="0.25">
      <c r="A258" t="s">
        <v>287</v>
      </c>
      <c r="B258" t="s">
        <v>14</v>
      </c>
      <c r="C258" s="6">
        <v>23</v>
      </c>
      <c r="D258" t="s">
        <v>21</v>
      </c>
      <c r="E258" t="s">
        <v>16</v>
      </c>
      <c r="F258" t="s">
        <v>17</v>
      </c>
      <c r="G258" s="6">
        <v>50</v>
      </c>
      <c r="H258" s="4">
        <v>35.270000000000003</v>
      </c>
      <c r="I258" t="s">
        <v>23</v>
      </c>
      <c r="J258" s="6">
        <v>5</v>
      </c>
      <c r="K258" s="6">
        <v>2</v>
      </c>
      <c r="L258" t="s">
        <v>19</v>
      </c>
      <c r="M258" s="2">
        <v>45517</v>
      </c>
    </row>
    <row r="259" spans="1:13" x14ac:dyDescent="0.25">
      <c r="A259" t="s">
        <v>288</v>
      </c>
      <c r="B259" t="s">
        <v>14</v>
      </c>
      <c r="C259" s="6">
        <v>33</v>
      </c>
      <c r="D259" t="s">
        <v>15</v>
      </c>
      <c r="E259" t="s">
        <v>22</v>
      </c>
      <c r="F259" t="s">
        <v>17</v>
      </c>
      <c r="G259" s="6">
        <v>39</v>
      </c>
      <c r="H259" s="4">
        <v>33.08</v>
      </c>
      <c r="I259" t="s">
        <v>46</v>
      </c>
      <c r="J259" s="6">
        <v>6</v>
      </c>
      <c r="K259" s="6">
        <v>3</v>
      </c>
      <c r="L259" t="s">
        <v>24</v>
      </c>
      <c r="M259" s="2">
        <v>45802</v>
      </c>
    </row>
    <row r="260" spans="1:13" x14ac:dyDescent="0.25">
      <c r="A260" t="s">
        <v>289</v>
      </c>
      <c r="B260" t="s">
        <v>14</v>
      </c>
      <c r="C260" s="6">
        <v>49</v>
      </c>
      <c r="D260" t="s">
        <v>34</v>
      </c>
      <c r="E260" t="s">
        <v>16</v>
      </c>
      <c r="F260" t="s">
        <v>17</v>
      </c>
      <c r="G260" s="6">
        <v>64</v>
      </c>
      <c r="H260" s="4">
        <v>39.57</v>
      </c>
      <c r="I260" t="s">
        <v>18</v>
      </c>
      <c r="J260" s="6">
        <v>8</v>
      </c>
      <c r="K260" s="6">
        <v>1</v>
      </c>
      <c r="L260" t="s">
        <v>24</v>
      </c>
      <c r="M260" s="2">
        <v>44845</v>
      </c>
    </row>
    <row r="261" spans="1:13" x14ac:dyDescent="0.25">
      <c r="A261" t="s">
        <v>290</v>
      </c>
      <c r="B261" t="s">
        <v>14</v>
      </c>
      <c r="C261" s="6">
        <v>42</v>
      </c>
      <c r="D261" t="s">
        <v>34</v>
      </c>
      <c r="E261" t="s">
        <v>35</v>
      </c>
      <c r="F261" t="s">
        <v>38</v>
      </c>
      <c r="G261" s="6">
        <v>23</v>
      </c>
      <c r="H261" s="4">
        <v>96.44</v>
      </c>
      <c r="I261" t="s">
        <v>18</v>
      </c>
      <c r="J261" s="6">
        <v>0</v>
      </c>
      <c r="K261" s="6">
        <v>5</v>
      </c>
      <c r="L261" t="s">
        <v>19</v>
      </c>
      <c r="M261" s="2">
        <v>44733</v>
      </c>
    </row>
    <row r="262" spans="1:13" x14ac:dyDescent="0.25">
      <c r="A262" t="s">
        <v>291</v>
      </c>
      <c r="B262" t="s">
        <v>14</v>
      </c>
      <c r="C262" s="6">
        <v>20</v>
      </c>
      <c r="D262" t="s">
        <v>21</v>
      </c>
      <c r="E262" t="s">
        <v>35</v>
      </c>
      <c r="F262" t="s">
        <v>38</v>
      </c>
      <c r="G262" s="6">
        <v>37</v>
      </c>
      <c r="H262" s="4">
        <v>94.43</v>
      </c>
      <c r="I262" t="s">
        <v>23</v>
      </c>
      <c r="J262" s="6">
        <v>6</v>
      </c>
      <c r="K262" s="6">
        <v>4</v>
      </c>
      <c r="L262" t="s">
        <v>19</v>
      </c>
      <c r="M262" s="2">
        <v>45295</v>
      </c>
    </row>
    <row r="263" spans="1:13" x14ac:dyDescent="0.25">
      <c r="A263" t="s">
        <v>292</v>
      </c>
      <c r="B263" t="s">
        <v>14</v>
      </c>
      <c r="C263" s="6">
        <v>35</v>
      </c>
      <c r="D263" t="s">
        <v>21</v>
      </c>
      <c r="E263" t="s">
        <v>35</v>
      </c>
      <c r="F263" t="s">
        <v>17</v>
      </c>
      <c r="G263" s="6">
        <v>66</v>
      </c>
      <c r="H263" s="4">
        <v>43.81</v>
      </c>
      <c r="I263" t="s">
        <v>46</v>
      </c>
      <c r="J263" s="6">
        <v>8</v>
      </c>
      <c r="K263" s="6">
        <v>3</v>
      </c>
      <c r="L263" t="s">
        <v>24</v>
      </c>
      <c r="M263" s="2">
        <v>45496</v>
      </c>
    </row>
    <row r="264" spans="1:13" x14ac:dyDescent="0.25">
      <c r="A264" t="s">
        <v>293</v>
      </c>
      <c r="B264" t="s">
        <v>14</v>
      </c>
      <c r="C264" s="6">
        <v>37</v>
      </c>
      <c r="D264" t="s">
        <v>34</v>
      </c>
      <c r="E264" t="s">
        <v>22</v>
      </c>
      <c r="F264" t="s">
        <v>17</v>
      </c>
      <c r="G264" s="6">
        <v>8</v>
      </c>
      <c r="H264" s="4">
        <v>33.67</v>
      </c>
      <c r="I264" t="s">
        <v>23</v>
      </c>
      <c r="J264" s="6">
        <v>1</v>
      </c>
      <c r="K264" s="6">
        <v>4</v>
      </c>
      <c r="L264" t="s">
        <v>24</v>
      </c>
      <c r="M264" s="2">
        <v>44309</v>
      </c>
    </row>
    <row r="265" spans="1:13" x14ac:dyDescent="0.25">
      <c r="A265" t="s">
        <v>294</v>
      </c>
      <c r="B265" t="s">
        <v>26</v>
      </c>
      <c r="C265" s="6">
        <v>60</v>
      </c>
      <c r="D265" t="s">
        <v>30</v>
      </c>
      <c r="E265" t="s">
        <v>16</v>
      </c>
      <c r="F265" t="s">
        <v>17</v>
      </c>
      <c r="G265" s="6">
        <v>18</v>
      </c>
      <c r="H265" s="4">
        <v>40.520000000000003</v>
      </c>
      <c r="I265" t="s">
        <v>46</v>
      </c>
      <c r="J265" s="6">
        <v>7</v>
      </c>
      <c r="K265" s="6">
        <v>3</v>
      </c>
      <c r="L265" t="s">
        <v>24</v>
      </c>
      <c r="M265" s="2">
        <v>45800</v>
      </c>
    </row>
    <row r="266" spans="1:13" x14ac:dyDescent="0.25">
      <c r="A266" t="s">
        <v>295</v>
      </c>
      <c r="B266" t="s">
        <v>26</v>
      </c>
      <c r="C266" s="6">
        <v>28</v>
      </c>
      <c r="D266" t="s">
        <v>15</v>
      </c>
      <c r="E266" t="s">
        <v>16</v>
      </c>
      <c r="F266" t="s">
        <v>38</v>
      </c>
      <c r="G266" s="6">
        <v>35</v>
      </c>
      <c r="H266" s="4">
        <v>95.99</v>
      </c>
      <c r="I266" t="s">
        <v>18</v>
      </c>
      <c r="J266" s="6">
        <v>0</v>
      </c>
      <c r="K266" s="6">
        <v>3</v>
      </c>
      <c r="L266" t="s">
        <v>24</v>
      </c>
      <c r="M266" s="2">
        <v>44754</v>
      </c>
    </row>
    <row r="267" spans="1:13" x14ac:dyDescent="0.25">
      <c r="A267" t="s">
        <v>296</v>
      </c>
      <c r="B267" t="s">
        <v>14</v>
      </c>
      <c r="C267" s="6">
        <v>34</v>
      </c>
      <c r="D267" t="s">
        <v>21</v>
      </c>
      <c r="E267" t="s">
        <v>35</v>
      </c>
      <c r="F267" t="s">
        <v>28</v>
      </c>
      <c r="G267" s="6">
        <v>66</v>
      </c>
      <c r="H267" s="4">
        <v>60.4</v>
      </c>
      <c r="I267" t="s">
        <v>23</v>
      </c>
      <c r="J267" s="6">
        <v>2</v>
      </c>
      <c r="K267" s="6">
        <v>3</v>
      </c>
      <c r="L267" t="s">
        <v>24</v>
      </c>
      <c r="M267" s="2">
        <v>45780</v>
      </c>
    </row>
    <row r="268" spans="1:13" x14ac:dyDescent="0.25">
      <c r="A268" t="s">
        <v>297</v>
      </c>
      <c r="B268" t="s">
        <v>14</v>
      </c>
      <c r="C268" s="6">
        <v>54</v>
      </c>
      <c r="D268" t="s">
        <v>21</v>
      </c>
      <c r="E268" t="s">
        <v>16</v>
      </c>
      <c r="F268" t="s">
        <v>38</v>
      </c>
      <c r="G268" s="6">
        <v>66</v>
      </c>
      <c r="H268" s="4">
        <v>85.04</v>
      </c>
      <c r="I268" t="s">
        <v>18</v>
      </c>
      <c r="J268" s="6">
        <v>3</v>
      </c>
      <c r="K268" s="6">
        <v>1</v>
      </c>
      <c r="L268" t="s">
        <v>24</v>
      </c>
      <c r="M268" s="2">
        <v>44981</v>
      </c>
    </row>
    <row r="269" spans="1:13" x14ac:dyDescent="0.25">
      <c r="A269" t="s">
        <v>298</v>
      </c>
      <c r="B269" t="s">
        <v>14</v>
      </c>
      <c r="C269" s="6">
        <v>29</v>
      </c>
      <c r="D269" t="s">
        <v>21</v>
      </c>
      <c r="E269" t="s">
        <v>22</v>
      </c>
      <c r="F269" t="s">
        <v>38</v>
      </c>
      <c r="G269" s="6">
        <v>54</v>
      </c>
      <c r="H269" s="4">
        <v>88.37</v>
      </c>
      <c r="I269" t="s">
        <v>46</v>
      </c>
      <c r="J269" s="6">
        <v>6</v>
      </c>
      <c r="K269" s="6">
        <v>3</v>
      </c>
      <c r="L269" t="s">
        <v>24</v>
      </c>
      <c r="M269" s="2">
        <v>44356</v>
      </c>
    </row>
    <row r="270" spans="1:13" x14ac:dyDescent="0.25">
      <c r="A270" t="s">
        <v>299</v>
      </c>
      <c r="B270" t="s">
        <v>26</v>
      </c>
      <c r="C270" s="6">
        <v>25</v>
      </c>
      <c r="D270" t="s">
        <v>21</v>
      </c>
      <c r="E270" t="s">
        <v>16</v>
      </c>
      <c r="F270" t="s">
        <v>17</v>
      </c>
      <c r="G270" s="6">
        <v>67</v>
      </c>
      <c r="H270" s="4">
        <v>44.72</v>
      </c>
      <c r="I270" t="s">
        <v>23</v>
      </c>
      <c r="J270" s="6">
        <v>1</v>
      </c>
      <c r="K270" s="6">
        <v>4</v>
      </c>
      <c r="L270" t="s">
        <v>24</v>
      </c>
      <c r="M270" s="2">
        <v>45781</v>
      </c>
    </row>
    <row r="271" spans="1:13" x14ac:dyDescent="0.25">
      <c r="A271" t="s">
        <v>300</v>
      </c>
      <c r="B271" t="s">
        <v>26</v>
      </c>
      <c r="C271" s="6">
        <v>38</v>
      </c>
      <c r="D271" t="s">
        <v>21</v>
      </c>
      <c r="E271" t="s">
        <v>22</v>
      </c>
      <c r="F271" t="s">
        <v>28</v>
      </c>
      <c r="G271" s="6">
        <v>2</v>
      </c>
      <c r="H271" s="4">
        <v>60.53</v>
      </c>
      <c r="I271" t="s">
        <v>31</v>
      </c>
      <c r="J271" s="6">
        <v>4</v>
      </c>
      <c r="K271" s="6">
        <v>5</v>
      </c>
      <c r="L271" t="s">
        <v>24</v>
      </c>
      <c r="M271" s="2">
        <v>44951</v>
      </c>
    </row>
    <row r="272" spans="1:13" x14ac:dyDescent="0.25">
      <c r="A272" t="s">
        <v>301</v>
      </c>
      <c r="B272" t="s">
        <v>26</v>
      </c>
      <c r="C272" s="6">
        <v>67</v>
      </c>
      <c r="D272" t="s">
        <v>30</v>
      </c>
      <c r="E272" t="s">
        <v>22</v>
      </c>
      <c r="F272" t="s">
        <v>38</v>
      </c>
      <c r="G272" s="6">
        <v>32</v>
      </c>
      <c r="H272" s="4">
        <v>87.26</v>
      </c>
      <c r="I272" t="s">
        <v>23</v>
      </c>
      <c r="J272" s="6">
        <v>0</v>
      </c>
      <c r="K272" s="6">
        <v>2</v>
      </c>
      <c r="L272" t="s">
        <v>24</v>
      </c>
      <c r="M272" s="2">
        <v>45499</v>
      </c>
    </row>
    <row r="273" spans="1:13" x14ac:dyDescent="0.25">
      <c r="A273" t="s">
        <v>302</v>
      </c>
      <c r="B273" t="s">
        <v>14</v>
      </c>
      <c r="C273" s="6">
        <v>39</v>
      </c>
      <c r="D273" t="s">
        <v>21</v>
      </c>
      <c r="E273" t="s">
        <v>22</v>
      </c>
      <c r="F273" t="s">
        <v>28</v>
      </c>
      <c r="G273" s="6">
        <v>40</v>
      </c>
      <c r="H273" s="4">
        <v>56.56</v>
      </c>
      <c r="I273" t="s">
        <v>46</v>
      </c>
      <c r="J273" s="6">
        <v>6</v>
      </c>
      <c r="K273" s="6">
        <v>4</v>
      </c>
      <c r="L273" t="s">
        <v>24</v>
      </c>
      <c r="M273" s="2">
        <v>44488</v>
      </c>
    </row>
    <row r="274" spans="1:13" x14ac:dyDescent="0.25">
      <c r="A274" t="s">
        <v>303</v>
      </c>
      <c r="B274" t="s">
        <v>26</v>
      </c>
      <c r="C274" s="6">
        <v>23</v>
      </c>
      <c r="D274" t="s">
        <v>21</v>
      </c>
      <c r="E274" t="s">
        <v>16</v>
      </c>
      <c r="F274" t="s">
        <v>38</v>
      </c>
      <c r="G274" s="6">
        <v>53</v>
      </c>
      <c r="H274" s="4">
        <v>95.51</v>
      </c>
      <c r="I274" t="s">
        <v>31</v>
      </c>
      <c r="J274" s="6">
        <v>7</v>
      </c>
      <c r="K274" s="6">
        <v>1</v>
      </c>
      <c r="L274" t="s">
        <v>24</v>
      </c>
      <c r="M274" s="2">
        <v>45232</v>
      </c>
    </row>
    <row r="275" spans="1:13" x14ac:dyDescent="0.25">
      <c r="A275" t="s">
        <v>304</v>
      </c>
      <c r="B275" t="s">
        <v>14</v>
      </c>
      <c r="C275" s="6">
        <v>58</v>
      </c>
      <c r="D275" t="s">
        <v>34</v>
      </c>
      <c r="E275" t="s">
        <v>16</v>
      </c>
      <c r="F275" t="s">
        <v>38</v>
      </c>
      <c r="G275" s="6">
        <v>8</v>
      </c>
      <c r="H275" s="4">
        <v>91.52</v>
      </c>
      <c r="I275" t="s">
        <v>46</v>
      </c>
      <c r="J275" s="6">
        <v>3</v>
      </c>
      <c r="K275" s="6">
        <v>3</v>
      </c>
      <c r="L275" t="s">
        <v>19</v>
      </c>
      <c r="M275" s="2">
        <v>44842</v>
      </c>
    </row>
    <row r="276" spans="1:13" x14ac:dyDescent="0.25">
      <c r="A276" t="s">
        <v>305</v>
      </c>
      <c r="B276" t="s">
        <v>26</v>
      </c>
      <c r="C276" s="6">
        <v>62</v>
      </c>
      <c r="D276" t="s">
        <v>15</v>
      </c>
      <c r="E276" t="s">
        <v>35</v>
      </c>
      <c r="F276" t="s">
        <v>28</v>
      </c>
      <c r="G276" s="6">
        <v>35</v>
      </c>
      <c r="H276" s="4">
        <v>58.5</v>
      </c>
      <c r="I276" t="s">
        <v>46</v>
      </c>
      <c r="J276" s="6">
        <v>2</v>
      </c>
      <c r="K276" s="6">
        <v>5</v>
      </c>
      <c r="L276" t="s">
        <v>19</v>
      </c>
      <c r="M276" s="2">
        <v>44413</v>
      </c>
    </row>
    <row r="277" spans="1:13" x14ac:dyDescent="0.25">
      <c r="A277" t="s">
        <v>306</v>
      </c>
      <c r="B277" t="s">
        <v>14</v>
      </c>
      <c r="C277" s="6">
        <v>46</v>
      </c>
      <c r="D277" t="s">
        <v>34</v>
      </c>
      <c r="E277" t="s">
        <v>35</v>
      </c>
      <c r="F277" t="s">
        <v>28</v>
      </c>
      <c r="G277" s="6">
        <v>16</v>
      </c>
      <c r="H277" s="4">
        <v>63.04</v>
      </c>
      <c r="I277" t="s">
        <v>46</v>
      </c>
      <c r="J277" s="6">
        <v>7</v>
      </c>
      <c r="K277" s="6">
        <v>3</v>
      </c>
      <c r="L277" t="s">
        <v>24</v>
      </c>
      <c r="M277" s="2">
        <v>45942</v>
      </c>
    </row>
    <row r="278" spans="1:13" x14ac:dyDescent="0.25">
      <c r="A278" t="s">
        <v>307</v>
      </c>
      <c r="B278" t="s">
        <v>14</v>
      </c>
      <c r="C278" s="6">
        <v>23</v>
      </c>
      <c r="D278" t="s">
        <v>30</v>
      </c>
      <c r="E278" t="s">
        <v>22</v>
      </c>
      <c r="F278" t="s">
        <v>28</v>
      </c>
      <c r="G278" s="6">
        <v>6</v>
      </c>
      <c r="H278" s="4">
        <v>58.23</v>
      </c>
      <c r="I278" t="s">
        <v>31</v>
      </c>
      <c r="J278" s="6">
        <v>2</v>
      </c>
      <c r="K278" s="6">
        <v>1</v>
      </c>
      <c r="L278" t="s">
        <v>24</v>
      </c>
      <c r="M278" s="2">
        <v>44925</v>
      </c>
    </row>
    <row r="279" spans="1:13" x14ac:dyDescent="0.25">
      <c r="A279" t="s">
        <v>308</v>
      </c>
      <c r="B279" t="s">
        <v>26</v>
      </c>
      <c r="C279" s="6">
        <v>50</v>
      </c>
      <c r="D279" t="s">
        <v>21</v>
      </c>
      <c r="E279" t="s">
        <v>22</v>
      </c>
      <c r="F279" t="s">
        <v>28</v>
      </c>
      <c r="G279" s="6">
        <v>34</v>
      </c>
      <c r="H279" s="4">
        <v>67.3</v>
      </c>
      <c r="I279" t="s">
        <v>46</v>
      </c>
      <c r="J279" s="6">
        <v>0</v>
      </c>
      <c r="K279" s="6">
        <v>4</v>
      </c>
      <c r="L279" t="s">
        <v>24</v>
      </c>
      <c r="M279" s="2">
        <v>45335</v>
      </c>
    </row>
    <row r="280" spans="1:13" x14ac:dyDescent="0.25">
      <c r="A280" t="s">
        <v>309</v>
      </c>
      <c r="B280" t="s">
        <v>14</v>
      </c>
      <c r="C280" s="6">
        <v>24</v>
      </c>
      <c r="D280" t="s">
        <v>34</v>
      </c>
      <c r="E280" t="s">
        <v>16</v>
      </c>
      <c r="F280" t="s">
        <v>17</v>
      </c>
      <c r="G280" s="6">
        <v>16</v>
      </c>
      <c r="H280" s="4">
        <v>30.18</v>
      </c>
      <c r="I280" t="s">
        <v>46</v>
      </c>
      <c r="J280" s="6">
        <v>2</v>
      </c>
      <c r="K280" s="6">
        <v>2</v>
      </c>
      <c r="L280" t="s">
        <v>24</v>
      </c>
      <c r="M280" s="2">
        <v>44959</v>
      </c>
    </row>
    <row r="281" spans="1:13" x14ac:dyDescent="0.25">
      <c r="A281" t="s">
        <v>310</v>
      </c>
      <c r="B281" t="s">
        <v>14</v>
      </c>
      <c r="C281" s="6">
        <v>55</v>
      </c>
      <c r="D281" t="s">
        <v>15</v>
      </c>
      <c r="E281" t="s">
        <v>16</v>
      </c>
      <c r="F281" t="s">
        <v>17</v>
      </c>
      <c r="G281" s="6">
        <v>9</v>
      </c>
      <c r="H281" s="4">
        <v>32.97</v>
      </c>
      <c r="I281" t="s">
        <v>23</v>
      </c>
      <c r="J281" s="6">
        <v>2</v>
      </c>
      <c r="K281" s="6">
        <v>1</v>
      </c>
      <c r="L281" t="s">
        <v>24</v>
      </c>
      <c r="M281" s="2">
        <v>45895</v>
      </c>
    </row>
    <row r="282" spans="1:13" x14ac:dyDescent="0.25">
      <c r="A282" t="s">
        <v>311</v>
      </c>
      <c r="B282" t="s">
        <v>26</v>
      </c>
      <c r="C282" s="6">
        <v>25</v>
      </c>
      <c r="D282" t="s">
        <v>21</v>
      </c>
      <c r="E282" t="s">
        <v>35</v>
      </c>
      <c r="F282" t="s">
        <v>17</v>
      </c>
      <c r="G282" s="6">
        <v>22</v>
      </c>
      <c r="H282" s="4">
        <v>43.86</v>
      </c>
      <c r="I282" t="s">
        <v>23</v>
      </c>
      <c r="J282" s="6">
        <v>6</v>
      </c>
      <c r="K282" s="6">
        <v>4</v>
      </c>
      <c r="L282" t="s">
        <v>19</v>
      </c>
      <c r="M282" s="2">
        <v>45596</v>
      </c>
    </row>
    <row r="283" spans="1:13" x14ac:dyDescent="0.25">
      <c r="A283" t="s">
        <v>312</v>
      </c>
      <c r="B283" t="s">
        <v>26</v>
      </c>
      <c r="C283" s="6">
        <v>29</v>
      </c>
      <c r="D283" t="s">
        <v>15</v>
      </c>
      <c r="E283" t="s">
        <v>16</v>
      </c>
      <c r="F283" t="s">
        <v>17</v>
      </c>
      <c r="G283" s="6">
        <v>36</v>
      </c>
      <c r="H283" s="4">
        <v>34.200000000000003</v>
      </c>
      <c r="I283" t="s">
        <v>46</v>
      </c>
      <c r="J283" s="6">
        <v>0</v>
      </c>
      <c r="K283" s="6">
        <v>5</v>
      </c>
      <c r="L283" t="s">
        <v>24</v>
      </c>
      <c r="M283" s="2">
        <v>44700</v>
      </c>
    </row>
    <row r="284" spans="1:13" x14ac:dyDescent="0.25">
      <c r="A284" t="s">
        <v>313</v>
      </c>
      <c r="B284" t="s">
        <v>26</v>
      </c>
      <c r="C284" s="6">
        <v>49</v>
      </c>
      <c r="D284" t="s">
        <v>34</v>
      </c>
      <c r="E284" t="s">
        <v>22</v>
      </c>
      <c r="F284" t="s">
        <v>28</v>
      </c>
      <c r="G284" s="6">
        <v>8</v>
      </c>
      <c r="H284" s="4">
        <v>56.32</v>
      </c>
      <c r="I284" t="s">
        <v>23</v>
      </c>
      <c r="J284" s="6">
        <v>2</v>
      </c>
      <c r="K284" s="6">
        <v>4</v>
      </c>
      <c r="L284" t="s">
        <v>24</v>
      </c>
      <c r="M284" s="2">
        <v>45829</v>
      </c>
    </row>
    <row r="285" spans="1:13" x14ac:dyDescent="0.25">
      <c r="A285" t="s">
        <v>314</v>
      </c>
      <c r="B285" t="s">
        <v>14</v>
      </c>
      <c r="C285" s="6">
        <v>58</v>
      </c>
      <c r="D285" t="s">
        <v>21</v>
      </c>
      <c r="E285" t="s">
        <v>35</v>
      </c>
      <c r="F285" t="s">
        <v>38</v>
      </c>
      <c r="G285" s="6">
        <v>46</v>
      </c>
      <c r="H285" s="4">
        <v>92.2</v>
      </c>
      <c r="I285" t="s">
        <v>23</v>
      </c>
      <c r="J285" s="6">
        <v>5</v>
      </c>
      <c r="K285" s="6">
        <v>5</v>
      </c>
      <c r="L285" t="s">
        <v>24</v>
      </c>
      <c r="M285" s="2">
        <v>44992</v>
      </c>
    </row>
    <row r="286" spans="1:13" x14ac:dyDescent="0.25">
      <c r="A286" t="s">
        <v>315</v>
      </c>
      <c r="B286" t="s">
        <v>26</v>
      </c>
      <c r="C286" s="6">
        <v>29</v>
      </c>
      <c r="D286" t="s">
        <v>21</v>
      </c>
      <c r="E286" t="s">
        <v>35</v>
      </c>
      <c r="F286" t="s">
        <v>38</v>
      </c>
      <c r="G286" s="6">
        <v>29</v>
      </c>
      <c r="H286" s="4">
        <v>85.44</v>
      </c>
      <c r="I286" t="s">
        <v>31</v>
      </c>
      <c r="J286" s="6">
        <v>0</v>
      </c>
      <c r="K286" s="6">
        <v>4</v>
      </c>
      <c r="L286" t="s">
        <v>24</v>
      </c>
      <c r="M286" s="2">
        <v>45767</v>
      </c>
    </row>
    <row r="287" spans="1:13" x14ac:dyDescent="0.25">
      <c r="A287" t="s">
        <v>316</v>
      </c>
      <c r="B287" t="s">
        <v>14</v>
      </c>
      <c r="C287" s="6">
        <v>28</v>
      </c>
      <c r="D287" t="s">
        <v>21</v>
      </c>
      <c r="E287" t="s">
        <v>16</v>
      </c>
      <c r="F287" t="s">
        <v>38</v>
      </c>
      <c r="G287" s="6">
        <v>31</v>
      </c>
      <c r="H287" s="4">
        <v>89</v>
      </c>
      <c r="I287" t="s">
        <v>18</v>
      </c>
      <c r="J287" s="6">
        <v>3</v>
      </c>
      <c r="K287" s="6">
        <v>5</v>
      </c>
      <c r="L287" t="s">
        <v>24</v>
      </c>
      <c r="M287" s="2">
        <v>45830</v>
      </c>
    </row>
    <row r="288" spans="1:13" x14ac:dyDescent="0.25">
      <c r="A288" t="s">
        <v>317</v>
      </c>
      <c r="B288" t="s">
        <v>26</v>
      </c>
      <c r="C288" s="6">
        <v>40</v>
      </c>
      <c r="D288" t="s">
        <v>30</v>
      </c>
      <c r="E288" t="s">
        <v>16</v>
      </c>
      <c r="F288" t="s">
        <v>17</v>
      </c>
      <c r="G288" s="6">
        <v>41</v>
      </c>
      <c r="H288" s="4">
        <v>42.09</v>
      </c>
      <c r="I288" t="s">
        <v>31</v>
      </c>
      <c r="J288" s="6">
        <v>0</v>
      </c>
      <c r="K288" s="6">
        <v>3</v>
      </c>
      <c r="L288" t="s">
        <v>24</v>
      </c>
      <c r="M288" s="2">
        <v>45351</v>
      </c>
    </row>
    <row r="289" spans="1:13" x14ac:dyDescent="0.25">
      <c r="A289" t="s">
        <v>318</v>
      </c>
      <c r="B289" t="s">
        <v>14</v>
      </c>
      <c r="C289" s="6">
        <v>54</v>
      </c>
      <c r="D289" t="s">
        <v>30</v>
      </c>
      <c r="E289" t="s">
        <v>35</v>
      </c>
      <c r="F289" t="s">
        <v>38</v>
      </c>
      <c r="G289" s="6">
        <v>40</v>
      </c>
      <c r="H289" s="4">
        <v>87.63</v>
      </c>
      <c r="I289" t="s">
        <v>18</v>
      </c>
      <c r="J289" s="6">
        <v>1</v>
      </c>
      <c r="K289" s="6">
        <v>1</v>
      </c>
      <c r="L289" t="s">
        <v>24</v>
      </c>
      <c r="M289" s="2">
        <v>44645</v>
      </c>
    </row>
    <row r="290" spans="1:13" x14ac:dyDescent="0.25">
      <c r="A290" t="s">
        <v>319</v>
      </c>
      <c r="B290" t="s">
        <v>14</v>
      </c>
      <c r="C290" s="6">
        <v>51</v>
      </c>
      <c r="D290" t="s">
        <v>34</v>
      </c>
      <c r="E290" t="s">
        <v>16</v>
      </c>
      <c r="F290" t="s">
        <v>28</v>
      </c>
      <c r="G290" s="6">
        <v>26</v>
      </c>
      <c r="H290" s="4">
        <v>67.099999999999994</v>
      </c>
      <c r="I290" t="s">
        <v>31</v>
      </c>
      <c r="J290" s="6">
        <v>2</v>
      </c>
      <c r="K290" s="6">
        <v>3</v>
      </c>
      <c r="L290" t="s">
        <v>19</v>
      </c>
      <c r="M290" s="2">
        <v>44499</v>
      </c>
    </row>
    <row r="291" spans="1:13" x14ac:dyDescent="0.25">
      <c r="A291" t="s">
        <v>320</v>
      </c>
      <c r="B291" t="s">
        <v>14</v>
      </c>
      <c r="C291" s="6">
        <v>67</v>
      </c>
      <c r="D291" t="s">
        <v>21</v>
      </c>
      <c r="E291" t="s">
        <v>22</v>
      </c>
      <c r="F291" t="s">
        <v>28</v>
      </c>
      <c r="G291" s="6">
        <v>10</v>
      </c>
      <c r="H291" s="4">
        <v>60.6</v>
      </c>
      <c r="I291" t="s">
        <v>23</v>
      </c>
      <c r="J291" s="6">
        <v>1</v>
      </c>
      <c r="K291" s="6">
        <v>3</v>
      </c>
      <c r="L291" t="s">
        <v>24</v>
      </c>
      <c r="M291" s="2">
        <v>44476</v>
      </c>
    </row>
    <row r="292" spans="1:13" x14ac:dyDescent="0.25">
      <c r="A292" t="s">
        <v>321</v>
      </c>
      <c r="B292" t="s">
        <v>14</v>
      </c>
      <c r="C292" s="6">
        <v>64</v>
      </c>
      <c r="D292" t="s">
        <v>34</v>
      </c>
      <c r="E292" t="s">
        <v>22</v>
      </c>
      <c r="F292" t="s">
        <v>28</v>
      </c>
      <c r="G292" s="6">
        <v>41</v>
      </c>
      <c r="H292" s="4">
        <v>57.61</v>
      </c>
      <c r="I292" t="s">
        <v>31</v>
      </c>
      <c r="J292" s="6">
        <v>3</v>
      </c>
      <c r="K292" s="6">
        <v>5</v>
      </c>
      <c r="L292" t="s">
        <v>24</v>
      </c>
      <c r="M292" s="2">
        <v>44971</v>
      </c>
    </row>
    <row r="293" spans="1:13" x14ac:dyDescent="0.25">
      <c r="A293" t="s">
        <v>322</v>
      </c>
      <c r="B293" t="s">
        <v>26</v>
      </c>
      <c r="C293" s="6">
        <v>64</v>
      </c>
      <c r="D293" t="s">
        <v>15</v>
      </c>
      <c r="E293" t="s">
        <v>16</v>
      </c>
      <c r="F293" t="s">
        <v>17</v>
      </c>
      <c r="G293" s="6">
        <v>1</v>
      </c>
      <c r="H293" s="4">
        <v>44.23</v>
      </c>
      <c r="I293" t="s">
        <v>23</v>
      </c>
      <c r="J293" s="6">
        <v>0</v>
      </c>
      <c r="K293" s="6">
        <v>2</v>
      </c>
      <c r="L293" t="s">
        <v>24</v>
      </c>
      <c r="M293" s="2">
        <v>45853</v>
      </c>
    </row>
    <row r="294" spans="1:13" x14ac:dyDescent="0.25">
      <c r="A294" t="s">
        <v>323</v>
      </c>
      <c r="B294" t="s">
        <v>14</v>
      </c>
      <c r="C294" s="6">
        <v>58</v>
      </c>
      <c r="D294" t="s">
        <v>21</v>
      </c>
      <c r="E294" t="s">
        <v>35</v>
      </c>
      <c r="F294" t="s">
        <v>17</v>
      </c>
      <c r="G294" s="6">
        <v>43</v>
      </c>
      <c r="H294" s="4">
        <v>41.18</v>
      </c>
      <c r="I294" t="s">
        <v>46</v>
      </c>
      <c r="J294" s="6">
        <v>5</v>
      </c>
      <c r="K294" s="6">
        <v>3</v>
      </c>
      <c r="L294" t="s">
        <v>19</v>
      </c>
      <c r="M294" s="2">
        <v>44378</v>
      </c>
    </row>
    <row r="295" spans="1:13" x14ac:dyDescent="0.25">
      <c r="A295" t="s">
        <v>324</v>
      </c>
      <c r="B295" t="s">
        <v>26</v>
      </c>
      <c r="C295" s="6">
        <v>46</v>
      </c>
      <c r="D295" t="s">
        <v>21</v>
      </c>
      <c r="E295" t="s">
        <v>35</v>
      </c>
      <c r="F295" t="s">
        <v>17</v>
      </c>
      <c r="G295" s="6">
        <v>32</v>
      </c>
      <c r="H295" s="4">
        <v>40.4</v>
      </c>
      <c r="I295" t="s">
        <v>31</v>
      </c>
      <c r="J295" s="6">
        <v>4</v>
      </c>
      <c r="K295" s="6">
        <v>1</v>
      </c>
      <c r="L295" t="s">
        <v>24</v>
      </c>
      <c r="M295" s="2">
        <v>44295</v>
      </c>
    </row>
    <row r="296" spans="1:13" x14ac:dyDescent="0.25">
      <c r="A296" t="s">
        <v>325</v>
      </c>
      <c r="B296" t="s">
        <v>26</v>
      </c>
      <c r="C296" s="6">
        <v>46</v>
      </c>
      <c r="D296" t="s">
        <v>34</v>
      </c>
      <c r="E296" t="s">
        <v>16</v>
      </c>
      <c r="F296" t="s">
        <v>28</v>
      </c>
      <c r="G296" s="6">
        <v>64</v>
      </c>
      <c r="H296" s="4">
        <v>68.23</v>
      </c>
      <c r="I296" t="s">
        <v>31</v>
      </c>
      <c r="J296" s="6">
        <v>8</v>
      </c>
      <c r="K296" s="6">
        <v>4</v>
      </c>
      <c r="L296" t="s">
        <v>19</v>
      </c>
      <c r="M296" s="2">
        <v>45178</v>
      </c>
    </row>
    <row r="297" spans="1:13" x14ac:dyDescent="0.25">
      <c r="A297" t="s">
        <v>326</v>
      </c>
      <c r="B297" t="s">
        <v>14</v>
      </c>
      <c r="C297" s="6">
        <v>28</v>
      </c>
      <c r="D297" t="s">
        <v>34</v>
      </c>
      <c r="E297" t="s">
        <v>16</v>
      </c>
      <c r="F297" t="s">
        <v>17</v>
      </c>
      <c r="G297" s="6">
        <v>38</v>
      </c>
      <c r="H297" s="4">
        <v>30.3</v>
      </c>
      <c r="I297" t="s">
        <v>31</v>
      </c>
      <c r="J297" s="6">
        <v>1</v>
      </c>
      <c r="K297" s="6">
        <v>1</v>
      </c>
      <c r="L297" t="s">
        <v>24</v>
      </c>
      <c r="M297" s="2">
        <v>44965</v>
      </c>
    </row>
    <row r="298" spans="1:13" x14ac:dyDescent="0.25">
      <c r="A298" t="s">
        <v>327</v>
      </c>
      <c r="B298" t="s">
        <v>14</v>
      </c>
      <c r="C298" s="6">
        <v>64</v>
      </c>
      <c r="D298" t="s">
        <v>21</v>
      </c>
      <c r="E298" t="s">
        <v>22</v>
      </c>
      <c r="F298" t="s">
        <v>17</v>
      </c>
      <c r="G298" s="6">
        <v>44</v>
      </c>
      <c r="H298" s="4">
        <v>38.909999999999997</v>
      </c>
      <c r="I298" t="s">
        <v>23</v>
      </c>
      <c r="J298" s="6">
        <v>0</v>
      </c>
      <c r="K298" s="6">
        <v>4</v>
      </c>
      <c r="L298" t="s">
        <v>24</v>
      </c>
      <c r="M298" s="2">
        <v>44534</v>
      </c>
    </row>
    <row r="299" spans="1:13" x14ac:dyDescent="0.25">
      <c r="A299" t="s">
        <v>328</v>
      </c>
      <c r="B299" t="s">
        <v>26</v>
      </c>
      <c r="C299" s="6">
        <v>28</v>
      </c>
      <c r="D299" t="s">
        <v>21</v>
      </c>
      <c r="E299" t="s">
        <v>16</v>
      </c>
      <c r="F299" t="s">
        <v>28</v>
      </c>
      <c r="G299" s="6">
        <v>27</v>
      </c>
      <c r="H299" s="4">
        <v>69.62</v>
      </c>
      <c r="I299" t="s">
        <v>23</v>
      </c>
      <c r="J299" s="6">
        <v>8</v>
      </c>
      <c r="K299" s="6">
        <v>5</v>
      </c>
      <c r="L299" t="s">
        <v>19</v>
      </c>
      <c r="M299" s="2">
        <v>44773</v>
      </c>
    </row>
    <row r="300" spans="1:13" x14ac:dyDescent="0.25">
      <c r="A300" t="s">
        <v>329</v>
      </c>
      <c r="B300" t="s">
        <v>26</v>
      </c>
      <c r="C300" s="6">
        <v>33</v>
      </c>
      <c r="D300" t="s">
        <v>21</v>
      </c>
      <c r="E300" t="s">
        <v>16</v>
      </c>
      <c r="F300" t="s">
        <v>28</v>
      </c>
      <c r="G300" s="6">
        <v>71</v>
      </c>
      <c r="H300" s="4">
        <v>67.599999999999994</v>
      </c>
      <c r="I300" t="s">
        <v>46</v>
      </c>
      <c r="J300" s="6">
        <v>0</v>
      </c>
      <c r="K300" s="6">
        <v>3</v>
      </c>
      <c r="L300" t="s">
        <v>19</v>
      </c>
      <c r="M300" s="2">
        <v>44376</v>
      </c>
    </row>
    <row r="301" spans="1:13" x14ac:dyDescent="0.25">
      <c r="A301" t="s">
        <v>330</v>
      </c>
      <c r="B301" t="s">
        <v>26</v>
      </c>
      <c r="C301" s="6">
        <v>70</v>
      </c>
      <c r="D301" t="s">
        <v>34</v>
      </c>
      <c r="E301" t="s">
        <v>16</v>
      </c>
      <c r="F301" t="s">
        <v>17</v>
      </c>
      <c r="G301" s="6">
        <v>4</v>
      </c>
      <c r="H301" s="4">
        <v>33.1</v>
      </c>
      <c r="I301" t="s">
        <v>31</v>
      </c>
      <c r="J301" s="6">
        <v>1</v>
      </c>
      <c r="K301" s="6">
        <v>4</v>
      </c>
      <c r="L301" t="s">
        <v>24</v>
      </c>
      <c r="M301" s="2">
        <v>44828</v>
      </c>
    </row>
    <row r="302" spans="1:13" x14ac:dyDescent="0.25">
      <c r="A302" t="s">
        <v>331</v>
      </c>
      <c r="B302" t="s">
        <v>26</v>
      </c>
      <c r="C302" s="6">
        <v>48</v>
      </c>
      <c r="D302" t="s">
        <v>34</v>
      </c>
      <c r="E302" t="s">
        <v>22</v>
      </c>
      <c r="F302" t="s">
        <v>28</v>
      </c>
      <c r="G302" s="6">
        <v>12</v>
      </c>
      <c r="H302" s="4">
        <v>64.63</v>
      </c>
      <c r="I302" t="s">
        <v>23</v>
      </c>
      <c r="J302" s="6">
        <v>2</v>
      </c>
      <c r="K302" s="6">
        <v>3</v>
      </c>
      <c r="L302" t="s">
        <v>24</v>
      </c>
      <c r="M302" s="2">
        <v>44953</v>
      </c>
    </row>
    <row r="303" spans="1:13" x14ac:dyDescent="0.25">
      <c r="A303" t="s">
        <v>332</v>
      </c>
      <c r="B303" t="s">
        <v>14</v>
      </c>
      <c r="C303" s="6">
        <v>46</v>
      </c>
      <c r="D303" t="s">
        <v>21</v>
      </c>
      <c r="E303" t="s">
        <v>35</v>
      </c>
      <c r="F303" t="s">
        <v>28</v>
      </c>
      <c r="G303" s="6">
        <v>60</v>
      </c>
      <c r="H303" s="4">
        <v>58.95</v>
      </c>
      <c r="I303" t="s">
        <v>31</v>
      </c>
      <c r="J303" s="6">
        <v>0</v>
      </c>
      <c r="K303" s="6">
        <v>2</v>
      </c>
      <c r="L303" t="s">
        <v>24</v>
      </c>
      <c r="M303" s="2">
        <v>45563</v>
      </c>
    </row>
    <row r="304" spans="1:13" x14ac:dyDescent="0.25">
      <c r="A304" t="s">
        <v>333</v>
      </c>
      <c r="B304" t="s">
        <v>14</v>
      </c>
      <c r="C304" s="6">
        <v>23</v>
      </c>
      <c r="D304" t="s">
        <v>15</v>
      </c>
      <c r="E304" t="s">
        <v>22</v>
      </c>
      <c r="F304" t="s">
        <v>28</v>
      </c>
      <c r="G304" s="6">
        <v>30</v>
      </c>
      <c r="H304" s="4">
        <v>63.3</v>
      </c>
      <c r="I304" t="s">
        <v>23</v>
      </c>
      <c r="J304" s="6">
        <v>8</v>
      </c>
      <c r="K304" s="6">
        <v>4</v>
      </c>
      <c r="L304" t="s">
        <v>24</v>
      </c>
      <c r="M304" s="2">
        <v>45604</v>
      </c>
    </row>
    <row r="305" spans="1:13" x14ac:dyDescent="0.25">
      <c r="A305" t="s">
        <v>334</v>
      </c>
      <c r="B305" t="s">
        <v>26</v>
      </c>
      <c r="C305" s="6">
        <v>54</v>
      </c>
      <c r="D305" t="s">
        <v>30</v>
      </c>
      <c r="E305" t="s">
        <v>35</v>
      </c>
      <c r="F305" t="s">
        <v>28</v>
      </c>
      <c r="G305" s="6">
        <v>11</v>
      </c>
      <c r="H305" s="4">
        <v>60.92</v>
      </c>
      <c r="I305" t="s">
        <v>18</v>
      </c>
      <c r="J305" s="6">
        <v>8</v>
      </c>
      <c r="K305" s="6">
        <v>5</v>
      </c>
      <c r="L305" t="s">
        <v>24</v>
      </c>
      <c r="M305" s="2">
        <v>45836</v>
      </c>
    </row>
    <row r="306" spans="1:13" x14ac:dyDescent="0.25">
      <c r="A306" t="s">
        <v>335</v>
      </c>
      <c r="B306" t="s">
        <v>14</v>
      </c>
      <c r="C306" s="6">
        <v>25</v>
      </c>
      <c r="D306" t="s">
        <v>34</v>
      </c>
      <c r="E306" t="s">
        <v>16</v>
      </c>
      <c r="F306" t="s">
        <v>17</v>
      </c>
      <c r="G306" s="6">
        <v>28</v>
      </c>
      <c r="H306" s="4">
        <v>42.13</v>
      </c>
      <c r="I306" t="s">
        <v>46</v>
      </c>
      <c r="J306" s="6">
        <v>0</v>
      </c>
      <c r="K306" s="6">
        <v>4</v>
      </c>
      <c r="L306" t="s">
        <v>19</v>
      </c>
      <c r="M306" s="2">
        <v>45596</v>
      </c>
    </row>
    <row r="307" spans="1:13" x14ac:dyDescent="0.25">
      <c r="A307" t="s">
        <v>336</v>
      </c>
      <c r="B307" t="s">
        <v>26</v>
      </c>
      <c r="C307" s="6">
        <v>30</v>
      </c>
      <c r="D307" t="s">
        <v>30</v>
      </c>
      <c r="E307" t="s">
        <v>22</v>
      </c>
      <c r="F307" t="s">
        <v>28</v>
      </c>
      <c r="G307" s="6">
        <v>41</v>
      </c>
      <c r="H307" s="4">
        <v>68.66</v>
      </c>
      <c r="I307" t="s">
        <v>18</v>
      </c>
      <c r="J307" s="6">
        <v>1</v>
      </c>
      <c r="K307" s="6">
        <v>4</v>
      </c>
      <c r="L307" t="s">
        <v>24</v>
      </c>
      <c r="M307" s="2">
        <v>45327</v>
      </c>
    </row>
    <row r="308" spans="1:13" x14ac:dyDescent="0.25">
      <c r="A308" t="s">
        <v>337</v>
      </c>
      <c r="B308" t="s">
        <v>26</v>
      </c>
      <c r="C308" s="6">
        <v>35</v>
      </c>
      <c r="D308" t="s">
        <v>34</v>
      </c>
      <c r="E308" t="s">
        <v>16</v>
      </c>
      <c r="F308" t="s">
        <v>38</v>
      </c>
      <c r="G308" s="6">
        <v>67</v>
      </c>
      <c r="H308" s="4">
        <v>96.73</v>
      </c>
      <c r="I308" t="s">
        <v>18</v>
      </c>
      <c r="J308" s="6">
        <v>6</v>
      </c>
      <c r="K308" s="6">
        <v>2</v>
      </c>
      <c r="L308" t="s">
        <v>19</v>
      </c>
      <c r="M308" s="2">
        <v>45401</v>
      </c>
    </row>
    <row r="309" spans="1:13" x14ac:dyDescent="0.25">
      <c r="A309" t="s">
        <v>338</v>
      </c>
      <c r="B309" t="s">
        <v>14</v>
      </c>
      <c r="C309" s="6">
        <v>24</v>
      </c>
      <c r="D309" t="s">
        <v>21</v>
      </c>
      <c r="E309" t="s">
        <v>35</v>
      </c>
      <c r="F309" t="s">
        <v>38</v>
      </c>
      <c r="G309" s="6">
        <v>45</v>
      </c>
      <c r="H309" s="4">
        <v>98.17</v>
      </c>
      <c r="I309" t="s">
        <v>31</v>
      </c>
      <c r="J309" s="6">
        <v>6</v>
      </c>
      <c r="K309" s="6">
        <v>4</v>
      </c>
      <c r="L309" t="s">
        <v>24</v>
      </c>
      <c r="M309" s="2">
        <v>45165</v>
      </c>
    </row>
    <row r="310" spans="1:13" x14ac:dyDescent="0.25">
      <c r="A310" t="s">
        <v>339</v>
      </c>
      <c r="B310" t="s">
        <v>14</v>
      </c>
      <c r="C310" s="6">
        <v>29</v>
      </c>
      <c r="D310" t="s">
        <v>15</v>
      </c>
      <c r="E310" t="s">
        <v>35</v>
      </c>
      <c r="F310" t="s">
        <v>17</v>
      </c>
      <c r="G310" s="6">
        <v>52</v>
      </c>
      <c r="H310" s="4">
        <v>30.58</v>
      </c>
      <c r="I310" t="s">
        <v>31</v>
      </c>
      <c r="J310" s="6">
        <v>3</v>
      </c>
      <c r="K310" s="6">
        <v>1</v>
      </c>
      <c r="L310" t="s">
        <v>24</v>
      </c>
      <c r="M310" s="2">
        <v>44747</v>
      </c>
    </row>
    <row r="311" spans="1:13" x14ac:dyDescent="0.25">
      <c r="A311" t="s">
        <v>340</v>
      </c>
      <c r="B311" t="s">
        <v>26</v>
      </c>
      <c r="C311" s="6">
        <v>19</v>
      </c>
      <c r="D311" t="s">
        <v>15</v>
      </c>
      <c r="E311" t="s">
        <v>35</v>
      </c>
      <c r="F311" t="s">
        <v>28</v>
      </c>
      <c r="G311" s="6">
        <v>36</v>
      </c>
      <c r="H311" s="4">
        <v>67.64</v>
      </c>
      <c r="I311" t="s">
        <v>18</v>
      </c>
      <c r="J311" s="6">
        <v>3</v>
      </c>
      <c r="K311" s="6">
        <v>2</v>
      </c>
      <c r="L311" t="s">
        <v>24</v>
      </c>
      <c r="M311" s="2">
        <v>45720</v>
      </c>
    </row>
    <row r="312" spans="1:13" x14ac:dyDescent="0.25">
      <c r="A312" t="s">
        <v>341</v>
      </c>
      <c r="B312" t="s">
        <v>26</v>
      </c>
      <c r="C312" s="6">
        <v>67</v>
      </c>
      <c r="D312" t="s">
        <v>15</v>
      </c>
      <c r="E312" t="s">
        <v>35</v>
      </c>
      <c r="F312" t="s">
        <v>38</v>
      </c>
      <c r="G312" s="6">
        <v>54</v>
      </c>
      <c r="H312" s="4">
        <v>94.07</v>
      </c>
      <c r="I312" t="s">
        <v>18</v>
      </c>
      <c r="J312" s="6">
        <v>3</v>
      </c>
      <c r="K312" s="6">
        <v>4</v>
      </c>
      <c r="L312" t="s">
        <v>24</v>
      </c>
      <c r="M312" s="2">
        <v>45884</v>
      </c>
    </row>
    <row r="313" spans="1:13" x14ac:dyDescent="0.25">
      <c r="A313" t="s">
        <v>342</v>
      </c>
      <c r="B313" t="s">
        <v>26</v>
      </c>
      <c r="C313" s="6">
        <v>65</v>
      </c>
      <c r="D313" t="s">
        <v>34</v>
      </c>
      <c r="E313" t="s">
        <v>22</v>
      </c>
      <c r="F313" t="s">
        <v>28</v>
      </c>
      <c r="G313" s="6">
        <v>8</v>
      </c>
      <c r="H313" s="4">
        <v>62.73</v>
      </c>
      <c r="I313" t="s">
        <v>46</v>
      </c>
      <c r="J313" s="6">
        <v>1</v>
      </c>
      <c r="K313" s="6">
        <v>3</v>
      </c>
      <c r="L313" t="s">
        <v>24</v>
      </c>
      <c r="M313" s="2">
        <v>45023</v>
      </c>
    </row>
    <row r="314" spans="1:13" x14ac:dyDescent="0.25">
      <c r="A314" t="s">
        <v>343</v>
      </c>
      <c r="B314" t="s">
        <v>14</v>
      </c>
      <c r="C314" s="6">
        <v>67</v>
      </c>
      <c r="D314" t="s">
        <v>21</v>
      </c>
      <c r="E314" t="s">
        <v>16</v>
      </c>
      <c r="F314" t="s">
        <v>17</v>
      </c>
      <c r="G314" s="6">
        <v>26</v>
      </c>
      <c r="H314" s="4">
        <v>42.55</v>
      </c>
      <c r="I314" t="s">
        <v>46</v>
      </c>
      <c r="J314" s="6">
        <v>0</v>
      </c>
      <c r="K314" s="6">
        <v>4</v>
      </c>
      <c r="L314" t="s">
        <v>19</v>
      </c>
      <c r="M314" s="2">
        <v>44935</v>
      </c>
    </row>
    <row r="315" spans="1:13" x14ac:dyDescent="0.25">
      <c r="A315" t="s">
        <v>344</v>
      </c>
      <c r="B315" t="s">
        <v>14</v>
      </c>
      <c r="C315" s="6">
        <v>35</v>
      </c>
      <c r="D315" t="s">
        <v>15</v>
      </c>
      <c r="E315" t="s">
        <v>35</v>
      </c>
      <c r="F315" t="s">
        <v>38</v>
      </c>
      <c r="G315" s="6">
        <v>51</v>
      </c>
      <c r="H315" s="4">
        <v>94.53</v>
      </c>
      <c r="I315" t="s">
        <v>18</v>
      </c>
      <c r="J315" s="6">
        <v>0</v>
      </c>
      <c r="K315" s="6">
        <v>2</v>
      </c>
      <c r="L315" t="s">
        <v>24</v>
      </c>
      <c r="M315" s="2">
        <v>45413</v>
      </c>
    </row>
    <row r="316" spans="1:13" x14ac:dyDescent="0.25">
      <c r="A316" t="s">
        <v>345</v>
      </c>
      <c r="B316" t="s">
        <v>26</v>
      </c>
      <c r="C316" s="6">
        <v>29</v>
      </c>
      <c r="D316" t="s">
        <v>34</v>
      </c>
      <c r="E316" t="s">
        <v>22</v>
      </c>
      <c r="F316" t="s">
        <v>38</v>
      </c>
      <c r="G316" s="6">
        <v>45</v>
      </c>
      <c r="H316" s="4">
        <v>90.16</v>
      </c>
      <c r="I316" t="s">
        <v>31</v>
      </c>
      <c r="J316" s="6">
        <v>1</v>
      </c>
      <c r="K316" s="6">
        <v>3</v>
      </c>
      <c r="L316" t="s">
        <v>19</v>
      </c>
      <c r="M316" s="2">
        <v>44298</v>
      </c>
    </row>
    <row r="317" spans="1:13" x14ac:dyDescent="0.25">
      <c r="A317" t="s">
        <v>346</v>
      </c>
      <c r="B317" t="s">
        <v>14</v>
      </c>
      <c r="C317" s="6">
        <v>54</v>
      </c>
      <c r="D317" t="s">
        <v>30</v>
      </c>
      <c r="E317" t="s">
        <v>16</v>
      </c>
      <c r="F317" t="s">
        <v>38</v>
      </c>
      <c r="G317" s="6">
        <v>29</v>
      </c>
      <c r="H317" s="4">
        <v>95.17</v>
      </c>
      <c r="I317" t="s">
        <v>31</v>
      </c>
      <c r="J317" s="6">
        <v>6</v>
      </c>
      <c r="K317" s="6">
        <v>5</v>
      </c>
      <c r="L317" t="s">
        <v>19</v>
      </c>
      <c r="M317" s="2">
        <v>45795</v>
      </c>
    </row>
    <row r="318" spans="1:13" x14ac:dyDescent="0.25">
      <c r="A318" t="s">
        <v>347</v>
      </c>
      <c r="B318" t="s">
        <v>14</v>
      </c>
      <c r="C318" s="6">
        <v>48</v>
      </c>
      <c r="D318" t="s">
        <v>30</v>
      </c>
      <c r="E318" t="s">
        <v>22</v>
      </c>
      <c r="F318" t="s">
        <v>17</v>
      </c>
      <c r="G318" s="6">
        <v>2</v>
      </c>
      <c r="H318" s="4">
        <v>33.36</v>
      </c>
      <c r="I318" t="s">
        <v>31</v>
      </c>
      <c r="J318" s="6">
        <v>4</v>
      </c>
      <c r="K318" s="6">
        <v>4</v>
      </c>
      <c r="L318" t="s">
        <v>24</v>
      </c>
      <c r="M318" s="2">
        <v>45941</v>
      </c>
    </row>
    <row r="319" spans="1:13" x14ac:dyDescent="0.25">
      <c r="A319" t="s">
        <v>348</v>
      </c>
      <c r="B319" t="s">
        <v>26</v>
      </c>
      <c r="C319" s="6">
        <v>47</v>
      </c>
      <c r="D319" t="s">
        <v>15</v>
      </c>
      <c r="E319" t="s">
        <v>16</v>
      </c>
      <c r="F319" t="s">
        <v>28</v>
      </c>
      <c r="G319" s="6">
        <v>39</v>
      </c>
      <c r="H319" s="4">
        <v>65.16</v>
      </c>
      <c r="I319" t="s">
        <v>23</v>
      </c>
      <c r="J319" s="6">
        <v>1</v>
      </c>
      <c r="K319" s="6">
        <v>1</v>
      </c>
      <c r="L319" t="s">
        <v>24</v>
      </c>
      <c r="M319" s="2">
        <v>45553</v>
      </c>
    </row>
    <row r="320" spans="1:13" x14ac:dyDescent="0.25">
      <c r="A320" t="s">
        <v>349</v>
      </c>
      <c r="B320" t="s">
        <v>26</v>
      </c>
      <c r="C320" s="6">
        <v>53</v>
      </c>
      <c r="D320" t="s">
        <v>15</v>
      </c>
      <c r="E320" t="s">
        <v>35</v>
      </c>
      <c r="F320" t="s">
        <v>38</v>
      </c>
      <c r="G320" s="6">
        <v>14</v>
      </c>
      <c r="H320" s="4">
        <v>92.23</v>
      </c>
      <c r="I320" t="s">
        <v>31</v>
      </c>
      <c r="J320" s="6">
        <v>4</v>
      </c>
      <c r="K320" s="6">
        <v>3</v>
      </c>
      <c r="L320" t="s">
        <v>24</v>
      </c>
      <c r="M320" s="2">
        <v>44731</v>
      </c>
    </row>
    <row r="321" spans="1:13" x14ac:dyDescent="0.25">
      <c r="A321" t="s">
        <v>350</v>
      </c>
      <c r="B321" t="s">
        <v>26</v>
      </c>
      <c r="C321" s="6">
        <v>30</v>
      </c>
      <c r="D321" t="s">
        <v>30</v>
      </c>
      <c r="E321" t="s">
        <v>22</v>
      </c>
      <c r="F321" t="s">
        <v>17</v>
      </c>
      <c r="G321" s="6">
        <v>8</v>
      </c>
      <c r="H321" s="4">
        <v>42.08</v>
      </c>
      <c r="I321" t="s">
        <v>23</v>
      </c>
      <c r="J321" s="6">
        <v>5</v>
      </c>
      <c r="K321" s="6">
        <v>2</v>
      </c>
      <c r="L321" t="s">
        <v>24</v>
      </c>
      <c r="M321" s="2">
        <v>45539</v>
      </c>
    </row>
    <row r="322" spans="1:13" x14ac:dyDescent="0.25">
      <c r="A322" t="s">
        <v>351</v>
      </c>
      <c r="B322" t="s">
        <v>26</v>
      </c>
      <c r="C322" s="6">
        <v>36</v>
      </c>
      <c r="D322" t="s">
        <v>15</v>
      </c>
      <c r="E322" t="s">
        <v>35</v>
      </c>
      <c r="F322" t="s">
        <v>28</v>
      </c>
      <c r="G322" s="6">
        <v>50</v>
      </c>
      <c r="H322" s="4">
        <v>66.05</v>
      </c>
      <c r="I322" t="s">
        <v>46</v>
      </c>
      <c r="J322" s="6">
        <v>5</v>
      </c>
      <c r="K322" s="6">
        <v>2</v>
      </c>
      <c r="L322" t="s">
        <v>24</v>
      </c>
      <c r="M322" s="2">
        <v>45504</v>
      </c>
    </row>
    <row r="323" spans="1:13" x14ac:dyDescent="0.25">
      <c r="A323" t="s">
        <v>352</v>
      </c>
      <c r="B323" t="s">
        <v>26</v>
      </c>
      <c r="C323" s="6">
        <v>60</v>
      </c>
      <c r="D323" t="s">
        <v>15</v>
      </c>
      <c r="E323" t="s">
        <v>22</v>
      </c>
      <c r="F323" t="s">
        <v>28</v>
      </c>
      <c r="G323" s="6">
        <v>22</v>
      </c>
      <c r="H323" s="4">
        <v>67.61</v>
      </c>
      <c r="I323" t="s">
        <v>46</v>
      </c>
      <c r="J323" s="6">
        <v>4</v>
      </c>
      <c r="K323" s="6">
        <v>1</v>
      </c>
      <c r="L323" t="s">
        <v>24</v>
      </c>
      <c r="M323" s="2">
        <v>45714</v>
      </c>
    </row>
    <row r="324" spans="1:13" x14ac:dyDescent="0.25">
      <c r="A324" t="s">
        <v>353</v>
      </c>
      <c r="B324" t="s">
        <v>26</v>
      </c>
      <c r="C324" s="6">
        <v>64</v>
      </c>
      <c r="D324" t="s">
        <v>30</v>
      </c>
      <c r="E324" t="s">
        <v>22</v>
      </c>
      <c r="F324" t="s">
        <v>28</v>
      </c>
      <c r="G324" s="6">
        <v>12</v>
      </c>
      <c r="H324" s="4">
        <v>58.33</v>
      </c>
      <c r="I324" t="s">
        <v>46</v>
      </c>
      <c r="J324" s="6">
        <v>4</v>
      </c>
      <c r="K324" s="6">
        <v>4</v>
      </c>
      <c r="L324" t="s">
        <v>24</v>
      </c>
      <c r="M324" s="2">
        <v>44875</v>
      </c>
    </row>
    <row r="325" spans="1:13" x14ac:dyDescent="0.25">
      <c r="A325" t="s">
        <v>354</v>
      </c>
      <c r="B325" t="s">
        <v>26</v>
      </c>
      <c r="C325" s="6">
        <v>34</v>
      </c>
      <c r="D325" t="s">
        <v>15</v>
      </c>
      <c r="E325" t="s">
        <v>35</v>
      </c>
      <c r="F325" t="s">
        <v>17</v>
      </c>
      <c r="G325" s="6">
        <v>61</v>
      </c>
      <c r="H325" s="4">
        <v>30.81</v>
      </c>
      <c r="I325" t="s">
        <v>18</v>
      </c>
      <c r="J325" s="6">
        <v>7</v>
      </c>
      <c r="K325" s="6">
        <v>2</v>
      </c>
      <c r="L325" t="s">
        <v>24</v>
      </c>
      <c r="M325" s="2">
        <v>45973</v>
      </c>
    </row>
    <row r="326" spans="1:13" x14ac:dyDescent="0.25">
      <c r="A326" t="s">
        <v>355</v>
      </c>
      <c r="B326" t="s">
        <v>26</v>
      </c>
      <c r="C326" s="6">
        <v>51</v>
      </c>
      <c r="D326" t="s">
        <v>15</v>
      </c>
      <c r="E326" t="s">
        <v>35</v>
      </c>
      <c r="F326" t="s">
        <v>17</v>
      </c>
      <c r="G326" s="6">
        <v>20</v>
      </c>
      <c r="H326" s="4">
        <v>32.06</v>
      </c>
      <c r="I326" t="s">
        <v>46</v>
      </c>
      <c r="J326" s="6">
        <v>5</v>
      </c>
      <c r="K326" s="6">
        <v>4</v>
      </c>
      <c r="L326" t="s">
        <v>24</v>
      </c>
      <c r="M326" s="2">
        <v>45134</v>
      </c>
    </row>
    <row r="327" spans="1:13" x14ac:dyDescent="0.25">
      <c r="A327" t="s">
        <v>356</v>
      </c>
      <c r="B327" t="s">
        <v>14</v>
      </c>
      <c r="C327" s="6">
        <v>38</v>
      </c>
      <c r="D327" t="s">
        <v>30</v>
      </c>
      <c r="E327" t="s">
        <v>16</v>
      </c>
      <c r="F327" t="s">
        <v>28</v>
      </c>
      <c r="G327" s="6">
        <v>43</v>
      </c>
      <c r="H327" s="4">
        <v>64.47</v>
      </c>
      <c r="I327" t="s">
        <v>46</v>
      </c>
      <c r="J327" s="6">
        <v>5</v>
      </c>
      <c r="K327" s="6">
        <v>1</v>
      </c>
      <c r="L327" t="s">
        <v>19</v>
      </c>
      <c r="M327" s="2">
        <v>44757</v>
      </c>
    </row>
    <row r="328" spans="1:13" x14ac:dyDescent="0.25">
      <c r="A328" t="s">
        <v>357</v>
      </c>
      <c r="B328" t="s">
        <v>14</v>
      </c>
      <c r="C328" s="6">
        <v>66</v>
      </c>
      <c r="D328" t="s">
        <v>30</v>
      </c>
      <c r="E328" t="s">
        <v>22</v>
      </c>
      <c r="F328" t="s">
        <v>17</v>
      </c>
      <c r="G328" s="6">
        <v>63</v>
      </c>
      <c r="H328" s="4">
        <v>41.78</v>
      </c>
      <c r="I328" t="s">
        <v>18</v>
      </c>
      <c r="J328" s="6">
        <v>2</v>
      </c>
      <c r="K328" s="6">
        <v>5</v>
      </c>
      <c r="L328" t="s">
        <v>24</v>
      </c>
      <c r="M328" s="2">
        <v>45076</v>
      </c>
    </row>
    <row r="329" spans="1:13" x14ac:dyDescent="0.25">
      <c r="A329" t="s">
        <v>358</v>
      </c>
      <c r="B329" t="s">
        <v>26</v>
      </c>
      <c r="C329" s="6">
        <v>45</v>
      </c>
      <c r="D329" t="s">
        <v>34</v>
      </c>
      <c r="E329" t="s">
        <v>35</v>
      </c>
      <c r="F329" t="s">
        <v>17</v>
      </c>
      <c r="G329" s="6">
        <v>5</v>
      </c>
      <c r="H329" s="4">
        <v>38.01</v>
      </c>
      <c r="I329" t="s">
        <v>31</v>
      </c>
      <c r="J329" s="6">
        <v>0</v>
      </c>
      <c r="K329" s="6">
        <v>3</v>
      </c>
      <c r="L329" t="s">
        <v>24</v>
      </c>
      <c r="M329" s="2">
        <v>45284</v>
      </c>
    </row>
    <row r="330" spans="1:13" x14ac:dyDescent="0.25">
      <c r="A330" t="s">
        <v>359</v>
      </c>
      <c r="B330" t="s">
        <v>14</v>
      </c>
      <c r="C330" s="6">
        <v>19</v>
      </c>
      <c r="D330" t="s">
        <v>21</v>
      </c>
      <c r="E330" t="s">
        <v>22</v>
      </c>
      <c r="F330" t="s">
        <v>38</v>
      </c>
      <c r="G330" s="6">
        <v>32</v>
      </c>
      <c r="H330" s="4">
        <v>88.39</v>
      </c>
      <c r="I330" t="s">
        <v>31</v>
      </c>
      <c r="J330" s="6">
        <v>4</v>
      </c>
      <c r="K330" s="6">
        <v>2</v>
      </c>
      <c r="L330" t="s">
        <v>19</v>
      </c>
      <c r="M330" s="2">
        <v>45227</v>
      </c>
    </row>
    <row r="331" spans="1:13" x14ac:dyDescent="0.25">
      <c r="A331" t="s">
        <v>360</v>
      </c>
      <c r="B331" t="s">
        <v>26</v>
      </c>
      <c r="C331" s="6">
        <v>28</v>
      </c>
      <c r="D331" t="s">
        <v>21</v>
      </c>
      <c r="E331" t="s">
        <v>16</v>
      </c>
      <c r="F331" t="s">
        <v>28</v>
      </c>
      <c r="G331" s="6">
        <v>38</v>
      </c>
      <c r="H331" s="4">
        <v>61.84</v>
      </c>
      <c r="I331" t="s">
        <v>31</v>
      </c>
      <c r="J331" s="6">
        <v>6</v>
      </c>
      <c r="K331" s="6">
        <v>2</v>
      </c>
      <c r="L331" t="s">
        <v>19</v>
      </c>
      <c r="M331" s="2">
        <v>45200</v>
      </c>
    </row>
    <row r="332" spans="1:13" x14ac:dyDescent="0.25">
      <c r="A332" t="s">
        <v>361</v>
      </c>
      <c r="B332" t="s">
        <v>26</v>
      </c>
      <c r="C332" s="6">
        <v>66</v>
      </c>
      <c r="D332" t="s">
        <v>30</v>
      </c>
      <c r="E332" t="s">
        <v>16</v>
      </c>
      <c r="F332" t="s">
        <v>28</v>
      </c>
      <c r="G332" s="6">
        <v>3</v>
      </c>
      <c r="H332" s="4">
        <v>58.43</v>
      </c>
      <c r="I332" t="s">
        <v>46</v>
      </c>
      <c r="J332" s="6">
        <v>3</v>
      </c>
      <c r="K332" s="6">
        <v>1</v>
      </c>
      <c r="L332" t="s">
        <v>24</v>
      </c>
      <c r="M332" s="2">
        <v>44543</v>
      </c>
    </row>
    <row r="333" spans="1:13" x14ac:dyDescent="0.25">
      <c r="A333" t="s">
        <v>362</v>
      </c>
      <c r="B333" t="s">
        <v>14</v>
      </c>
      <c r="C333" s="6">
        <v>41</v>
      </c>
      <c r="D333" t="s">
        <v>21</v>
      </c>
      <c r="E333" t="s">
        <v>35</v>
      </c>
      <c r="F333" t="s">
        <v>38</v>
      </c>
      <c r="G333" s="6">
        <v>33</v>
      </c>
      <c r="H333" s="4">
        <v>96.57</v>
      </c>
      <c r="I333" t="s">
        <v>18</v>
      </c>
      <c r="J333" s="6">
        <v>0</v>
      </c>
      <c r="K333" s="6">
        <v>1</v>
      </c>
      <c r="L333" t="s">
        <v>24</v>
      </c>
      <c r="M333" s="2">
        <v>44237</v>
      </c>
    </row>
    <row r="334" spans="1:13" x14ac:dyDescent="0.25">
      <c r="A334" t="s">
        <v>363</v>
      </c>
      <c r="B334" t="s">
        <v>14</v>
      </c>
      <c r="C334" s="6">
        <v>62</v>
      </c>
      <c r="D334" t="s">
        <v>21</v>
      </c>
      <c r="E334" t="s">
        <v>35</v>
      </c>
      <c r="F334" t="s">
        <v>28</v>
      </c>
      <c r="G334" s="6">
        <v>49</v>
      </c>
      <c r="H334" s="4">
        <v>56.85</v>
      </c>
      <c r="I334" t="s">
        <v>31</v>
      </c>
      <c r="J334" s="6">
        <v>7</v>
      </c>
      <c r="K334" s="6">
        <v>2</v>
      </c>
      <c r="L334" t="s">
        <v>19</v>
      </c>
      <c r="M334" s="2">
        <v>45601</v>
      </c>
    </row>
    <row r="335" spans="1:13" x14ac:dyDescent="0.25">
      <c r="A335" t="s">
        <v>364</v>
      </c>
      <c r="B335" t="s">
        <v>14</v>
      </c>
      <c r="C335" s="6">
        <v>37</v>
      </c>
      <c r="D335" t="s">
        <v>34</v>
      </c>
      <c r="E335" t="s">
        <v>22</v>
      </c>
      <c r="F335" t="s">
        <v>17</v>
      </c>
      <c r="G335" s="6">
        <v>67</v>
      </c>
      <c r="H335" s="4">
        <v>34.049999999999997</v>
      </c>
      <c r="I335" t="s">
        <v>46</v>
      </c>
      <c r="J335" s="6">
        <v>6</v>
      </c>
      <c r="K335" s="6">
        <v>1</v>
      </c>
      <c r="L335" t="s">
        <v>24</v>
      </c>
      <c r="M335" s="2">
        <v>45462</v>
      </c>
    </row>
    <row r="336" spans="1:13" x14ac:dyDescent="0.25">
      <c r="A336" t="s">
        <v>365</v>
      </c>
      <c r="B336" t="s">
        <v>14</v>
      </c>
      <c r="C336" s="6">
        <v>36</v>
      </c>
      <c r="D336" t="s">
        <v>21</v>
      </c>
      <c r="E336" t="s">
        <v>16</v>
      </c>
      <c r="F336" t="s">
        <v>28</v>
      </c>
      <c r="G336" s="6">
        <v>26</v>
      </c>
      <c r="H336" s="4">
        <v>64.14</v>
      </c>
      <c r="I336" t="s">
        <v>31</v>
      </c>
      <c r="J336" s="6">
        <v>8</v>
      </c>
      <c r="K336" s="6">
        <v>2</v>
      </c>
      <c r="L336" t="s">
        <v>19</v>
      </c>
      <c r="M336" s="2">
        <v>45036</v>
      </c>
    </row>
    <row r="337" spans="1:13" x14ac:dyDescent="0.25">
      <c r="A337" t="s">
        <v>366</v>
      </c>
      <c r="B337" t="s">
        <v>26</v>
      </c>
      <c r="C337" s="6">
        <v>28</v>
      </c>
      <c r="D337" t="s">
        <v>21</v>
      </c>
      <c r="E337" t="s">
        <v>22</v>
      </c>
      <c r="F337" t="s">
        <v>28</v>
      </c>
      <c r="G337" s="6">
        <v>27</v>
      </c>
      <c r="H337" s="4">
        <v>65.319999999999993</v>
      </c>
      <c r="I337" t="s">
        <v>23</v>
      </c>
      <c r="J337" s="6">
        <v>5</v>
      </c>
      <c r="K337" s="6">
        <v>2</v>
      </c>
      <c r="L337" t="s">
        <v>19</v>
      </c>
      <c r="M337" s="2">
        <v>45572</v>
      </c>
    </row>
    <row r="338" spans="1:13" x14ac:dyDescent="0.25">
      <c r="A338" t="s">
        <v>367</v>
      </c>
      <c r="B338" t="s">
        <v>14</v>
      </c>
      <c r="C338" s="6">
        <v>25</v>
      </c>
      <c r="D338" t="s">
        <v>34</v>
      </c>
      <c r="E338" t="s">
        <v>16</v>
      </c>
      <c r="F338" t="s">
        <v>17</v>
      </c>
      <c r="G338" s="6">
        <v>66</v>
      </c>
      <c r="H338" s="4">
        <v>31.13</v>
      </c>
      <c r="I338" t="s">
        <v>18</v>
      </c>
      <c r="J338" s="6">
        <v>4</v>
      </c>
      <c r="K338" s="6">
        <v>2</v>
      </c>
      <c r="L338" t="s">
        <v>24</v>
      </c>
      <c r="M338" s="2">
        <v>44803</v>
      </c>
    </row>
    <row r="339" spans="1:13" x14ac:dyDescent="0.25">
      <c r="A339" t="s">
        <v>368</v>
      </c>
      <c r="B339" t="s">
        <v>26</v>
      </c>
      <c r="C339" s="6">
        <v>47</v>
      </c>
      <c r="D339" t="s">
        <v>21</v>
      </c>
      <c r="E339" t="s">
        <v>16</v>
      </c>
      <c r="F339" t="s">
        <v>17</v>
      </c>
      <c r="G339" s="6">
        <v>6</v>
      </c>
      <c r="H339" s="4">
        <v>42.78</v>
      </c>
      <c r="I339" t="s">
        <v>31</v>
      </c>
      <c r="J339" s="6">
        <v>5</v>
      </c>
      <c r="K339" s="6">
        <v>4</v>
      </c>
      <c r="L339" t="s">
        <v>24</v>
      </c>
      <c r="M339" s="2">
        <v>44391</v>
      </c>
    </row>
    <row r="340" spans="1:13" x14ac:dyDescent="0.25">
      <c r="A340" t="s">
        <v>369</v>
      </c>
      <c r="B340" t="s">
        <v>14</v>
      </c>
      <c r="C340" s="6">
        <v>18</v>
      </c>
      <c r="D340" t="s">
        <v>30</v>
      </c>
      <c r="E340" t="s">
        <v>22</v>
      </c>
      <c r="F340" t="s">
        <v>38</v>
      </c>
      <c r="G340" s="6">
        <v>22</v>
      </c>
      <c r="H340" s="4">
        <v>89.93</v>
      </c>
      <c r="I340" t="s">
        <v>23</v>
      </c>
      <c r="J340" s="6">
        <v>4</v>
      </c>
      <c r="K340" s="6">
        <v>1</v>
      </c>
      <c r="L340" t="s">
        <v>24</v>
      </c>
      <c r="M340" s="2">
        <v>44898</v>
      </c>
    </row>
    <row r="341" spans="1:13" x14ac:dyDescent="0.25">
      <c r="A341" t="s">
        <v>370</v>
      </c>
      <c r="B341" t="s">
        <v>14</v>
      </c>
      <c r="C341" s="6">
        <v>25</v>
      </c>
      <c r="D341" t="s">
        <v>34</v>
      </c>
      <c r="E341" t="s">
        <v>35</v>
      </c>
      <c r="F341" t="s">
        <v>28</v>
      </c>
      <c r="G341" s="6">
        <v>35</v>
      </c>
      <c r="H341" s="4">
        <v>67.540000000000006</v>
      </c>
      <c r="I341" t="s">
        <v>23</v>
      </c>
      <c r="J341" s="6">
        <v>6</v>
      </c>
      <c r="K341" s="6">
        <v>2</v>
      </c>
      <c r="L341" t="s">
        <v>19</v>
      </c>
      <c r="M341" s="2">
        <v>45622</v>
      </c>
    </row>
    <row r="342" spans="1:13" x14ac:dyDescent="0.25">
      <c r="A342" t="s">
        <v>371</v>
      </c>
      <c r="B342" t="s">
        <v>14</v>
      </c>
      <c r="C342" s="6">
        <v>28</v>
      </c>
      <c r="D342" t="s">
        <v>21</v>
      </c>
      <c r="E342" t="s">
        <v>35</v>
      </c>
      <c r="F342" t="s">
        <v>38</v>
      </c>
      <c r="G342" s="6">
        <v>62</v>
      </c>
      <c r="H342" s="4">
        <v>97.03</v>
      </c>
      <c r="I342" t="s">
        <v>23</v>
      </c>
      <c r="J342" s="6">
        <v>2</v>
      </c>
      <c r="K342" s="6">
        <v>5</v>
      </c>
      <c r="L342" t="s">
        <v>24</v>
      </c>
      <c r="M342" s="2">
        <v>44931</v>
      </c>
    </row>
    <row r="343" spans="1:13" x14ac:dyDescent="0.25">
      <c r="A343" t="s">
        <v>372</v>
      </c>
      <c r="B343" t="s">
        <v>14</v>
      </c>
      <c r="C343" s="6">
        <v>61</v>
      </c>
      <c r="D343" t="s">
        <v>30</v>
      </c>
      <c r="E343" t="s">
        <v>35</v>
      </c>
      <c r="F343" t="s">
        <v>28</v>
      </c>
      <c r="G343" s="6">
        <v>15</v>
      </c>
      <c r="H343" s="4">
        <v>68.31</v>
      </c>
      <c r="I343" t="s">
        <v>23</v>
      </c>
      <c r="J343" s="6">
        <v>0</v>
      </c>
      <c r="K343" s="6">
        <v>1</v>
      </c>
      <c r="L343" t="s">
        <v>24</v>
      </c>
      <c r="M343" s="2">
        <v>44840</v>
      </c>
    </row>
    <row r="344" spans="1:13" x14ac:dyDescent="0.25">
      <c r="A344" t="s">
        <v>373</v>
      </c>
      <c r="B344" t="s">
        <v>14</v>
      </c>
      <c r="C344" s="6">
        <v>63</v>
      </c>
      <c r="D344" t="s">
        <v>30</v>
      </c>
      <c r="E344" t="s">
        <v>22</v>
      </c>
      <c r="F344" t="s">
        <v>28</v>
      </c>
      <c r="G344" s="6">
        <v>67</v>
      </c>
      <c r="H344" s="4">
        <v>62.85</v>
      </c>
      <c r="I344" t="s">
        <v>18</v>
      </c>
      <c r="J344" s="6">
        <v>6</v>
      </c>
      <c r="K344" s="6">
        <v>2</v>
      </c>
      <c r="L344" t="s">
        <v>24</v>
      </c>
      <c r="M344" s="2">
        <v>45556</v>
      </c>
    </row>
    <row r="345" spans="1:13" x14ac:dyDescent="0.25">
      <c r="A345" t="s">
        <v>374</v>
      </c>
      <c r="B345" t="s">
        <v>26</v>
      </c>
      <c r="C345" s="6">
        <v>27</v>
      </c>
      <c r="D345" t="s">
        <v>21</v>
      </c>
      <c r="E345" t="s">
        <v>16</v>
      </c>
      <c r="F345" t="s">
        <v>38</v>
      </c>
      <c r="G345" s="6">
        <v>21</v>
      </c>
      <c r="H345" s="4">
        <v>92.58</v>
      </c>
      <c r="I345" t="s">
        <v>23</v>
      </c>
      <c r="J345" s="6">
        <v>7</v>
      </c>
      <c r="K345" s="6">
        <v>2</v>
      </c>
      <c r="L345" t="s">
        <v>19</v>
      </c>
      <c r="M345" s="2">
        <v>45203</v>
      </c>
    </row>
    <row r="346" spans="1:13" x14ac:dyDescent="0.25">
      <c r="A346" t="s">
        <v>375</v>
      </c>
      <c r="B346" t="s">
        <v>26</v>
      </c>
      <c r="C346" s="6">
        <v>33</v>
      </c>
      <c r="D346" t="s">
        <v>15</v>
      </c>
      <c r="E346" t="s">
        <v>35</v>
      </c>
      <c r="F346" t="s">
        <v>17</v>
      </c>
      <c r="G346" s="6">
        <v>65</v>
      </c>
      <c r="H346" s="4">
        <v>33.340000000000003</v>
      </c>
      <c r="I346" t="s">
        <v>23</v>
      </c>
      <c r="J346" s="6">
        <v>6</v>
      </c>
      <c r="K346" s="6">
        <v>2</v>
      </c>
      <c r="L346" t="s">
        <v>19</v>
      </c>
      <c r="M346" s="2">
        <v>45106</v>
      </c>
    </row>
    <row r="347" spans="1:13" x14ac:dyDescent="0.25">
      <c r="A347" t="s">
        <v>376</v>
      </c>
      <c r="B347" t="s">
        <v>26</v>
      </c>
      <c r="C347" s="6">
        <v>23</v>
      </c>
      <c r="D347" t="s">
        <v>34</v>
      </c>
      <c r="E347" t="s">
        <v>35</v>
      </c>
      <c r="F347" t="s">
        <v>28</v>
      </c>
      <c r="G347" s="6">
        <v>16</v>
      </c>
      <c r="H347" s="4">
        <v>69.709999999999994</v>
      </c>
      <c r="I347" t="s">
        <v>18</v>
      </c>
      <c r="J347" s="6">
        <v>1</v>
      </c>
      <c r="K347" s="6">
        <v>4</v>
      </c>
      <c r="L347" t="s">
        <v>24</v>
      </c>
      <c r="M347" s="2">
        <v>45338</v>
      </c>
    </row>
    <row r="348" spans="1:13" x14ac:dyDescent="0.25">
      <c r="A348" t="s">
        <v>377</v>
      </c>
      <c r="B348" t="s">
        <v>14</v>
      </c>
      <c r="C348" s="6">
        <v>70</v>
      </c>
      <c r="D348" t="s">
        <v>21</v>
      </c>
      <c r="E348" t="s">
        <v>22</v>
      </c>
      <c r="F348" t="s">
        <v>38</v>
      </c>
      <c r="G348" s="6">
        <v>39</v>
      </c>
      <c r="H348" s="4">
        <v>98.35</v>
      </c>
      <c r="I348" t="s">
        <v>46</v>
      </c>
      <c r="J348" s="6">
        <v>7</v>
      </c>
      <c r="K348" s="6">
        <v>3</v>
      </c>
      <c r="L348" t="s">
        <v>24</v>
      </c>
      <c r="M348" s="2">
        <v>44308</v>
      </c>
    </row>
    <row r="349" spans="1:13" x14ac:dyDescent="0.25">
      <c r="A349" t="s">
        <v>378</v>
      </c>
      <c r="B349" t="s">
        <v>14</v>
      </c>
      <c r="C349" s="6">
        <v>47</v>
      </c>
      <c r="D349" t="s">
        <v>15</v>
      </c>
      <c r="E349" t="s">
        <v>22</v>
      </c>
      <c r="F349" t="s">
        <v>38</v>
      </c>
      <c r="G349" s="6">
        <v>61</v>
      </c>
      <c r="H349" s="4">
        <v>95.75</v>
      </c>
      <c r="I349" t="s">
        <v>31</v>
      </c>
      <c r="J349" s="6">
        <v>7</v>
      </c>
      <c r="K349" s="6">
        <v>1</v>
      </c>
      <c r="L349" t="s">
        <v>19</v>
      </c>
      <c r="M349" s="2">
        <v>45546</v>
      </c>
    </row>
    <row r="350" spans="1:13" x14ac:dyDescent="0.25">
      <c r="A350" t="s">
        <v>379</v>
      </c>
      <c r="B350" t="s">
        <v>14</v>
      </c>
      <c r="C350" s="6">
        <v>18</v>
      </c>
      <c r="D350" t="s">
        <v>15</v>
      </c>
      <c r="E350" t="s">
        <v>35</v>
      </c>
      <c r="F350" t="s">
        <v>38</v>
      </c>
      <c r="G350" s="6">
        <v>38</v>
      </c>
      <c r="H350" s="4">
        <v>93.22</v>
      </c>
      <c r="I350" t="s">
        <v>31</v>
      </c>
      <c r="J350" s="6">
        <v>1</v>
      </c>
      <c r="K350" s="6">
        <v>1</v>
      </c>
      <c r="L350" t="s">
        <v>24</v>
      </c>
      <c r="M350" s="2">
        <v>45205</v>
      </c>
    </row>
    <row r="351" spans="1:13" x14ac:dyDescent="0.25">
      <c r="A351" t="s">
        <v>380</v>
      </c>
      <c r="B351" t="s">
        <v>14</v>
      </c>
      <c r="C351" s="6">
        <v>70</v>
      </c>
      <c r="D351" t="s">
        <v>34</v>
      </c>
      <c r="E351" t="s">
        <v>16</v>
      </c>
      <c r="F351" t="s">
        <v>28</v>
      </c>
      <c r="G351" s="6">
        <v>26</v>
      </c>
      <c r="H351" s="4">
        <v>57.81</v>
      </c>
      <c r="I351" t="s">
        <v>23</v>
      </c>
      <c r="J351" s="6">
        <v>3</v>
      </c>
      <c r="K351" s="6">
        <v>4</v>
      </c>
      <c r="L351" t="s">
        <v>24</v>
      </c>
      <c r="M351" s="2">
        <v>44587</v>
      </c>
    </row>
    <row r="352" spans="1:13" x14ac:dyDescent="0.25">
      <c r="A352" t="s">
        <v>381</v>
      </c>
      <c r="B352" t="s">
        <v>26</v>
      </c>
      <c r="C352" s="6">
        <v>24</v>
      </c>
      <c r="D352" t="s">
        <v>34</v>
      </c>
      <c r="E352" t="s">
        <v>16</v>
      </c>
      <c r="F352" t="s">
        <v>38</v>
      </c>
      <c r="G352" s="6">
        <v>16</v>
      </c>
      <c r="H352" s="4">
        <v>96.58</v>
      </c>
      <c r="I352" t="s">
        <v>23</v>
      </c>
      <c r="J352" s="6">
        <v>7</v>
      </c>
      <c r="K352" s="6">
        <v>5</v>
      </c>
      <c r="L352" t="s">
        <v>24</v>
      </c>
      <c r="M352" s="2">
        <v>44472</v>
      </c>
    </row>
    <row r="353" spans="1:13" x14ac:dyDescent="0.25">
      <c r="A353" t="s">
        <v>382</v>
      </c>
      <c r="B353" t="s">
        <v>26</v>
      </c>
      <c r="C353" s="6">
        <v>18</v>
      </c>
      <c r="D353" t="s">
        <v>21</v>
      </c>
      <c r="E353" t="s">
        <v>22</v>
      </c>
      <c r="F353" t="s">
        <v>28</v>
      </c>
      <c r="G353" s="6">
        <v>62</v>
      </c>
      <c r="H353" s="4">
        <v>68.87</v>
      </c>
      <c r="I353" t="s">
        <v>46</v>
      </c>
      <c r="J353" s="6">
        <v>2</v>
      </c>
      <c r="K353" s="6">
        <v>2</v>
      </c>
      <c r="L353" t="s">
        <v>19</v>
      </c>
      <c r="M353" s="2">
        <v>45543</v>
      </c>
    </row>
    <row r="354" spans="1:13" x14ac:dyDescent="0.25">
      <c r="A354" t="s">
        <v>383</v>
      </c>
      <c r="B354" t="s">
        <v>26</v>
      </c>
      <c r="C354" s="6">
        <v>50</v>
      </c>
      <c r="D354" t="s">
        <v>34</v>
      </c>
      <c r="E354" t="s">
        <v>35</v>
      </c>
      <c r="F354" t="s">
        <v>38</v>
      </c>
      <c r="G354" s="6">
        <v>32</v>
      </c>
      <c r="H354" s="4">
        <v>89.1</v>
      </c>
      <c r="I354" t="s">
        <v>31</v>
      </c>
      <c r="J354" s="6">
        <v>4</v>
      </c>
      <c r="K354" s="6">
        <v>4</v>
      </c>
      <c r="L354" t="s">
        <v>24</v>
      </c>
      <c r="M354" s="2">
        <v>44479</v>
      </c>
    </row>
    <row r="355" spans="1:13" x14ac:dyDescent="0.25">
      <c r="A355" t="s">
        <v>384</v>
      </c>
      <c r="B355" t="s">
        <v>26</v>
      </c>
      <c r="C355" s="6">
        <v>56</v>
      </c>
      <c r="D355" t="s">
        <v>15</v>
      </c>
      <c r="E355" t="s">
        <v>22</v>
      </c>
      <c r="F355" t="s">
        <v>38</v>
      </c>
      <c r="G355" s="6">
        <v>41</v>
      </c>
      <c r="H355" s="4">
        <v>95.68</v>
      </c>
      <c r="I355" t="s">
        <v>46</v>
      </c>
      <c r="J355" s="6">
        <v>3</v>
      </c>
      <c r="K355" s="6">
        <v>2</v>
      </c>
      <c r="L355" t="s">
        <v>24</v>
      </c>
      <c r="M355" s="2">
        <v>44792</v>
      </c>
    </row>
    <row r="356" spans="1:13" x14ac:dyDescent="0.25">
      <c r="A356" t="s">
        <v>385</v>
      </c>
      <c r="B356" t="s">
        <v>26</v>
      </c>
      <c r="C356" s="6">
        <v>61</v>
      </c>
      <c r="D356" t="s">
        <v>30</v>
      </c>
      <c r="E356" t="s">
        <v>22</v>
      </c>
      <c r="F356" t="s">
        <v>38</v>
      </c>
      <c r="G356" s="6">
        <v>23</v>
      </c>
      <c r="H356" s="4">
        <v>92.56</v>
      </c>
      <c r="I356" t="s">
        <v>31</v>
      </c>
      <c r="J356" s="6">
        <v>1</v>
      </c>
      <c r="K356" s="6">
        <v>3</v>
      </c>
      <c r="L356" t="s">
        <v>24</v>
      </c>
      <c r="M356" s="2">
        <v>45390</v>
      </c>
    </row>
    <row r="357" spans="1:13" x14ac:dyDescent="0.25">
      <c r="A357" t="s">
        <v>386</v>
      </c>
      <c r="B357" t="s">
        <v>26</v>
      </c>
      <c r="C357" s="6">
        <v>61</v>
      </c>
      <c r="D357" t="s">
        <v>15</v>
      </c>
      <c r="E357" t="s">
        <v>35</v>
      </c>
      <c r="F357" t="s">
        <v>17</v>
      </c>
      <c r="G357" s="6">
        <v>67</v>
      </c>
      <c r="H357" s="4">
        <v>31.6</v>
      </c>
      <c r="I357" t="s">
        <v>23</v>
      </c>
      <c r="J357" s="6">
        <v>2</v>
      </c>
      <c r="K357" s="6">
        <v>1</v>
      </c>
      <c r="L357" t="s">
        <v>24</v>
      </c>
      <c r="M357" s="2">
        <v>44606</v>
      </c>
    </row>
    <row r="358" spans="1:13" x14ac:dyDescent="0.25">
      <c r="A358" t="s">
        <v>387</v>
      </c>
      <c r="B358" t="s">
        <v>26</v>
      </c>
      <c r="C358" s="6">
        <v>66</v>
      </c>
      <c r="D358" t="s">
        <v>30</v>
      </c>
      <c r="E358" t="s">
        <v>35</v>
      </c>
      <c r="F358" t="s">
        <v>38</v>
      </c>
      <c r="G358" s="6">
        <v>33</v>
      </c>
      <c r="H358" s="4">
        <v>87.2</v>
      </c>
      <c r="I358" t="s">
        <v>18</v>
      </c>
      <c r="J358" s="6">
        <v>4</v>
      </c>
      <c r="K358" s="6">
        <v>2</v>
      </c>
      <c r="L358" t="s">
        <v>24</v>
      </c>
      <c r="M358" s="2">
        <v>44263</v>
      </c>
    </row>
    <row r="359" spans="1:13" x14ac:dyDescent="0.25">
      <c r="A359" t="s">
        <v>388</v>
      </c>
      <c r="B359" t="s">
        <v>26</v>
      </c>
      <c r="C359" s="6">
        <v>70</v>
      </c>
      <c r="D359" t="s">
        <v>34</v>
      </c>
      <c r="E359" t="s">
        <v>16</v>
      </c>
      <c r="F359" t="s">
        <v>38</v>
      </c>
      <c r="G359" s="6">
        <v>72</v>
      </c>
      <c r="H359" s="4">
        <v>97.97</v>
      </c>
      <c r="I359" t="s">
        <v>23</v>
      </c>
      <c r="J359" s="6">
        <v>3</v>
      </c>
      <c r="K359" s="6">
        <v>5</v>
      </c>
      <c r="L359" t="s">
        <v>24</v>
      </c>
      <c r="M359" s="2">
        <v>45832</v>
      </c>
    </row>
    <row r="360" spans="1:13" x14ac:dyDescent="0.25">
      <c r="A360" t="s">
        <v>389</v>
      </c>
      <c r="B360" t="s">
        <v>26</v>
      </c>
      <c r="C360" s="6">
        <v>62</v>
      </c>
      <c r="D360" t="s">
        <v>21</v>
      </c>
      <c r="E360" t="s">
        <v>35</v>
      </c>
      <c r="F360" t="s">
        <v>28</v>
      </c>
      <c r="G360" s="6">
        <v>54</v>
      </c>
      <c r="H360" s="4">
        <v>69.349999999999994</v>
      </c>
      <c r="I360" t="s">
        <v>31</v>
      </c>
      <c r="J360" s="6">
        <v>8</v>
      </c>
      <c r="K360" s="6">
        <v>1</v>
      </c>
      <c r="L360" t="s">
        <v>19</v>
      </c>
      <c r="M360" s="2">
        <v>44711</v>
      </c>
    </row>
    <row r="361" spans="1:13" x14ac:dyDescent="0.25">
      <c r="A361" t="s">
        <v>390</v>
      </c>
      <c r="B361" t="s">
        <v>14</v>
      </c>
      <c r="C361" s="6">
        <v>57</v>
      </c>
      <c r="D361" t="s">
        <v>34</v>
      </c>
      <c r="E361" t="s">
        <v>16</v>
      </c>
      <c r="F361" t="s">
        <v>38</v>
      </c>
      <c r="G361" s="6">
        <v>48</v>
      </c>
      <c r="H361" s="4">
        <v>96.33</v>
      </c>
      <c r="I361" t="s">
        <v>46</v>
      </c>
      <c r="J361" s="6">
        <v>3</v>
      </c>
      <c r="K361" s="6">
        <v>3</v>
      </c>
      <c r="L361" t="s">
        <v>24</v>
      </c>
      <c r="M361" s="2">
        <v>45595</v>
      </c>
    </row>
    <row r="362" spans="1:13" x14ac:dyDescent="0.25">
      <c r="A362" t="s">
        <v>391</v>
      </c>
      <c r="B362" t="s">
        <v>14</v>
      </c>
      <c r="C362" s="6">
        <v>29</v>
      </c>
      <c r="D362" t="s">
        <v>30</v>
      </c>
      <c r="E362" t="s">
        <v>22</v>
      </c>
      <c r="F362" t="s">
        <v>38</v>
      </c>
      <c r="G362" s="6">
        <v>16</v>
      </c>
      <c r="H362" s="4">
        <v>90.66</v>
      </c>
      <c r="I362" t="s">
        <v>23</v>
      </c>
      <c r="J362" s="6">
        <v>4</v>
      </c>
      <c r="K362" s="6">
        <v>5</v>
      </c>
      <c r="L362" t="s">
        <v>24</v>
      </c>
      <c r="M362" s="2">
        <v>44526</v>
      </c>
    </row>
    <row r="363" spans="1:13" x14ac:dyDescent="0.25">
      <c r="A363" t="s">
        <v>392</v>
      </c>
      <c r="B363" t="s">
        <v>26</v>
      </c>
      <c r="C363" s="6">
        <v>18</v>
      </c>
      <c r="D363" t="s">
        <v>15</v>
      </c>
      <c r="E363" t="s">
        <v>35</v>
      </c>
      <c r="F363" t="s">
        <v>38</v>
      </c>
      <c r="G363" s="6">
        <v>20</v>
      </c>
      <c r="H363" s="4">
        <v>85.6</v>
      </c>
      <c r="I363" t="s">
        <v>31</v>
      </c>
      <c r="J363" s="6">
        <v>0</v>
      </c>
      <c r="K363" s="6">
        <v>5</v>
      </c>
      <c r="L363" t="s">
        <v>24</v>
      </c>
      <c r="M363" s="2">
        <v>44813</v>
      </c>
    </row>
    <row r="364" spans="1:13" x14ac:dyDescent="0.25">
      <c r="A364" t="s">
        <v>393</v>
      </c>
      <c r="B364" t="s">
        <v>26</v>
      </c>
      <c r="C364" s="6">
        <v>68</v>
      </c>
      <c r="D364" t="s">
        <v>15</v>
      </c>
      <c r="E364" t="s">
        <v>16</v>
      </c>
      <c r="F364" t="s">
        <v>38</v>
      </c>
      <c r="G364" s="6">
        <v>41</v>
      </c>
      <c r="H364" s="4">
        <v>92.88</v>
      </c>
      <c r="I364" t="s">
        <v>46</v>
      </c>
      <c r="J364" s="6">
        <v>8</v>
      </c>
      <c r="K364" s="6">
        <v>1</v>
      </c>
      <c r="L364" t="s">
        <v>24</v>
      </c>
      <c r="M364" s="2">
        <v>44523</v>
      </c>
    </row>
    <row r="365" spans="1:13" x14ac:dyDescent="0.25">
      <c r="A365" t="s">
        <v>394</v>
      </c>
      <c r="B365" t="s">
        <v>26</v>
      </c>
      <c r="C365" s="6">
        <v>52</v>
      </c>
      <c r="D365" t="s">
        <v>34</v>
      </c>
      <c r="E365" t="s">
        <v>16</v>
      </c>
      <c r="F365" t="s">
        <v>28</v>
      </c>
      <c r="G365" s="6">
        <v>29</v>
      </c>
      <c r="H365" s="4">
        <v>68.25</v>
      </c>
      <c r="I365" t="s">
        <v>31</v>
      </c>
      <c r="J365" s="6">
        <v>5</v>
      </c>
      <c r="K365" s="6">
        <v>3</v>
      </c>
      <c r="L365" t="s">
        <v>19</v>
      </c>
      <c r="M365" s="2">
        <v>45738</v>
      </c>
    </row>
    <row r="366" spans="1:13" x14ac:dyDescent="0.25">
      <c r="A366" t="s">
        <v>395</v>
      </c>
      <c r="B366" t="s">
        <v>26</v>
      </c>
      <c r="C366" s="6">
        <v>53</v>
      </c>
      <c r="D366" t="s">
        <v>21</v>
      </c>
      <c r="E366" t="s">
        <v>16</v>
      </c>
      <c r="F366" t="s">
        <v>38</v>
      </c>
      <c r="G366" s="6">
        <v>45</v>
      </c>
      <c r="H366" s="4">
        <v>91.69</v>
      </c>
      <c r="I366" t="s">
        <v>46</v>
      </c>
      <c r="J366" s="6">
        <v>0</v>
      </c>
      <c r="K366" s="6">
        <v>3</v>
      </c>
      <c r="L366" t="s">
        <v>24</v>
      </c>
      <c r="M366" s="2">
        <v>45827</v>
      </c>
    </row>
    <row r="367" spans="1:13" x14ac:dyDescent="0.25">
      <c r="A367" t="s">
        <v>396</v>
      </c>
      <c r="B367" t="s">
        <v>14</v>
      </c>
      <c r="C367" s="6">
        <v>42</v>
      </c>
      <c r="D367" t="s">
        <v>15</v>
      </c>
      <c r="E367" t="s">
        <v>22</v>
      </c>
      <c r="F367" t="s">
        <v>38</v>
      </c>
      <c r="G367" s="6">
        <v>37</v>
      </c>
      <c r="H367" s="4">
        <v>85.37</v>
      </c>
      <c r="I367" t="s">
        <v>31</v>
      </c>
      <c r="J367" s="6">
        <v>8</v>
      </c>
      <c r="K367" s="6">
        <v>5</v>
      </c>
      <c r="L367" t="s">
        <v>24</v>
      </c>
      <c r="M367" s="2">
        <v>44286</v>
      </c>
    </row>
    <row r="368" spans="1:13" x14ac:dyDescent="0.25">
      <c r="A368" t="s">
        <v>397</v>
      </c>
      <c r="B368" t="s">
        <v>26</v>
      </c>
      <c r="C368" s="6">
        <v>59</v>
      </c>
      <c r="D368" t="s">
        <v>30</v>
      </c>
      <c r="E368" t="s">
        <v>35</v>
      </c>
      <c r="F368" t="s">
        <v>38</v>
      </c>
      <c r="G368" s="6">
        <v>11</v>
      </c>
      <c r="H368" s="4">
        <v>99.22</v>
      </c>
      <c r="I368" t="s">
        <v>46</v>
      </c>
      <c r="J368" s="6">
        <v>8</v>
      </c>
      <c r="K368" s="6">
        <v>5</v>
      </c>
      <c r="L368" t="s">
        <v>19</v>
      </c>
      <c r="M368" s="2">
        <v>44331</v>
      </c>
    </row>
    <row r="369" spans="1:13" x14ac:dyDescent="0.25">
      <c r="A369" t="s">
        <v>398</v>
      </c>
      <c r="B369" t="s">
        <v>14</v>
      </c>
      <c r="C369" s="6">
        <v>60</v>
      </c>
      <c r="D369" t="s">
        <v>30</v>
      </c>
      <c r="E369" t="s">
        <v>22</v>
      </c>
      <c r="F369" t="s">
        <v>28</v>
      </c>
      <c r="G369" s="6">
        <v>14</v>
      </c>
      <c r="H369" s="4">
        <v>58.08</v>
      </c>
      <c r="I369" t="s">
        <v>23</v>
      </c>
      <c r="J369" s="6">
        <v>1</v>
      </c>
      <c r="K369" s="6">
        <v>2</v>
      </c>
      <c r="L369" t="s">
        <v>19</v>
      </c>
      <c r="M369" s="2">
        <v>45665</v>
      </c>
    </row>
    <row r="370" spans="1:13" x14ac:dyDescent="0.25">
      <c r="A370" t="s">
        <v>399</v>
      </c>
      <c r="B370" t="s">
        <v>26</v>
      </c>
      <c r="C370" s="6">
        <v>20</v>
      </c>
      <c r="D370" t="s">
        <v>21</v>
      </c>
      <c r="E370" t="s">
        <v>16</v>
      </c>
      <c r="F370" t="s">
        <v>17</v>
      </c>
      <c r="G370" s="6">
        <v>23</v>
      </c>
      <c r="H370" s="4">
        <v>41.91</v>
      </c>
      <c r="I370" t="s">
        <v>18</v>
      </c>
      <c r="J370" s="6">
        <v>3</v>
      </c>
      <c r="K370" s="6">
        <v>3</v>
      </c>
      <c r="L370" t="s">
        <v>24</v>
      </c>
      <c r="M370" s="2">
        <v>45120</v>
      </c>
    </row>
    <row r="371" spans="1:13" x14ac:dyDescent="0.25">
      <c r="A371" t="s">
        <v>400</v>
      </c>
      <c r="B371" t="s">
        <v>26</v>
      </c>
      <c r="C371" s="6">
        <v>45</v>
      </c>
      <c r="D371" t="s">
        <v>15</v>
      </c>
      <c r="E371" t="s">
        <v>16</v>
      </c>
      <c r="F371" t="s">
        <v>28</v>
      </c>
      <c r="G371" s="6">
        <v>16</v>
      </c>
      <c r="H371" s="4">
        <v>63.02</v>
      </c>
      <c r="I371" t="s">
        <v>18</v>
      </c>
      <c r="J371" s="6">
        <v>0</v>
      </c>
      <c r="K371" s="6">
        <v>1</v>
      </c>
      <c r="L371" t="s">
        <v>24</v>
      </c>
      <c r="M371" s="2">
        <v>45226</v>
      </c>
    </row>
    <row r="372" spans="1:13" x14ac:dyDescent="0.25">
      <c r="A372" t="s">
        <v>401</v>
      </c>
      <c r="B372" t="s">
        <v>14</v>
      </c>
      <c r="C372" s="6">
        <v>36</v>
      </c>
      <c r="D372" t="s">
        <v>15</v>
      </c>
      <c r="E372" t="s">
        <v>22</v>
      </c>
      <c r="F372" t="s">
        <v>17</v>
      </c>
      <c r="G372" s="6">
        <v>37</v>
      </c>
      <c r="H372" s="4">
        <v>41.48</v>
      </c>
      <c r="I372" t="s">
        <v>23</v>
      </c>
      <c r="J372" s="6">
        <v>6</v>
      </c>
      <c r="K372" s="6">
        <v>4</v>
      </c>
      <c r="L372" t="s">
        <v>24</v>
      </c>
      <c r="M372" s="2">
        <v>44260</v>
      </c>
    </row>
    <row r="373" spans="1:13" x14ac:dyDescent="0.25">
      <c r="A373" t="s">
        <v>402</v>
      </c>
      <c r="B373" t="s">
        <v>26</v>
      </c>
      <c r="C373" s="6">
        <v>28</v>
      </c>
      <c r="D373" t="s">
        <v>30</v>
      </c>
      <c r="E373" t="s">
        <v>16</v>
      </c>
      <c r="F373" t="s">
        <v>38</v>
      </c>
      <c r="G373" s="6">
        <v>51</v>
      </c>
      <c r="H373" s="4">
        <v>96.95</v>
      </c>
      <c r="I373" t="s">
        <v>31</v>
      </c>
      <c r="J373" s="6">
        <v>2</v>
      </c>
      <c r="K373" s="6">
        <v>3</v>
      </c>
      <c r="L373" t="s">
        <v>24</v>
      </c>
      <c r="M373" s="2">
        <v>45825</v>
      </c>
    </row>
    <row r="374" spans="1:13" x14ac:dyDescent="0.25">
      <c r="A374" t="s">
        <v>403</v>
      </c>
      <c r="B374" t="s">
        <v>26</v>
      </c>
      <c r="C374" s="6">
        <v>18</v>
      </c>
      <c r="D374" t="s">
        <v>30</v>
      </c>
      <c r="E374" t="s">
        <v>16</v>
      </c>
      <c r="F374" t="s">
        <v>17</v>
      </c>
      <c r="G374" s="6">
        <v>1</v>
      </c>
      <c r="H374" s="4">
        <v>38.590000000000003</v>
      </c>
      <c r="I374" t="s">
        <v>23</v>
      </c>
      <c r="J374" s="6">
        <v>8</v>
      </c>
      <c r="K374" s="6">
        <v>5</v>
      </c>
      <c r="L374" t="s">
        <v>24</v>
      </c>
      <c r="M374" s="2">
        <v>44821</v>
      </c>
    </row>
    <row r="375" spans="1:13" x14ac:dyDescent="0.25">
      <c r="A375" t="s">
        <v>404</v>
      </c>
      <c r="B375" t="s">
        <v>14</v>
      </c>
      <c r="C375" s="6">
        <v>65</v>
      </c>
      <c r="D375" t="s">
        <v>15</v>
      </c>
      <c r="E375" t="s">
        <v>16</v>
      </c>
      <c r="F375" t="s">
        <v>28</v>
      </c>
      <c r="G375" s="6">
        <v>66</v>
      </c>
      <c r="H375" s="4">
        <v>57.14</v>
      </c>
      <c r="I375" t="s">
        <v>46</v>
      </c>
      <c r="J375" s="6">
        <v>3</v>
      </c>
      <c r="K375" s="6">
        <v>5</v>
      </c>
      <c r="L375" t="s">
        <v>24</v>
      </c>
      <c r="M375" s="2">
        <v>44594</v>
      </c>
    </row>
    <row r="376" spans="1:13" x14ac:dyDescent="0.25">
      <c r="A376" t="s">
        <v>405</v>
      </c>
      <c r="B376" t="s">
        <v>14</v>
      </c>
      <c r="C376" s="6">
        <v>29</v>
      </c>
      <c r="D376" t="s">
        <v>21</v>
      </c>
      <c r="E376" t="s">
        <v>22</v>
      </c>
      <c r="F376" t="s">
        <v>28</v>
      </c>
      <c r="G376" s="6">
        <v>71</v>
      </c>
      <c r="H376" s="4">
        <v>56.1</v>
      </c>
      <c r="I376" t="s">
        <v>18</v>
      </c>
      <c r="J376" s="6">
        <v>4</v>
      </c>
      <c r="K376" s="6">
        <v>1</v>
      </c>
      <c r="L376" t="s">
        <v>24</v>
      </c>
      <c r="M376" s="2">
        <v>45386</v>
      </c>
    </row>
    <row r="377" spans="1:13" x14ac:dyDescent="0.25">
      <c r="A377" t="s">
        <v>406</v>
      </c>
      <c r="B377" t="s">
        <v>26</v>
      </c>
      <c r="C377" s="6">
        <v>39</v>
      </c>
      <c r="D377" t="s">
        <v>15</v>
      </c>
      <c r="E377" t="s">
        <v>16</v>
      </c>
      <c r="F377" t="s">
        <v>38</v>
      </c>
      <c r="G377" s="6">
        <v>31</v>
      </c>
      <c r="H377" s="4">
        <v>86.5</v>
      </c>
      <c r="I377" t="s">
        <v>18</v>
      </c>
      <c r="J377" s="6">
        <v>3</v>
      </c>
      <c r="K377" s="6">
        <v>3</v>
      </c>
      <c r="L377" t="s">
        <v>24</v>
      </c>
      <c r="M377" s="2">
        <v>44869</v>
      </c>
    </row>
    <row r="378" spans="1:13" x14ac:dyDescent="0.25">
      <c r="A378" t="s">
        <v>407</v>
      </c>
      <c r="B378" t="s">
        <v>26</v>
      </c>
      <c r="C378" s="6">
        <v>62</v>
      </c>
      <c r="D378" t="s">
        <v>30</v>
      </c>
      <c r="E378" t="s">
        <v>22</v>
      </c>
      <c r="F378" t="s">
        <v>38</v>
      </c>
      <c r="G378" s="6">
        <v>47</v>
      </c>
      <c r="H378" s="4">
        <v>97.12</v>
      </c>
      <c r="I378" t="s">
        <v>23</v>
      </c>
      <c r="J378" s="6">
        <v>2</v>
      </c>
      <c r="K378" s="6">
        <v>1</v>
      </c>
      <c r="L378" t="s">
        <v>24</v>
      </c>
      <c r="M378" s="2">
        <v>45806</v>
      </c>
    </row>
    <row r="379" spans="1:13" x14ac:dyDescent="0.25">
      <c r="A379" t="s">
        <v>408</v>
      </c>
      <c r="B379" t="s">
        <v>14</v>
      </c>
      <c r="C379" s="6">
        <v>63</v>
      </c>
      <c r="D379" t="s">
        <v>34</v>
      </c>
      <c r="E379" t="s">
        <v>35</v>
      </c>
      <c r="F379" t="s">
        <v>28</v>
      </c>
      <c r="G379" s="6">
        <v>18</v>
      </c>
      <c r="H379" s="4">
        <v>65.19</v>
      </c>
      <c r="I379" t="s">
        <v>31</v>
      </c>
      <c r="J379" s="6">
        <v>7</v>
      </c>
      <c r="K379" s="6">
        <v>4</v>
      </c>
      <c r="L379" t="s">
        <v>24</v>
      </c>
      <c r="M379" s="2">
        <v>45783</v>
      </c>
    </row>
    <row r="380" spans="1:13" x14ac:dyDescent="0.25">
      <c r="A380" t="s">
        <v>409</v>
      </c>
      <c r="B380" t="s">
        <v>26</v>
      </c>
      <c r="C380" s="6">
        <v>49</v>
      </c>
      <c r="D380" t="s">
        <v>21</v>
      </c>
      <c r="E380" t="s">
        <v>16</v>
      </c>
      <c r="F380" t="s">
        <v>38</v>
      </c>
      <c r="G380" s="6">
        <v>11</v>
      </c>
      <c r="H380" s="4">
        <v>97.63</v>
      </c>
      <c r="I380" t="s">
        <v>46</v>
      </c>
      <c r="J380" s="6">
        <v>8</v>
      </c>
      <c r="K380" s="6">
        <v>2</v>
      </c>
      <c r="L380" t="s">
        <v>19</v>
      </c>
      <c r="M380" s="2">
        <v>45480</v>
      </c>
    </row>
    <row r="381" spans="1:13" x14ac:dyDescent="0.25">
      <c r="A381" t="s">
        <v>410</v>
      </c>
      <c r="B381" t="s">
        <v>14</v>
      </c>
      <c r="C381" s="6">
        <v>64</v>
      </c>
      <c r="D381" t="s">
        <v>21</v>
      </c>
      <c r="E381" t="s">
        <v>16</v>
      </c>
      <c r="F381" t="s">
        <v>38</v>
      </c>
      <c r="G381" s="6">
        <v>4</v>
      </c>
      <c r="H381" s="4">
        <v>97.19</v>
      </c>
      <c r="I381" t="s">
        <v>23</v>
      </c>
      <c r="J381" s="6">
        <v>3</v>
      </c>
      <c r="K381" s="6">
        <v>1</v>
      </c>
      <c r="L381" t="s">
        <v>24</v>
      </c>
      <c r="M381" s="2">
        <v>45310</v>
      </c>
    </row>
    <row r="382" spans="1:13" x14ac:dyDescent="0.25">
      <c r="A382" t="s">
        <v>411</v>
      </c>
      <c r="B382" t="s">
        <v>26</v>
      </c>
      <c r="C382" s="6">
        <v>59</v>
      </c>
      <c r="D382" t="s">
        <v>30</v>
      </c>
      <c r="E382" t="s">
        <v>35</v>
      </c>
      <c r="F382" t="s">
        <v>28</v>
      </c>
      <c r="G382" s="6">
        <v>29</v>
      </c>
      <c r="H382" s="4">
        <v>68.37</v>
      </c>
      <c r="I382" t="s">
        <v>31</v>
      </c>
      <c r="J382" s="6">
        <v>2</v>
      </c>
      <c r="K382" s="6">
        <v>4</v>
      </c>
      <c r="L382" t="s">
        <v>24</v>
      </c>
      <c r="M382" s="2">
        <v>44382</v>
      </c>
    </row>
    <row r="383" spans="1:13" x14ac:dyDescent="0.25">
      <c r="A383" t="s">
        <v>412</v>
      </c>
      <c r="B383" t="s">
        <v>26</v>
      </c>
      <c r="C383" s="6">
        <v>41</v>
      </c>
      <c r="D383" t="s">
        <v>21</v>
      </c>
      <c r="E383" t="s">
        <v>22</v>
      </c>
      <c r="F383" t="s">
        <v>17</v>
      </c>
      <c r="G383" s="6">
        <v>22</v>
      </c>
      <c r="H383" s="4">
        <v>41.36</v>
      </c>
      <c r="I383" t="s">
        <v>46</v>
      </c>
      <c r="J383" s="6">
        <v>7</v>
      </c>
      <c r="K383" s="6">
        <v>2</v>
      </c>
      <c r="L383" t="s">
        <v>19</v>
      </c>
      <c r="M383" s="2">
        <v>45355</v>
      </c>
    </row>
    <row r="384" spans="1:13" x14ac:dyDescent="0.25">
      <c r="A384" t="s">
        <v>413</v>
      </c>
      <c r="B384" t="s">
        <v>14</v>
      </c>
      <c r="C384" s="6">
        <v>65</v>
      </c>
      <c r="D384" t="s">
        <v>34</v>
      </c>
      <c r="E384" t="s">
        <v>35</v>
      </c>
      <c r="F384" t="s">
        <v>17</v>
      </c>
      <c r="G384" s="6">
        <v>29</v>
      </c>
      <c r="H384" s="4">
        <v>41.42</v>
      </c>
      <c r="I384" t="s">
        <v>46</v>
      </c>
      <c r="J384" s="6">
        <v>1</v>
      </c>
      <c r="K384" s="6">
        <v>3</v>
      </c>
      <c r="L384" t="s">
        <v>24</v>
      </c>
      <c r="M384" s="2">
        <v>44284</v>
      </c>
    </row>
    <row r="385" spans="1:13" x14ac:dyDescent="0.25">
      <c r="A385" t="s">
        <v>414</v>
      </c>
      <c r="B385" t="s">
        <v>14</v>
      </c>
      <c r="C385" s="6">
        <v>51</v>
      </c>
      <c r="D385" t="s">
        <v>15</v>
      </c>
      <c r="E385" t="s">
        <v>35</v>
      </c>
      <c r="F385" t="s">
        <v>28</v>
      </c>
      <c r="G385" s="6">
        <v>59</v>
      </c>
      <c r="H385" s="4">
        <v>68.22</v>
      </c>
      <c r="I385" t="s">
        <v>18</v>
      </c>
      <c r="J385" s="6">
        <v>5</v>
      </c>
      <c r="K385" s="6">
        <v>1</v>
      </c>
      <c r="L385" t="s">
        <v>24</v>
      </c>
      <c r="M385" s="2">
        <v>45264</v>
      </c>
    </row>
    <row r="386" spans="1:13" x14ac:dyDescent="0.25">
      <c r="A386" t="s">
        <v>415</v>
      </c>
      <c r="B386" t="s">
        <v>26</v>
      </c>
      <c r="C386" s="6">
        <v>65</v>
      </c>
      <c r="D386" t="s">
        <v>15</v>
      </c>
      <c r="E386" t="s">
        <v>22</v>
      </c>
      <c r="F386" t="s">
        <v>38</v>
      </c>
      <c r="G386" s="6">
        <v>23</v>
      </c>
      <c r="H386" s="4">
        <v>90.65</v>
      </c>
      <c r="I386" t="s">
        <v>23</v>
      </c>
      <c r="J386" s="6">
        <v>5</v>
      </c>
      <c r="K386" s="6">
        <v>5</v>
      </c>
      <c r="L386" t="s">
        <v>24</v>
      </c>
      <c r="M386" s="2">
        <v>45908</v>
      </c>
    </row>
    <row r="387" spans="1:13" x14ac:dyDescent="0.25">
      <c r="A387" t="s">
        <v>416</v>
      </c>
      <c r="B387" t="s">
        <v>14</v>
      </c>
      <c r="C387" s="6">
        <v>51</v>
      </c>
      <c r="D387" t="s">
        <v>15</v>
      </c>
      <c r="E387" t="s">
        <v>35</v>
      </c>
      <c r="F387" t="s">
        <v>17</v>
      </c>
      <c r="G387" s="6">
        <v>67</v>
      </c>
      <c r="H387" s="4">
        <v>36.090000000000003</v>
      </c>
      <c r="I387" t="s">
        <v>31</v>
      </c>
      <c r="J387" s="6">
        <v>7</v>
      </c>
      <c r="K387" s="6">
        <v>4</v>
      </c>
      <c r="L387" t="s">
        <v>24</v>
      </c>
      <c r="M387" s="2">
        <v>44210</v>
      </c>
    </row>
    <row r="388" spans="1:13" x14ac:dyDescent="0.25">
      <c r="A388" t="s">
        <v>417</v>
      </c>
      <c r="B388" t="s">
        <v>14</v>
      </c>
      <c r="C388" s="6">
        <v>46</v>
      </c>
      <c r="D388" t="s">
        <v>30</v>
      </c>
      <c r="E388" t="s">
        <v>16</v>
      </c>
      <c r="F388" t="s">
        <v>17</v>
      </c>
      <c r="G388" s="6">
        <v>66</v>
      </c>
      <c r="H388" s="4">
        <v>39.65</v>
      </c>
      <c r="I388" t="s">
        <v>46</v>
      </c>
      <c r="J388" s="6">
        <v>2</v>
      </c>
      <c r="K388" s="6">
        <v>2</v>
      </c>
      <c r="L388" t="s">
        <v>19</v>
      </c>
      <c r="M388" s="2">
        <v>45429</v>
      </c>
    </row>
    <row r="389" spans="1:13" x14ac:dyDescent="0.25">
      <c r="A389" t="s">
        <v>418</v>
      </c>
      <c r="B389" t="s">
        <v>14</v>
      </c>
      <c r="C389" s="6">
        <v>60</v>
      </c>
      <c r="D389" t="s">
        <v>30</v>
      </c>
      <c r="E389" t="s">
        <v>35</v>
      </c>
      <c r="F389" t="s">
        <v>28</v>
      </c>
      <c r="G389" s="6">
        <v>15</v>
      </c>
      <c r="H389" s="4">
        <v>62.22</v>
      </c>
      <c r="I389" t="s">
        <v>23</v>
      </c>
      <c r="J389" s="6">
        <v>7</v>
      </c>
      <c r="K389" s="6">
        <v>2</v>
      </c>
      <c r="L389" t="s">
        <v>24</v>
      </c>
      <c r="M389" s="2">
        <v>45522</v>
      </c>
    </row>
    <row r="390" spans="1:13" x14ac:dyDescent="0.25">
      <c r="A390" t="s">
        <v>419</v>
      </c>
      <c r="B390" t="s">
        <v>26</v>
      </c>
      <c r="C390" s="6">
        <v>19</v>
      </c>
      <c r="D390" t="s">
        <v>30</v>
      </c>
      <c r="E390" t="s">
        <v>16</v>
      </c>
      <c r="F390" t="s">
        <v>17</v>
      </c>
      <c r="G390" s="6">
        <v>21</v>
      </c>
      <c r="H390" s="4">
        <v>32.020000000000003</v>
      </c>
      <c r="I390" t="s">
        <v>18</v>
      </c>
      <c r="J390" s="6">
        <v>2</v>
      </c>
      <c r="K390" s="6">
        <v>1</v>
      </c>
      <c r="L390" t="s">
        <v>19</v>
      </c>
      <c r="M390" s="2">
        <v>44565</v>
      </c>
    </row>
    <row r="391" spans="1:13" x14ac:dyDescent="0.25">
      <c r="A391" t="s">
        <v>420</v>
      </c>
      <c r="B391" t="s">
        <v>26</v>
      </c>
      <c r="C391" s="6">
        <v>56</v>
      </c>
      <c r="D391" t="s">
        <v>21</v>
      </c>
      <c r="E391" t="s">
        <v>22</v>
      </c>
      <c r="F391" t="s">
        <v>38</v>
      </c>
      <c r="G391" s="6">
        <v>37</v>
      </c>
      <c r="H391" s="4">
        <v>99.21</v>
      </c>
      <c r="I391" t="s">
        <v>46</v>
      </c>
      <c r="J391" s="6">
        <v>7</v>
      </c>
      <c r="K391" s="6">
        <v>5</v>
      </c>
      <c r="L391" t="s">
        <v>24</v>
      </c>
      <c r="M391" s="2">
        <v>45973</v>
      </c>
    </row>
    <row r="392" spans="1:13" x14ac:dyDescent="0.25">
      <c r="A392" t="s">
        <v>421</v>
      </c>
      <c r="B392" t="s">
        <v>26</v>
      </c>
      <c r="C392" s="6">
        <v>28</v>
      </c>
      <c r="D392" t="s">
        <v>30</v>
      </c>
      <c r="E392" t="s">
        <v>35</v>
      </c>
      <c r="F392" t="s">
        <v>38</v>
      </c>
      <c r="G392" s="6">
        <v>19</v>
      </c>
      <c r="H392" s="4">
        <v>96.92</v>
      </c>
      <c r="I392" t="s">
        <v>46</v>
      </c>
      <c r="J392" s="6">
        <v>8</v>
      </c>
      <c r="K392" s="6">
        <v>3</v>
      </c>
      <c r="L392" t="s">
        <v>19</v>
      </c>
      <c r="M392" s="2">
        <v>45601</v>
      </c>
    </row>
    <row r="393" spans="1:13" x14ac:dyDescent="0.25">
      <c r="A393" t="s">
        <v>422</v>
      </c>
      <c r="B393" t="s">
        <v>26</v>
      </c>
      <c r="C393" s="6">
        <v>47</v>
      </c>
      <c r="D393" t="s">
        <v>21</v>
      </c>
      <c r="E393" t="s">
        <v>16</v>
      </c>
      <c r="F393" t="s">
        <v>28</v>
      </c>
      <c r="G393" s="6">
        <v>50</v>
      </c>
      <c r="H393" s="4">
        <v>56.98</v>
      </c>
      <c r="I393" t="s">
        <v>18</v>
      </c>
      <c r="J393" s="6">
        <v>3</v>
      </c>
      <c r="K393" s="6">
        <v>5</v>
      </c>
      <c r="L393" t="s">
        <v>24</v>
      </c>
      <c r="M393" s="2">
        <v>45229</v>
      </c>
    </row>
    <row r="394" spans="1:13" x14ac:dyDescent="0.25">
      <c r="A394" t="s">
        <v>423</v>
      </c>
      <c r="B394" t="s">
        <v>26</v>
      </c>
      <c r="C394" s="6">
        <v>70</v>
      </c>
      <c r="D394" t="s">
        <v>30</v>
      </c>
      <c r="E394" t="s">
        <v>22</v>
      </c>
      <c r="F394" t="s">
        <v>17</v>
      </c>
      <c r="G394" s="6">
        <v>23</v>
      </c>
      <c r="H394" s="4">
        <v>37.14</v>
      </c>
      <c r="I394" t="s">
        <v>18</v>
      </c>
      <c r="J394" s="6">
        <v>8</v>
      </c>
      <c r="K394" s="6">
        <v>5</v>
      </c>
      <c r="L394" t="s">
        <v>24</v>
      </c>
      <c r="M394" s="2">
        <v>44387</v>
      </c>
    </row>
    <row r="395" spans="1:13" x14ac:dyDescent="0.25">
      <c r="A395" t="s">
        <v>424</v>
      </c>
      <c r="B395" t="s">
        <v>26</v>
      </c>
      <c r="C395" s="6">
        <v>60</v>
      </c>
      <c r="D395" t="s">
        <v>30</v>
      </c>
      <c r="E395" t="s">
        <v>22</v>
      </c>
      <c r="F395" t="s">
        <v>38</v>
      </c>
      <c r="G395" s="6">
        <v>1</v>
      </c>
      <c r="H395" s="4">
        <v>98.45</v>
      </c>
      <c r="I395" t="s">
        <v>23</v>
      </c>
      <c r="J395" s="6">
        <v>8</v>
      </c>
      <c r="K395" s="6">
        <v>4</v>
      </c>
      <c r="L395" t="s">
        <v>24</v>
      </c>
      <c r="M395" s="2">
        <v>44285</v>
      </c>
    </row>
    <row r="396" spans="1:13" x14ac:dyDescent="0.25">
      <c r="A396" t="s">
        <v>425</v>
      </c>
      <c r="B396" t="s">
        <v>26</v>
      </c>
      <c r="C396" s="6">
        <v>32</v>
      </c>
      <c r="D396" t="s">
        <v>34</v>
      </c>
      <c r="E396" t="s">
        <v>35</v>
      </c>
      <c r="F396" t="s">
        <v>28</v>
      </c>
      <c r="G396" s="6">
        <v>13</v>
      </c>
      <c r="H396" s="4">
        <v>61.38</v>
      </c>
      <c r="I396" t="s">
        <v>31</v>
      </c>
      <c r="J396" s="6">
        <v>7</v>
      </c>
      <c r="K396" s="6">
        <v>2</v>
      </c>
      <c r="L396" t="s">
        <v>24</v>
      </c>
      <c r="M396" s="2">
        <v>44368</v>
      </c>
    </row>
    <row r="397" spans="1:13" x14ac:dyDescent="0.25">
      <c r="A397" t="s">
        <v>426</v>
      </c>
      <c r="B397" t="s">
        <v>26</v>
      </c>
      <c r="C397" s="6">
        <v>56</v>
      </c>
      <c r="D397" t="s">
        <v>34</v>
      </c>
      <c r="E397" t="s">
        <v>35</v>
      </c>
      <c r="F397" t="s">
        <v>17</v>
      </c>
      <c r="G397" s="6">
        <v>1</v>
      </c>
      <c r="H397" s="4">
        <v>40.64</v>
      </c>
      <c r="I397" t="s">
        <v>18</v>
      </c>
      <c r="J397" s="6">
        <v>8</v>
      </c>
      <c r="K397" s="6">
        <v>1</v>
      </c>
      <c r="L397" t="s">
        <v>24</v>
      </c>
      <c r="M397" s="2">
        <v>44965</v>
      </c>
    </row>
    <row r="398" spans="1:13" x14ac:dyDescent="0.25">
      <c r="A398" t="s">
        <v>427</v>
      </c>
      <c r="B398" t="s">
        <v>14</v>
      </c>
      <c r="C398" s="6">
        <v>62</v>
      </c>
      <c r="D398" t="s">
        <v>15</v>
      </c>
      <c r="E398" t="s">
        <v>35</v>
      </c>
      <c r="F398" t="s">
        <v>28</v>
      </c>
      <c r="G398" s="6">
        <v>14</v>
      </c>
      <c r="H398" s="4">
        <v>57.32</v>
      </c>
      <c r="I398" t="s">
        <v>31</v>
      </c>
      <c r="J398" s="6">
        <v>4</v>
      </c>
      <c r="K398" s="6">
        <v>5</v>
      </c>
      <c r="L398" t="s">
        <v>24</v>
      </c>
      <c r="M398" s="2">
        <v>44945</v>
      </c>
    </row>
    <row r="399" spans="1:13" x14ac:dyDescent="0.25">
      <c r="A399" t="s">
        <v>428</v>
      </c>
      <c r="B399" t="s">
        <v>26</v>
      </c>
      <c r="C399" s="6">
        <v>61</v>
      </c>
      <c r="D399" t="s">
        <v>34</v>
      </c>
      <c r="E399" t="s">
        <v>16</v>
      </c>
      <c r="F399" t="s">
        <v>28</v>
      </c>
      <c r="G399" s="6">
        <v>71</v>
      </c>
      <c r="H399" s="4">
        <v>66.760000000000005</v>
      </c>
      <c r="I399" t="s">
        <v>23</v>
      </c>
      <c r="J399" s="6">
        <v>2</v>
      </c>
      <c r="K399" s="6">
        <v>3</v>
      </c>
      <c r="L399" t="s">
        <v>24</v>
      </c>
      <c r="M399" s="2">
        <v>45187</v>
      </c>
    </row>
    <row r="400" spans="1:13" x14ac:dyDescent="0.25">
      <c r="A400" t="s">
        <v>429</v>
      </c>
      <c r="B400" t="s">
        <v>26</v>
      </c>
      <c r="C400" s="6">
        <v>37</v>
      </c>
      <c r="D400" t="s">
        <v>15</v>
      </c>
      <c r="E400" t="s">
        <v>22</v>
      </c>
      <c r="F400" t="s">
        <v>28</v>
      </c>
      <c r="G400" s="6">
        <v>18</v>
      </c>
      <c r="H400" s="4">
        <v>67.819999999999993</v>
      </c>
      <c r="I400" t="s">
        <v>18</v>
      </c>
      <c r="J400" s="6">
        <v>3</v>
      </c>
      <c r="K400" s="6">
        <v>4</v>
      </c>
      <c r="L400" t="s">
        <v>24</v>
      </c>
      <c r="M400" s="2">
        <v>44528</v>
      </c>
    </row>
    <row r="401" spans="1:13" x14ac:dyDescent="0.25">
      <c r="A401" t="s">
        <v>430</v>
      </c>
      <c r="B401" t="s">
        <v>14</v>
      </c>
      <c r="C401" s="6">
        <v>31</v>
      </c>
      <c r="D401" t="s">
        <v>34</v>
      </c>
      <c r="E401" t="s">
        <v>35</v>
      </c>
      <c r="F401" t="s">
        <v>38</v>
      </c>
      <c r="G401" s="6">
        <v>7</v>
      </c>
      <c r="H401" s="4">
        <v>87.41</v>
      </c>
      <c r="I401" t="s">
        <v>18</v>
      </c>
      <c r="J401" s="6">
        <v>1</v>
      </c>
      <c r="K401" s="6">
        <v>2</v>
      </c>
      <c r="L401" t="s">
        <v>24</v>
      </c>
      <c r="M401" s="2">
        <v>45426</v>
      </c>
    </row>
    <row r="402" spans="1:13" x14ac:dyDescent="0.25">
      <c r="A402" t="s">
        <v>431</v>
      </c>
      <c r="B402" t="s">
        <v>26</v>
      </c>
      <c r="C402" s="6">
        <v>23</v>
      </c>
      <c r="D402" t="s">
        <v>21</v>
      </c>
      <c r="E402" t="s">
        <v>35</v>
      </c>
      <c r="F402" t="s">
        <v>17</v>
      </c>
      <c r="G402" s="6">
        <v>48</v>
      </c>
      <c r="H402" s="4">
        <v>31.2</v>
      </c>
      <c r="I402" t="s">
        <v>18</v>
      </c>
      <c r="J402" s="6">
        <v>6</v>
      </c>
      <c r="K402" s="6">
        <v>4</v>
      </c>
      <c r="L402" t="s">
        <v>24</v>
      </c>
      <c r="M402" s="2">
        <v>45264</v>
      </c>
    </row>
    <row r="403" spans="1:13" x14ac:dyDescent="0.25">
      <c r="A403" t="s">
        <v>432</v>
      </c>
      <c r="B403" t="s">
        <v>26</v>
      </c>
      <c r="C403" s="6">
        <v>63</v>
      </c>
      <c r="D403" t="s">
        <v>21</v>
      </c>
      <c r="E403" t="s">
        <v>16</v>
      </c>
      <c r="F403" t="s">
        <v>38</v>
      </c>
      <c r="G403" s="6">
        <v>64</v>
      </c>
      <c r="H403" s="4">
        <v>91.58</v>
      </c>
      <c r="I403" t="s">
        <v>46</v>
      </c>
      <c r="J403" s="6">
        <v>8</v>
      </c>
      <c r="K403" s="6">
        <v>3</v>
      </c>
      <c r="L403" t="s">
        <v>19</v>
      </c>
      <c r="M403" s="2">
        <v>45802</v>
      </c>
    </row>
    <row r="404" spans="1:13" x14ac:dyDescent="0.25">
      <c r="A404" t="s">
        <v>433</v>
      </c>
      <c r="B404" t="s">
        <v>14</v>
      </c>
      <c r="C404" s="6">
        <v>57</v>
      </c>
      <c r="D404" t="s">
        <v>30</v>
      </c>
      <c r="E404" t="s">
        <v>22</v>
      </c>
      <c r="F404" t="s">
        <v>17</v>
      </c>
      <c r="G404" s="6">
        <v>47</v>
      </c>
      <c r="H404" s="4">
        <v>33.590000000000003</v>
      </c>
      <c r="I404" t="s">
        <v>18</v>
      </c>
      <c r="J404" s="6">
        <v>2</v>
      </c>
      <c r="K404" s="6">
        <v>1</v>
      </c>
      <c r="L404" t="s">
        <v>24</v>
      </c>
      <c r="M404" s="2">
        <v>45793</v>
      </c>
    </row>
    <row r="405" spans="1:13" x14ac:dyDescent="0.25">
      <c r="A405" t="s">
        <v>434</v>
      </c>
      <c r="B405" t="s">
        <v>26</v>
      </c>
      <c r="C405" s="6">
        <v>40</v>
      </c>
      <c r="D405" t="s">
        <v>34</v>
      </c>
      <c r="E405" t="s">
        <v>35</v>
      </c>
      <c r="F405" t="s">
        <v>38</v>
      </c>
      <c r="G405" s="6">
        <v>26</v>
      </c>
      <c r="H405" s="4">
        <v>92.77</v>
      </c>
      <c r="I405" t="s">
        <v>18</v>
      </c>
      <c r="J405" s="6">
        <v>1</v>
      </c>
      <c r="K405" s="6">
        <v>5</v>
      </c>
      <c r="L405" t="s">
        <v>24</v>
      </c>
      <c r="M405" s="2">
        <v>45896</v>
      </c>
    </row>
    <row r="406" spans="1:13" x14ac:dyDescent="0.25">
      <c r="A406" t="s">
        <v>435</v>
      </c>
      <c r="B406" t="s">
        <v>26</v>
      </c>
      <c r="C406" s="6">
        <v>40</v>
      </c>
      <c r="D406" t="s">
        <v>15</v>
      </c>
      <c r="E406" t="s">
        <v>16</v>
      </c>
      <c r="F406" t="s">
        <v>38</v>
      </c>
      <c r="G406" s="6">
        <v>25</v>
      </c>
      <c r="H406" s="4">
        <v>91.82</v>
      </c>
      <c r="I406" t="s">
        <v>23</v>
      </c>
      <c r="J406" s="6">
        <v>0</v>
      </c>
      <c r="K406" s="6">
        <v>3</v>
      </c>
      <c r="L406" t="s">
        <v>19</v>
      </c>
      <c r="M406" s="2">
        <v>45233</v>
      </c>
    </row>
    <row r="407" spans="1:13" x14ac:dyDescent="0.25">
      <c r="A407" t="s">
        <v>436</v>
      </c>
      <c r="B407" t="s">
        <v>14</v>
      </c>
      <c r="C407" s="6">
        <v>53</v>
      </c>
      <c r="D407" t="s">
        <v>21</v>
      </c>
      <c r="E407" t="s">
        <v>22</v>
      </c>
      <c r="F407" t="s">
        <v>28</v>
      </c>
      <c r="G407" s="6">
        <v>44</v>
      </c>
      <c r="H407" s="4">
        <v>69.209999999999994</v>
      </c>
      <c r="I407" t="s">
        <v>31</v>
      </c>
      <c r="J407" s="6">
        <v>8</v>
      </c>
      <c r="K407" s="6">
        <v>5</v>
      </c>
      <c r="L407" t="s">
        <v>24</v>
      </c>
      <c r="M407" s="2">
        <v>45103</v>
      </c>
    </row>
    <row r="408" spans="1:13" x14ac:dyDescent="0.25">
      <c r="A408" t="s">
        <v>437</v>
      </c>
      <c r="B408" t="s">
        <v>26</v>
      </c>
      <c r="C408" s="6">
        <v>54</v>
      </c>
      <c r="D408" t="s">
        <v>34</v>
      </c>
      <c r="E408" t="s">
        <v>16</v>
      </c>
      <c r="F408" t="s">
        <v>28</v>
      </c>
      <c r="G408" s="6">
        <v>59</v>
      </c>
      <c r="H408" s="4">
        <v>65.22</v>
      </c>
      <c r="I408" t="s">
        <v>18</v>
      </c>
      <c r="J408" s="6">
        <v>7</v>
      </c>
      <c r="K408" s="6">
        <v>1</v>
      </c>
      <c r="L408" t="s">
        <v>19</v>
      </c>
      <c r="M408" s="2">
        <v>44980</v>
      </c>
    </row>
    <row r="409" spans="1:13" x14ac:dyDescent="0.25">
      <c r="A409" t="s">
        <v>438</v>
      </c>
      <c r="B409" t="s">
        <v>14</v>
      </c>
      <c r="C409" s="6">
        <v>61</v>
      </c>
      <c r="D409" t="s">
        <v>30</v>
      </c>
      <c r="E409" t="s">
        <v>35</v>
      </c>
      <c r="F409" t="s">
        <v>28</v>
      </c>
      <c r="G409" s="6">
        <v>46</v>
      </c>
      <c r="H409" s="4">
        <v>62.75</v>
      </c>
      <c r="I409" t="s">
        <v>18</v>
      </c>
      <c r="J409" s="6">
        <v>4</v>
      </c>
      <c r="K409" s="6">
        <v>2</v>
      </c>
      <c r="L409" t="s">
        <v>24</v>
      </c>
      <c r="M409" s="2">
        <v>45014</v>
      </c>
    </row>
    <row r="410" spans="1:13" x14ac:dyDescent="0.25">
      <c r="A410" t="s">
        <v>439</v>
      </c>
      <c r="B410" t="s">
        <v>26</v>
      </c>
      <c r="C410" s="6">
        <v>22</v>
      </c>
      <c r="D410" t="s">
        <v>30</v>
      </c>
      <c r="E410" t="s">
        <v>35</v>
      </c>
      <c r="F410" t="s">
        <v>28</v>
      </c>
      <c r="G410" s="6">
        <v>46</v>
      </c>
      <c r="H410" s="4">
        <v>58.28</v>
      </c>
      <c r="I410" t="s">
        <v>31</v>
      </c>
      <c r="J410" s="6">
        <v>2</v>
      </c>
      <c r="K410" s="6">
        <v>2</v>
      </c>
      <c r="L410" t="s">
        <v>24</v>
      </c>
      <c r="M410" s="2">
        <v>44605</v>
      </c>
    </row>
    <row r="411" spans="1:13" x14ac:dyDescent="0.25">
      <c r="A411" t="s">
        <v>440</v>
      </c>
      <c r="B411" t="s">
        <v>14</v>
      </c>
      <c r="C411" s="6">
        <v>65</v>
      </c>
      <c r="D411" t="s">
        <v>30</v>
      </c>
      <c r="E411" t="s">
        <v>35</v>
      </c>
      <c r="F411" t="s">
        <v>17</v>
      </c>
      <c r="G411" s="6">
        <v>30</v>
      </c>
      <c r="H411" s="4">
        <v>33.04</v>
      </c>
      <c r="I411" t="s">
        <v>46</v>
      </c>
      <c r="J411" s="6">
        <v>5</v>
      </c>
      <c r="K411" s="6">
        <v>2</v>
      </c>
      <c r="L411" t="s">
        <v>24</v>
      </c>
      <c r="M411" s="2">
        <v>44442</v>
      </c>
    </row>
    <row r="412" spans="1:13" x14ac:dyDescent="0.25">
      <c r="A412" t="s">
        <v>441</v>
      </c>
      <c r="B412" t="s">
        <v>14</v>
      </c>
      <c r="C412" s="6">
        <v>61</v>
      </c>
      <c r="D412" t="s">
        <v>34</v>
      </c>
      <c r="E412" t="s">
        <v>22</v>
      </c>
      <c r="F412" t="s">
        <v>17</v>
      </c>
      <c r="G412" s="6">
        <v>70</v>
      </c>
      <c r="H412" s="4">
        <v>44.37</v>
      </c>
      <c r="I412" t="s">
        <v>23</v>
      </c>
      <c r="J412" s="6">
        <v>5</v>
      </c>
      <c r="K412" s="6">
        <v>5</v>
      </c>
      <c r="L412" t="s">
        <v>24</v>
      </c>
      <c r="M412" s="2">
        <v>45373</v>
      </c>
    </row>
    <row r="413" spans="1:13" x14ac:dyDescent="0.25">
      <c r="A413" t="s">
        <v>442</v>
      </c>
      <c r="B413" t="s">
        <v>26</v>
      </c>
      <c r="C413" s="6">
        <v>49</v>
      </c>
      <c r="D413" t="s">
        <v>30</v>
      </c>
      <c r="E413" t="s">
        <v>22</v>
      </c>
      <c r="F413" t="s">
        <v>28</v>
      </c>
      <c r="G413" s="6">
        <v>51</v>
      </c>
      <c r="H413" s="4">
        <v>58.33</v>
      </c>
      <c r="I413" t="s">
        <v>46</v>
      </c>
      <c r="J413" s="6">
        <v>0</v>
      </c>
      <c r="K413" s="6">
        <v>5</v>
      </c>
      <c r="L413" t="s">
        <v>24</v>
      </c>
      <c r="M413" s="2">
        <v>45176</v>
      </c>
    </row>
    <row r="414" spans="1:13" x14ac:dyDescent="0.25">
      <c r="A414" t="s">
        <v>443</v>
      </c>
      <c r="B414" t="s">
        <v>14</v>
      </c>
      <c r="C414" s="6">
        <v>50</v>
      </c>
      <c r="D414" t="s">
        <v>15</v>
      </c>
      <c r="E414" t="s">
        <v>35</v>
      </c>
      <c r="F414" t="s">
        <v>38</v>
      </c>
      <c r="G414" s="6">
        <v>23</v>
      </c>
      <c r="H414" s="4">
        <v>91.86</v>
      </c>
      <c r="I414" t="s">
        <v>18</v>
      </c>
      <c r="J414" s="6">
        <v>8</v>
      </c>
      <c r="K414" s="6">
        <v>4</v>
      </c>
      <c r="L414" t="s">
        <v>24</v>
      </c>
      <c r="M414" s="2">
        <v>44214</v>
      </c>
    </row>
    <row r="415" spans="1:13" x14ac:dyDescent="0.25">
      <c r="A415" t="s">
        <v>444</v>
      </c>
      <c r="B415" t="s">
        <v>14</v>
      </c>
      <c r="C415" s="6">
        <v>61</v>
      </c>
      <c r="D415" t="s">
        <v>30</v>
      </c>
      <c r="E415" t="s">
        <v>35</v>
      </c>
      <c r="F415" t="s">
        <v>38</v>
      </c>
      <c r="G415" s="6">
        <v>13</v>
      </c>
      <c r="H415" s="4">
        <v>89.88</v>
      </c>
      <c r="I415" t="s">
        <v>31</v>
      </c>
      <c r="J415" s="6">
        <v>2</v>
      </c>
      <c r="K415" s="6">
        <v>5</v>
      </c>
      <c r="L415" t="s">
        <v>24</v>
      </c>
      <c r="M415" s="2">
        <v>44748</v>
      </c>
    </row>
    <row r="416" spans="1:13" x14ac:dyDescent="0.25">
      <c r="A416" t="s">
        <v>445</v>
      </c>
      <c r="B416" t="s">
        <v>26</v>
      </c>
      <c r="C416" s="6">
        <v>57</v>
      </c>
      <c r="D416" t="s">
        <v>15</v>
      </c>
      <c r="E416" t="s">
        <v>35</v>
      </c>
      <c r="F416" t="s">
        <v>17</v>
      </c>
      <c r="G416" s="6">
        <v>64</v>
      </c>
      <c r="H416" s="4">
        <v>36.36</v>
      </c>
      <c r="I416" t="s">
        <v>23</v>
      </c>
      <c r="J416" s="6">
        <v>5</v>
      </c>
      <c r="K416" s="6">
        <v>3</v>
      </c>
      <c r="L416" t="s">
        <v>24</v>
      </c>
      <c r="M416" s="2">
        <v>44769</v>
      </c>
    </row>
    <row r="417" spans="1:13" x14ac:dyDescent="0.25">
      <c r="A417" t="s">
        <v>446</v>
      </c>
      <c r="B417" t="s">
        <v>26</v>
      </c>
      <c r="C417" s="6">
        <v>29</v>
      </c>
      <c r="D417" t="s">
        <v>30</v>
      </c>
      <c r="E417" t="s">
        <v>22</v>
      </c>
      <c r="F417" t="s">
        <v>38</v>
      </c>
      <c r="G417" s="6">
        <v>30</v>
      </c>
      <c r="H417" s="4">
        <v>97.21</v>
      </c>
      <c r="I417" t="s">
        <v>31</v>
      </c>
      <c r="J417" s="6">
        <v>3</v>
      </c>
      <c r="K417" s="6">
        <v>5</v>
      </c>
      <c r="L417" t="s">
        <v>24</v>
      </c>
      <c r="M417" s="2">
        <v>44977</v>
      </c>
    </row>
    <row r="418" spans="1:13" x14ac:dyDescent="0.25">
      <c r="A418" t="s">
        <v>447</v>
      </c>
      <c r="B418" t="s">
        <v>14</v>
      </c>
      <c r="C418" s="6">
        <v>27</v>
      </c>
      <c r="D418" t="s">
        <v>30</v>
      </c>
      <c r="E418" t="s">
        <v>35</v>
      </c>
      <c r="F418" t="s">
        <v>17</v>
      </c>
      <c r="G418" s="6">
        <v>23</v>
      </c>
      <c r="H418" s="4">
        <v>36.32</v>
      </c>
      <c r="I418" t="s">
        <v>46</v>
      </c>
      <c r="J418" s="6">
        <v>8</v>
      </c>
      <c r="K418" s="6">
        <v>5</v>
      </c>
      <c r="L418" t="s">
        <v>24</v>
      </c>
      <c r="M418" s="2">
        <v>45805</v>
      </c>
    </row>
    <row r="419" spans="1:13" x14ac:dyDescent="0.25">
      <c r="A419" t="s">
        <v>448</v>
      </c>
      <c r="B419" t="s">
        <v>26</v>
      </c>
      <c r="C419" s="6">
        <v>37</v>
      </c>
      <c r="D419" t="s">
        <v>15</v>
      </c>
      <c r="E419" t="s">
        <v>22</v>
      </c>
      <c r="F419" t="s">
        <v>38</v>
      </c>
      <c r="G419" s="6">
        <v>7</v>
      </c>
      <c r="H419" s="4">
        <v>90.98</v>
      </c>
      <c r="I419" t="s">
        <v>46</v>
      </c>
      <c r="J419" s="6">
        <v>0</v>
      </c>
      <c r="K419" s="6">
        <v>2</v>
      </c>
      <c r="L419" t="s">
        <v>24</v>
      </c>
      <c r="M419" s="2">
        <v>45172</v>
      </c>
    </row>
    <row r="420" spans="1:13" x14ac:dyDescent="0.25">
      <c r="A420" t="s">
        <v>449</v>
      </c>
      <c r="B420" t="s">
        <v>14</v>
      </c>
      <c r="C420" s="6">
        <v>46</v>
      </c>
      <c r="D420" t="s">
        <v>15</v>
      </c>
      <c r="E420" t="s">
        <v>35</v>
      </c>
      <c r="F420" t="s">
        <v>28</v>
      </c>
      <c r="G420" s="6">
        <v>47</v>
      </c>
      <c r="H420" s="4">
        <v>63.41</v>
      </c>
      <c r="I420" t="s">
        <v>31</v>
      </c>
      <c r="J420" s="6">
        <v>5</v>
      </c>
      <c r="K420" s="6">
        <v>1</v>
      </c>
      <c r="L420" t="s">
        <v>24</v>
      </c>
      <c r="M420" s="2">
        <v>44916</v>
      </c>
    </row>
    <row r="421" spans="1:13" x14ac:dyDescent="0.25">
      <c r="A421" t="s">
        <v>450</v>
      </c>
      <c r="B421" t="s">
        <v>14</v>
      </c>
      <c r="C421" s="6">
        <v>54</v>
      </c>
      <c r="D421" t="s">
        <v>30</v>
      </c>
      <c r="E421" t="s">
        <v>35</v>
      </c>
      <c r="F421" t="s">
        <v>28</v>
      </c>
      <c r="G421" s="6">
        <v>42</v>
      </c>
      <c r="H421" s="4">
        <v>65.099999999999994</v>
      </c>
      <c r="I421" t="s">
        <v>23</v>
      </c>
      <c r="J421" s="6">
        <v>7</v>
      </c>
      <c r="K421" s="6">
        <v>1</v>
      </c>
      <c r="L421" t="s">
        <v>24</v>
      </c>
      <c r="M421" s="2">
        <v>44783</v>
      </c>
    </row>
    <row r="422" spans="1:13" x14ac:dyDescent="0.25">
      <c r="A422" t="s">
        <v>451</v>
      </c>
      <c r="B422" t="s">
        <v>26</v>
      </c>
      <c r="C422" s="6">
        <v>58</v>
      </c>
      <c r="D422" t="s">
        <v>30</v>
      </c>
      <c r="E422" t="s">
        <v>16</v>
      </c>
      <c r="F422" t="s">
        <v>38</v>
      </c>
      <c r="G422" s="6">
        <v>44</v>
      </c>
      <c r="H422" s="4">
        <v>91.33</v>
      </c>
      <c r="I422" t="s">
        <v>23</v>
      </c>
      <c r="J422" s="6">
        <v>1</v>
      </c>
      <c r="K422" s="6">
        <v>1</v>
      </c>
      <c r="L422" t="s">
        <v>19</v>
      </c>
      <c r="M422" s="2">
        <v>44664</v>
      </c>
    </row>
    <row r="423" spans="1:13" x14ac:dyDescent="0.25">
      <c r="A423" t="s">
        <v>452</v>
      </c>
      <c r="B423" t="s">
        <v>26</v>
      </c>
      <c r="C423" s="6">
        <v>38</v>
      </c>
      <c r="D423" t="s">
        <v>15</v>
      </c>
      <c r="E423" t="s">
        <v>22</v>
      </c>
      <c r="F423" t="s">
        <v>28</v>
      </c>
      <c r="G423" s="6">
        <v>51</v>
      </c>
      <c r="H423" s="4">
        <v>59.07</v>
      </c>
      <c r="I423" t="s">
        <v>23</v>
      </c>
      <c r="J423" s="6">
        <v>5</v>
      </c>
      <c r="K423" s="6">
        <v>5</v>
      </c>
      <c r="L423" t="s">
        <v>24</v>
      </c>
      <c r="M423" s="2">
        <v>45119</v>
      </c>
    </row>
    <row r="424" spans="1:13" x14ac:dyDescent="0.25">
      <c r="A424" t="s">
        <v>453</v>
      </c>
      <c r="B424" t="s">
        <v>26</v>
      </c>
      <c r="C424" s="6">
        <v>28</v>
      </c>
      <c r="D424" t="s">
        <v>30</v>
      </c>
      <c r="E424" t="s">
        <v>16</v>
      </c>
      <c r="F424" t="s">
        <v>17</v>
      </c>
      <c r="G424" s="6">
        <v>31</v>
      </c>
      <c r="H424" s="4">
        <v>39.93</v>
      </c>
      <c r="I424" t="s">
        <v>18</v>
      </c>
      <c r="J424" s="6">
        <v>3</v>
      </c>
      <c r="K424" s="6">
        <v>2</v>
      </c>
      <c r="L424" t="s">
        <v>24</v>
      </c>
      <c r="M424" s="2">
        <v>44392</v>
      </c>
    </row>
    <row r="425" spans="1:13" x14ac:dyDescent="0.25">
      <c r="A425" t="s">
        <v>454</v>
      </c>
      <c r="B425" t="s">
        <v>14</v>
      </c>
      <c r="C425" s="6">
        <v>48</v>
      </c>
      <c r="D425" t="s">
        <v>21</v>
      </c>
      <c r="E425" t="s">
        <v>16</v>
      </c>
      <c r="F425" t="s">
        <v>28</v>
      </c>
      <c r="G425" s="6">
        <v>68</v>
      </c>
      <c r="H425" s="4">
        <v>66.47</v>
      </c>
      <c r="I425" t="s">
        <v>18</v>
      </c>
      <c r="J425" s="6">
        <v>1</v>
      </c>
      <c r="K425" s="6">
        <v>3</v>
      </c>
      <c r="L425" t="s">
        <v>24</v>
      </c>
      <c r="M425" s="2">
        <v>44369</v>
      </c>
    </row>
    <row r="426" spans="1:13" x14ac:dyDescent="0.25">
      <c r="A426" t="s">
        <v>455</v>
      </c>
      <c r="B426" t="s">
        <v>26</v>
      </c>
      <c r="C426" s="6">
        <v>37</v>
      </c>
      <c r="D426" t="s">
        <v>30</v>
      </c>
      <c r="E426" t="s">
        <v>16</v>
      </c>
      <c r="F426" t="s">
        <v>38</v>
      </c>
      <c r="G426" s="6">
        <v>37</v>
      </c>
      <c r="H426" s="4">
        <v>91.65</v>
      </c>
      <c r="I426" t="s">
        <v>46</v>
      </c>
      <c r="J426" s="6">
        <v>2</v>
      </c>
      <c r="K426" s="6">
        <v>5</v>
      </c>
      <c r="L426" t="s">
        <v>24</v>
      </c>
      <c r="M426" s="2">
        <v>44255</v>
      </c>
    </row>
    <row r="427" spans="1:13" x14ac:dyDescent="0.25">
      <c r="A427" t="s">
        <v>456</v>
      </c>
      <c r="B427" t="s">
        <v>14</v>
      </c>
      <c r="C427" s="6">
        <v>60</v>
      </c>
      <c r="D427" t="s">
        <v>15</v>
      </c>
      <c r="E427" t="s">
        <v>35</v>
      </c>
      <c r="F427" t="s">
        <v>28</v>
      </c>
      <c r="G427" s="6">
        <v>60</v>
      </c>
      <c r="H427" s="4">
        <v>69.62</v>
      </c>
      <c r="I427" t="s">
        <v>31</v>
      </c>
      <c r="J427" s="6">
        <v>8</v>
      </c>
      <c r="K427" s="6">
        <v>4</v>
      </c>
      <c r="L427" t="s">
        <v>19</v>
      </c>
      <c r="M427" s="2">
        <v>45625</v>
      </c>
    </row>
    <row r="428" spans="1:13" x14ac:dyDescent="0.25">
      <c r="A428" t="s">
        <v>457</v>
      </c>
      <c r="B428" t="s">
        <v>14</v>
      </c>
      <c r="C428" s="6">
        <v>55</v>
      </c>
      <c r="D428" t="s">
        <v>34</v>
      </c>
      <c r="E428" t="s">
        <v>22</v>
      </c>
      <c r="F428" t="s">
        <v>38</v>
      </c>
      <c r="G428" s="6">
        <v>56</v>
      </c>
      <c r="H428" s="4">
        <v>92.85</v>
      </c>
      <c r="I428" t="s">
        <v>31</v>
      </c>
      <c r="J428" s="6">
        <v>5</v>
      </c>
      <c r="K428" s="6">
        <v>4</v>
      </c>
      <c r="L428" t="s">
        <v>24</v>
      </c>
      <c r="M428" s="2">
        <v>45845</v>
      </c>
    </row>
    <row r="429" spans="1:13" x14ac:dyDescent="0.25">
      <c r="A429" t="s">
        <v>458</v>
      </c>
      <c r="B429" t="s">
        <v>14</v>
      </c>
      <c r="C429" s="6">
        <v>46</v>
      </c>
      <c r="D429" t="s">
        <v>15</v>
      </c>
      <c r="E429" t="s">
        <v>35</v>
      </c>
      <c r="F429" t="s">
        <v>28</v>
      </c>
      <c r="G429" s="6">
        <v>34</v>
      </c>
      <c r="H429" s="4">
        <v>57.34</v>
      </c>
      <c r="I429" t="s">
        <v>18</v>
      </c>
      <c r="J429" s="6">
        <v>0</v>
      </c>
      <c r="K429" s="6">
        <v>5</v>
      </c>
      <c r="L429" t="s">
        <v>24</v>
      </c>
      <c r="M429" s="2">
        <v>45933</v>
      </c>
    </row>
    <row r="430" spans="1:13" x14ac:dyDescent="0.25">
      <c r="A430" t="s">
        <v>459</v>
      </c>
      <c r="B430" t="s">
        <v>14</v>
      </c>
      <c r="C430" s="6">
        <v>40</v>
      </c>
      <c r="D430" t="s">
        <v>15</v>
      </c>
      <c r="E430" t="s">
        <v>35</v>
      </c>
      <c r="F430" t="s">
        <v>38</v>
      </c>
      <c r="G430" s="6">
        <v>2</v>
      </c>
      <c r="H430" s="4">
        <v>95.32</v>
      </c>
      <c r="I430" t="s">
        <v>23</v>
      </c>
      <c r="J430" s="6">
        <v>7</v>
      </c>
      <c r="K430" s="6">
        <v>3</v>
      </c>
      <c r="L430" t="s">
        <v>19</v>
      </c>
      <c r="M430" s="2">
        <v>45078</v>
      </c>
    </row>
    <row r="431" spans="1:13" x14ac:dyDescent="0.25">
      <c r="A431" t="s">
        <v>460</v>
      </c>
      <c r="B431" t="s">
        <v>26</v>
      </c>
      <c r="C431" s="6">
        <v>56</v>
      </c>
      <c r="D431" t="s">
        <v>30</v>
      </c>
      <c r="E431" t="s">
        <v>16</v>
      </c>
      <c r="F431" t="s">
        <v>38</v>
      </c>
      <c r="G431" s="6">
        <v>48</v>
      </c>
      <c r="H431" s="4">
        <v>87.83</v>
      </c>
      <c r="I431" t="s">
        <v>23</v>
      </c>
      <c r="J431" s="6">
        <v>6</v>
      </c>
      <c r="K431" s="6">
        <v>2</v>
      </c>
      <c r="L431" t="s">
        <v>19</v>
      </c>
      <c r="M431" s="2">
        <v>45706</v>
      </c>
    </row>
    <row r="432" spans="1:13" x14ac:dyDescent="0.25">
      <c r="A432" t="s">
        <v>461</v>
      </c>
      <c r="B432" t="s">
        <v>26</v>
      </c>
      <c r="C432" s="6">
        <v>42</v>
      </c>
      <c r="D432" t="s">
        <v>30</v>
      </c>
      <c r="E432" t="s">
        <v>35</v>
      </c>
      <c r="F432" t="s">
        <v>17</v>
      </c>
      <c r="G432" s="6">
        <v>55</v>
      </c>
      <c r="H432" s="4">
        <v>39.380000000000003</v>
      </c>
      <c r="I432" t="s">
        <v>31</v>
      </c>
      <c r="J432" s="6">
        <v>4</v>
      </c>
      <c r="K432" s="6">
        <v>5</v>
      </c>
      <c r="L432" t="s">
        <v>24</v>
      </c>
      <c r="M432" s="2">
        <v>45042</v>
      </c>
    </row>
    <row r="433" spans="1:13" x14ac:dyDescent="0.25">
      <c r="A433" t="s">
        <v>462</v>
      </c>
      <c r="B433" t="s">
        <v>14</v>
      </c>
      <c r="C433" s="6">
        <v>22</v>
      </c>
      <c r="D433" t="s">
        <v>30</v>
      </c>
      <c r="E433" t="s">
        <v>16</v>
      </c>
      <c r="F433" t="s">
        <v>28</v>
      </c>
      <c r="G433" s="6">
        <v>15</v>
      </c>
      <c r="H433" s="4">
        <v>64.55</v>
      </c>
      <c r="I433" t="s">
        <v>23</v>
      </c>
      <c r="J433" s="6">
        <v>4</v>
      </c>
      <c r="K433" s="6">
        <v>5</v>
      </c>
      <c r="L433" t="s">
        <v>24</v>
      </c>
      <c r="M433" s="2">
        <v>44853</v>
      </c>
    </row>
    <row r="434" spans="1:13" x14ac:dyDescent="0.25">
      <c r="A434" t="s">
        <v>463</v>
      </c>
      <c r="B434" t="s">
        <v>14</v>
      </c>
      <c r="C434" s="6">
        <v>27</v>
      </c>
      <c r="D434" t="s">
        <v>21</v>
      </c>
      <c r="E434" t="s">
        <v>22</v>
      </c>
      <c r="F434" t="s">
        <v>17</v>
      </c>
      <c r="G434" s="6">
        <v>24</v>
      </c>
      <c r="H434" s="4">
        <v>44.58</v>
      </c>
      <c r="I434" t="s">
        <v>31</v>
      </c>
      <c r="J434" s="6">
        <v>4</v>
      </c>
      <c r="K434" s="6">
        <v>2</v>
      </c>
      <c r="L434" t="s">
        <v>24</v>
      </c>
      <c r="M434" s="2">
        <v>45686</v>
      </c>
    </row>
    <row r="435" spans="1:13" x14ac:dyDescent="0.25">
      <c r="A435" t="s">
        <v>464</v>
      </c>
      <c r="B435" t="s">
        <v>14</v>
      </c>
      <c r="C435" s="6">
        <v>32</v>
      </c>
      <c r="D435" t="s">
        <v>21</v>
      </c>
      <c r="E435" t="s">
        <v>16</v>
      </c>
      <c r="F435" t="s">
        <v>17</v>
      </c>
      <c r="G435" s="6">
        <v>64</v>
      </c>
      <c r="H435" s="4">
        <v>33.26</v>
      </c>
      <c r="I435" t="s">
        <v>23</v>
      </c>
      <c r="J435" s="6">
        <v>4</v>
      </c>
      <c r="K435" s="6">
        <v>4</v>
      </c>
      <c r="L435" t="s">
        <v>24</v>
      </c>
      <c r="M435" s="2">
        <v>45146</v>
      </c>
    </row>
    <row r="436" spans="1:13" x14ac:dyDescent="0.25">
      <c r="A436" t="s">
        <v>465</v>
      </c>
      <c r="B436" t="s">
        <v>14</v>
      </c>
      <c r="C436" s="6">
        <v>39</v>
      </c>
      <c r="D436" t="s">
        <v>21</v>
      </c>
      <c r="E436" t="s">
        <v>16</v>
      </c>
      <c r="F436" t="s">
        <v>17</v>
      </c>
      <c r="G436" s="6">
        <v>35</v>
      </c>
      <c r="H436" s="4">
        <v>41.63</v>
      </c>
      <c r="I436" t="s">
        <v>18</v>
      </c>
      <c r="J436" s="6">
        <v>8</v>
      </c>
      <c r="K436" s="6">
        <v>4</v>
      </c>
      <c r="L436" t="s">
        <v>19</v>
      </c>
      <c r="M436" s="2">
        <v>45920</v>
      </c>
    </row>
    <row r="437" spans="1:13" x14ac:dyDescent="0.25">
      <c r="A437" t="s">
        <v>466</v>
      </c>
      <c r="B437" t="s">
        <v>26</v>
      </c>
      <c r="C437" s="6">
        <v>70</v>
      </c>
      <c r="D437" t="s">
        <v>34</v>
      </c>
      <c r="E437" t="s">
        <v>16</v>
      </c>
      <c r="F437" t="s">
        <v>17</v>
      </c>
      <c r="G437" s="6">
        <v>32</v>
      </c>
      <c r="H437" s="4">
        <v>35.770000000000003</v>
      </c>
      <c r="I437" t="s">
        <v>23</v>
      </c>
      <c r="J437" s="6">
        <v>3</v>
      </c>
      <c r="K437" s="6">
        <v>1</v>
      </c>
      <c r="L437" t="s">
        <v>19</v>
      </c>
      <c r="M437" s="2">
        <v>45702</v>
      </c>
    </row>
    <row r="438" spans="1:13" x14ac:dyDescent="0.25">
      <c r="A438" t="s">
        <v>467</v>
      </c>
      <c r="B438" t="s">
        <v>14</v>
      </c>
      <c r="C438" s="6">
        <v>51</v>
      </c>
      <c r="D438" t="s">
        <v>30</v>
      </c>
      <c r="E438" t="s">
        <v>35</v>
      </c>
      <c r="F438" t="s">
        <v>28</v>
      </c>
      <c r="G438" s="6">
        <v>40</v>
      </c>
      <c r="H438" s="4">
        <v>69.040000000000006</v>
      </c>
      <c r="I438" t="s">
        <v>46</v>
      </c>
      <c r="J438" s="6">
        <v>0</v>
      </c>
      <c r="K438" s="6">
        <v>5</v>
      </c>
      <c r="L438" t="s">
        <v>24</v>
      </c>
      <c r="M438" s="2">
        <v>44715</v>
      </c>
    </row>
    <row r="439" spans="1:13" x14ac:dyDescent="0.25">
      <c r="A439" t="s">
        <v>468</v>
      </c>
      <c r="B439" t="s">
        <v>26</v>
      </c>
      <c r="C439" s="6">
        <v>58</v>
      </c>
      <c r="D439" t="s">
        <v>15</v>
      </c>
      <c r="E439" t="s">
        <v>16</v>
      </c>
      <c r="F439" t="s">
        <v>28</v>
      </c>
      <c r="G439" s="6">
        <v>7</v>
      </c>
      <c r="H439" s="4">
        <v>67.95</v>
      </c>
      <c r="I439" t="s">
        <v>46</v>
      </c>
      <c r="J439" s="6">
        <v>1</v>
      </c>
      <c r="K439" s="6">
        <v>2</v>
      </c>
      <c r="L439" t="s">
        <v>24</v>
      </c>
      <c r="M439" s="2">
        <v>44861</v>
      </c>
    </row>
    <row r="440" spans="1:13" x14ac:dyDescent="0.25">
      <c r="A440" t="s">
        <v>469</v>
      </c>
      <c r="B440" t="s">
        <v>14</v>
      </c>
      <c r="C440" s="6">
        <v>28</v>
      </c>
      <c r="D440" t="s">
        <v>15</v>
      </c>
      <c r="E440" t="s">
        <v>22</v>
      </c>
      <c r="F440" t="s">
        <v>17</v>
      </c>
      <c r="G440" s="6">
        <v>51</v>
      </c>
      <c r="H440" s="4">
        <v>41.84</v>
      </c>
      <c r="I440" t="s">
        <v>18</v>
      </c>
      <c r="J440" s="6">
        <v>0</v>
      </c>
      <c r="K440" s="6">
        <v>5</v>
      </c>
      <c r="L440" t="s">
        <v>24</v>
      </c>
      <c r="M440" s="2">
        <v>45170</v>
      </c>
    </row>
    <row r="441" spans="1:13" x14ac:dyDescent="0.25">
      <c r="A441" t="s">
        <v>470</v>
      </c>
      <c r="B441" t="s">
        <v>14</v>
      </c>
      <c r="C441" s="6">
        <v>41</v>
      </c>
      <c r="D441" t="s">
        <v>21</v>
      </c>
      <c r="E441" t="s">
        <v>16</v>
      </c>
      <c r="F441" t="s">
        <v>17</v>
      </c>
      <c r="G441" s="6">
        <v>64</v>
      </c>
      <c r="H441" s="4">
        <v>31.37</v>
      </c>
      <c r="I441" t="s">
        <v>31</v>
      </c>
      <c r="J441" s="6">
        <v>0</v>
      </c>
      <c r="K441" s="6">
        <v>1</v>
      </c>
      <c r="L441" t="s">
        <v>24</v>
      </c>
      <c r="M441" s="2">
        <v>44512</v>
      </c>
    </row>
    <row r="442" spans="1:13" x14ac:dyDescent="0.25">
      <c r="A442" t="s">
        <v>471</v>
      </c>
      <c r="B442" t="s">
        <v>14</v>
      </c>
      <c r="C442" s="6">
        <v>26</v>
      </c>
      <c r="D442" t="s">
        <v>34</v>
      </c>
      <c r="E442" t="s">
        <v>16</v>
      </c>
      <c r="F442" t="s">
        <v>28</v>
      </c>
      <c r="G442" s="6">
        <v>72</v>
      </c>
      <c r="H442" s="4">
        <v>66.83</v>
      </c>
      <c r="I442" t="s">
        <v>31</v>
      </c>
      <c r="J442" s="6">
        <v>7</v>
      </c>
      <c r="K442" s="6">
        <v>2</v>
      </c>
      <c r="L442" t="s">
        <v>19</v>
      </c>
      <c r="M442" s="2">
        <v>44970</v>
      </c>
    </row>
    <row r="443" spans="1:13" x14ac:dyDescent="0.25">
      <c r="A443" t="s">
        <v>472</v>
      </c>
      <c r="B443" t="s">
        <v>26</v>
      </c>
      <c r="C443" s="6">
        <v>64</v>
      </c>
      <c r="D443" t="s">
        <v>30</v>
      </c>
      <c r="E443" t="s">
        <v>35</v>
      </c>
      <c r="F443" t="s">
        <v>17</v>
      </c>
      <c r="G443" s="6">
        <v>63</v>
      </c>
      <c r="H443" s="4">
        <v>40.6</v>
      </c>
      <c r="I443" t="s">
        <v>31</v>
      </c>
      <c r="J443" s="6">
        <v>8</v>
      </c>
      <c r="K443" s="6">
        <v>4</v>
      </c>
      <c r="L443" t="s">
        <v>19</v>
      </c>
      <c r="M443" s="2">
        <v>44579</v>
      </c>
    </row>
    <row r="444" spans="1:13" x14ac:dyDescent="0.25">
      <c r="A444" t="s">
        <v>473</v>
      </c>
      <c r="B444" t="s">
        <v>26</v>
      </c>
      <c r="C444" s="6">
        <v>38</v>
      </c>
      <c r="D444" t="s">
        <v>34</v>
      </c>
      <c r="E444" t="s">
        <v>35</v>
      </c>
      <c r="F444" t="s">
        <v>38</v>
      </c>
      <c r="G444" s="6">
        <v>71</v>
      </c>
      <c r="H444" s="4">
        <v>87.41</v>
      </c>
      <c r="I444" t="s">
        <v>46</v>
      </c>
      <c r="J444" s="6">
        <v>7</v>
      </c>
      <c r="K444" s="6">
        <v>3</v>
      </c>
      <c r="L444" t="s">
        <v>24</v>
      </c>
      <c r="M444" s="2">
        <v>45306</v>
      </c>
    </row>
    <row r="445" spans="1:13" x14ac:dyDescent="0.25">
      <c r="A445" t="s">
        <v>474</v>
      </c>
      <c r="B445" t="s">
        <v>26</v>
      </c>
      <c r="C445" s="6">
        <v>47</v>
      </c>
      <c r="D445" t="s">
        <v>21</v>
      </c>
      <c r="E445" t="s">
        <v>22</v>
      </c>
      <c r="F445" t="s">
        <v>38</v>
      </c>
      <c r="G445" s="6">
        <v>49</v>
      </c>
      <c r="H445" s="4">
        <v>96</v>
      </c>
      <c r="I445" t="s">
        <v>18</v>
      </c>
      <c r="J445" s="6">
        <v>5</v>
      </c>
      <c r="K445" s="6">
        <v>5</v>
      </c>
      <c r="L445" t="s">
        <v>24</v>
      </c>
      <c r="M445" s="2">
        <v>45673</v>
      </c>
    </row>
    <row r="446" spans="1:13" x14ac:dyDescent="0.25">
      <c r="A446" t="s">
        <v>475</v>
      </c>
      <c r="B446" t="s">
        <v>14</v>
      </c>
      <c r="C446" s="6">
        <v>60</v>
      </c>
      <c r="D446" t="s">
        <v>34</v>
      </c>
      <c r="E446" t="s">
        <v>16</v>
      </c>
      <c r="F446" t="s">
        <v>38</v>
      </c>
      <c r="G446" s="6">
        <v>64</v>
      </c>
      <c r="H446" s="4">
        <v>96.49</v>
      </c>
      <c r="I446" t="s">
        <v>46</v>
      </c>
      <c r="J446" s="6">
        <v>4</v>
      </c>
      <c r="K446" s="6">
        <v>3</v>
      </c>
      <c r="L446" t="s">
        <v>24</v>
      </c>
      <c r="M446" s="2">
        <v>44856</v>
      </c>
    </row>
    <row r="447" spans="1:13" x14ac:dyDescent="0.25">
      <c r="A447" t="s">
        <v>476</v>
      </c>
      <c r="B447" t="s">
        <v>14</v>
      </c>
      <c r="C447" s="6">
        <v>24</v>
      </c>
      <c r="D447" t="s">
        <v>21</v>
      </c>
      <c r="E447" t="s">
        <v>16</v>
      </c>
      <c r="F447" t="s">
        <v>17</v>
      </c>
      <c r="G447" s="6">
        <v>23</v>
      </c>
      <c r="H447" s="4">
        <v>43.1</v>
      </c>
      <c r="I447" t="s">
        <v>46</v>
      </c>
      <c r="J447" s="6">
        <v>1</v>
      </c>
      <c r="K447" s="6">
        <v>4</v>
      </c>
      <c r="L447" t="s">
        <v>19</v>
      </c>
      <c r="M447" s="2">
        <v>44262</v>
      </c>
    </row>
    <row r="448" spans="1:13" x14ac:dyDescent="0.25">
      <c r="A448" t="s">
        <v>477</v>
      </c>
      <c r="B448" t="s">
        <v>26</v>
      </c>
      <c r="C448" s="6">
        <v>60</v>
      </c>
      <c r="D448" t="s">
        <v>34</v>
      </c>
      <c r="E448" t="s">
        <v>22</v>
      </c>
      <c r="F448" t="s">
        <v>38</v>
      </c>
      <c r="G448" s="6">
        <v>33</v>
      </c>
      <c r="H448" s="4">
        <v>85.74</v>
      </c>
      <c r="I448" t="s">
        <v>46</v>
      </c>
      <c r="J448" s="6">
        <v>1</v>
      </c>
      <c r="K448" s="6">
        <v>1</v>
      </c>
      <c r="L448" t="s">
        <v>24</v>
      </c>
      <c r="M448" s="2">
        <v>44624</v>
      </c>
    </row>
    <row r="449" spans="1:13" x14ac:dyDescent="0.25">
      <c r="A449" t="s">
        <v>478</v>
      </c>
      <c r="B449" t="s">
        <v>26</v>
      </c>
      <c r="C449" s="6">
        <v>23</v>
      </c>
      <c r="D449" t="s">
        <v>34</v>
      </c>
      <c r="E449" t="s">
        <v>22</v>
      </c>
      <c r="F449" t="s">
        <v>17</v>
      </c>
      <c r="G449" s="6">
        <v>47</v>
      </c>
      <c r="H449" s="4">
        <v>38.369999999999997</v>
      </c>
      <c r="I449" t="s">
        <v>23</v>
      </c>
      <c r="J449" s="6">
        <v>5</v>
      </c>
      <c r="K449" s="6">
        <v>1</v>
      </c>
      <c r="L449" t="s">
        <v>24</v>
      </c>
      <c r="M449" s="2">
        <v>44741</v>
      </c>
    </row>
    <row r="450" spans="1:13" x14ac:dyDescent="0.25">
      <c r="A450" t="s">
        <v>479</v>
      </c>
      <c r="B450" t="s">
        <v>14</v>
      </c>
      <c r="C450" s="6">
        <v>64</v>
      </c>
      <c r="D450" t="s">
        <v>21</v>
      </c>
      <c r="E450" t="s">
        <v>35</v>
      </c>
      <c r="F450" t="s">
        <v>17</v>
      </c>
      <c r="G450" s="6">
        <v>28</v>
      </c>
      <c r="H450" s="4">
        <v>44.41</v>
      </c>
      <c r="I450" t="s">
        <v>18</v>
      </c>
      <c r="J450" s="6">
        <v>1</v>
      </c>
      <c r="K450" s="6">
        <v>2</v>
      </c>
      <c r="L450" t="s">
        <v>24</v>
      </c>
      <c r="M450" s="2">
        <v>44585</v>
      </c>
    </row>
    <row r="451" spans="1:13" x14ac:dyDescent="0.25">
      <c r="A451" t="s">
        <v>480</v>
      </c>
      <c r="B451" t="s">
        <v>14</v>
      </c>
      <c r="C451" s="6">
        <v>51</v>
      </c>
      <c r="D451" t="s">
        <v>30</v>
      </c>
      <c r="E451" t="s">
        <v>22</v>
      </c>
      <c r="F451" t="s">
        <v>38</v>
      </c>
      <c r="G451" s="6">
        <v>23</v>
      </c>
      <c r="H451" s="4">
        <v>93.38</v>
      </c>
      <c r="I451" t="s">
        <v>23</v>
      </c>
      <c r="J451" s="6">
        <v>1</v>
      </c>
      <c r="K451" s="6">
        <v>5</v>
      </c>
      <c r="L451" t="s">
        <v>24</v>
      </c>
      <c r="M451" s="2">
        <v>45136</v>
      </c>
    </row>
    <row r="452" spans="1:13" x14ac:dyDescent="0.25">
      <c r="A452" t="s">
        <v>481</v>
      </c>
      <c r="B452" t="s">
        <v>26</v>
      </c>
      <c r="C452" s="6">
        <v>24</v>
      </c>
      <c r="D452" t="s">
        <v>30</v>
      </c>
      <c r="E452" t="s">
        <v>16</v>
      </c>
      <c r="F452" t="s">
        <v>38</v>
      </c>
      <c r="G452" s="6">
        <v>52</v>
      </c>
      <c r="H452" s="4">
        <v>92.57</v>
      </c>
      <c r="I452" t="s">
        <v>46</v>
      </c>
      <c r="J452" s="6">
        <v>8</v>
      </c>
      <c r="K452" s="6">
        <v>5</v>
      </c>
      <c r="L452" t="s">
        <v>24</v>
      </c>
      <c r="M452" s="2">
        <v>44918</v>
      </c>
    </row>
    <row r="453" spans="1:13" x14ac:dyDescent="0.25">
      <c r="A453" t="s">
        <v>482</v>
      </c>
      <c r="B453" t="s">
        <v>26</v>
      </c>
      <c r="C453" s="6">
        <v>53</v>
      </c>
      <c r="D453" t="s">
        <v>15</v>
      </c>
      <c r="E453" t="s">
        <v>35</v>
      </c>
      <c r="F453" t="s">
        <v>28</v>
      </c>
      <c r="G453" s="6">
        <v>56</v>
      </c>
      <c r="H453" s="4">
        <v>67.39</v>
      </c>
      <c r="I453" t="s">
        <v>31</v>
      </c>
      <c r="J453" s="6">
        <v>3</v>
      </c>
      <c r="K453" s="6">
        <v>5</v>
      </c>
      <c r="L453" t="s">
        <v>24</v>
      </c>
      <c r="M453" s="2">
        <v>44965</v>
      </c>
    </row>
    <row r="454" spans="1:13" x14ac:dyDescent="0.25">
      <c r="A454" t="s">
        <v>483</v>
      </c>
      <c r="B454" t="s">
        <v>26</v>
      </c>
      <c r="C454" s="6">
        <v>41</v>
      </c>
      <c r="D454" t="s">
        <v>34</v>
      </c>
      <c r="E454" t="s">
        <v>35</v>
      </c>
      <c r="F454" t="s">
        <v>28</v>
      </c>
      <c r="G454" s="6">
        <v>1</v>
      </c>
      <c r="H454" s="4">
        <v>65.89</v>
      </c>
      <c r="I454" t="s">
        <v>31</v>
      </c>
      <c r="J454" s="6">
        <v>0</v>
      </c>
      <c r="K454" s="6">
        <v>5</v>
      </c>
      <c r="L454" t="s">
        <v>19</v>
      </c>
      <c r="M454" s="2">
        <v>44815</v>
      </c>
    </row>
    <row r="455" spans="1:13" x14ac:dyDescent="0.25">
      <c r="A455" t="s">
        <v>484</v>
      </c>
      <c r="B455" t="s">
        <v>14</v>
      </c>
      <c r="C455" s="6">
        <v>37</v>
      </c>
      <c r="D455" t="s">
        <v>30</v>
      </c>
      <c r="E455" t="s">
        <v>16</v>
      </c>
      <c r="F455" t="s">
        <v>28</v>
      </c>
      <c r="G455" s="6">
        <v>3</v>
      </c>
      <c r="H455" s="4">
        <v>66.569999999999993</v>
      </c>
      <c r="I455" t="s">
        <v>31</v>
      </c>
      <c r="J455" s="6">
        <v>8</v>
      </c>
      <c r="K455" s="6">
        <v>5</v>
      </c>
      <c r="L455" t="s">
        <v>24</v>
      </c>
      <c r="M455" s="2">
        <v>45367</v>
      </c>
    </row>
    <row r="456" spans="1:13" x14ac:dyDescent="0.25">
      <c r="A456" t="s">
        <v>485</v>
      </c>
      <c r="B456" t="s">
        <v>14</v>
      </c>
      <c r="C456" s="6">
        <v>24</v>
      </c>
      <c r="D456" t="s">
        <v>21</v>
      </c>
      <c r="E456" t="s">
        <v>35</v>
      </c>
      <c r="F456" t="s">
        <v>28</v>
      </c>
      <c r="G456" s="6">
        <v>20</v>
      </c>
      <c r="H456" s="4">
        <v>57.08</v>
      </c>
      <c r="I456" t="s">
        <v>31</v>
      </c>
      <c r="J456" s="6">
        <v>3</v>
      </c>
      <c r="K456" s="6">
        <v>2</v>
      </c>
      <c r="L456" t="s">
        <v>24</v>
      </c>
      <c r="M456" s="2">
        <v>44812</v>
      </c>
    </row>
    <row r="457" spans="1:13" x14ac:dyDescent="0.25">
      <c r="A457" t="s">
        <v>486</v>
      </c>
      <c r="B457" t="s">
        <v>14</v>
      </c>
      <c r="C457" s="6">
        <v>54</v>
      </c>
      <c r="D457" t="s">
        <v>34</v>
      </c>
      <c r="E457" t="s">
        <v>22</v>
      </c>
      <c r="F457" t="s">
        <v>17</v>
      </c>
      <c r="G457" s="6">
        <v>10</v>
      </c>
      <c r="H457" s="4">
        <v>40.85</v>
      </c>
      <c r="I457" t="s">
        <v>23</v>
      </c>
      <c r="J457" s="6">
        <v>2</v>
      </c>
      <c r="K457" s="6">
        <v>4</v>
      </c>
      <c r="L457" t="s">
        <v>24</v>
      </c>
      <c r="M457" s="2">
        <v>45609</v>
      </c>
    </row>
    <row r="458" spans="1:13" x14ac:dyDescent="0.25">
      <c r="A458" t="s">
        <v>487</v>
      </c>
      <c r="B458" t="s">
        <v>14</v>
      </c>
      <c r="C458" s="6">
        <v>56</v>
      </c>
      <c r="D458" t="s">
        <v>15</v>
      </c>
      <c r="E458" t="s">
        <v>16</v>
      </c>
      <c r="F458" t="s">
        <v>38</v>
      </c>
      <c r="G458" s="6">
        <v>49</v>
      </c>
      <c r="H458" s="4">
        <v>86.18</v>
      </c>
      <c r="I458" t="s">
        <v>18</v>
      </c>
      <c r="J458" s="6">
        <v>5</v>
      </c>
      <c r="K458" s="6">
        <v>3</v>
      </c>
      <c r="L458" t="s">
        <v>24</v>
      </c>
      <c r="M458" s="2">
        <v>45086</v>
      </c>
    </row>
    <row r="459" spans="1:13" x14ac:dyDescent="0.25">
      <c r="A459" t="s">
        <v>488</v>
      </c>
      <c r="B459" t="s">
        <v>26</v>
      </c>
      <c r="C459" s="6">
        <v>25</v>
      </c>
      <c r="D459" t="s">
        <v>30</v>
      </c>
      <c r="E459" t="s">
        <v>22</v>
      </c>
      <c r="F459" t="s">
        <v>38</v>
      </c>
      <c r="G459" s="6">
        <v>2</v>
      </c>
      <c r="H459" s="4">
        <v>94.51</v>
      </c>
      <c r="I459" t="s">
        <v>23</v>
      </c>
      <c r="J459" s="6">
        <v>0</v>
      </c>
      <c r="K459" s="6">
        <v>3</v>
      </c>
      <c r="L459" t="s">
        <v>24</v>
      </c>
      <c r="M459" s="2">
        <v>44850</v>
      </c>
    </row>
    <row r="460" spans="1:13" x14ac:dyDescent="0.25">
      <c r="A460" t="s">
        <v>489</v>
      </c>
      <c r="B460" t="s">
        <v>14</v>
      </c>
      <c r="C460" s="6">
        <v>38</v>
      </c>
      <c r="D460" t="s">
        <v>30</v>
      </c>
      <c r="E460" t="s">
        <v>16</v>
      </c>
      <c r="F460" t="s">
        <v>17</v>
      </c>
      <c r="G460" s="6">
        <v>51</v>
      </c>
      <c r="H460" s="4">
        <v>44.57</v>
      </c>
      <c r="I460" t="s">
        <v>18</v>
      </c>
      <c r="J460" s="6">
        <v>3</v>
      </c>
      <c r="K460" s="6">
        <v>4</v>
      </c>
      <c r="L460" t="s">
        <v>24</v>
      </c>
      <c r="M460" s="2">
        <v>45004</v>
      </c>
    </row>
    <row r="461" spans="1:13" x14ac:dyDescent="0.25">
      <c r="A461" t="s">
        <v>490</v>
      </c>
      <c r="B461" t="s">
        <v>14</v>
      </c>
      <c r="C461" s="6">
        <v>26</v>
      </c>
      <c r="D461" t="s">
        <v>15</v>
      </c>
      <c r="E461" t="s">
        <v>16</v>
      </c>
      <c r="F461" t="s">
        <v>28</v>
      </c>
      <c r="G461" s="6">
        <v>7</v>
      </c>
      <c r="H461" s="4">
        <v>63.22</v>
      </c>
      <c r="I461" t="s">
        <v>31</v>
      </c>
      <c r="J461" s="6">
        <v>1</v>
      </c>
      <c r="K461" s="6">
        <v>4</v>
      </c>
      <c r="L461" t="s">
        <v>24</v>
      </c>
      <c r="M461" s="2">
        <v>45781</v>
      </c>
    </row>
    <row r="462" spans="1:13" x14ac:dyDescent="0.25">
      <c r="A462" t="s">
        <v>491</v>
      </c>
      <c r="B462" t="s">
        <v>14</v>
      </c>
      <c r="C462" s="6">
        <v>66</v>
      </c>
      <c r="D462" t="s">
        <v>30</v>
      </c>
      <c r="E462" t="s">
        <v>35</v>
      </c>
      <c r="F462" t="s">
        <v>38</v>
      </c>
      <c r="G462" s="6">
        <v>26</v>
      </c>
      <c r="H462" s="4">
        <v>92.32</v>
      </c>
      <c r="I462" t="s">
        <v>46</v>
      </c>
      <c r="J462" s="6">
        <v>8</v>
      </c>
      <c r="K462" s="6">
        <v>5</v>
      </c>
      <c r="L462" t="s">
        <v>24</v>
      </c>
      <c r="M462" s="2">
        <v>45270</v>
      </c>
    </row>
    <row r="463" spans="1:13" x14ac:dyDescent="0.25">
      <c r="A463" t="s">
        <v>492</v>
      </c>
      <c r="B463" t="s">
        <v>14</v>
      </c>
      <c r="C463" s="6">
        <v>33</v>
      </c>
      <c r="D463" t="s">
        <v>21</v>
      </c>
      <c r="E463" t="s">
        <v>35</v>
      </c>
      <c r="F463" t="s">
        <v>28</v>
      </c>
      <c r="G463" s="6">
        <v>42</v>
      </c>
      <c r="H463" s="4">
        <v>65.27</v>
      </c>
      <c r="I463" t="s">
        <v>18</v>
      </c>
      <c r="J463" s="6">
        <v>1</v>
      </c>
      <c r="K463" s="6">
        <v>4</v>
      </c>
      <c r="L463" t="s">
        <v>24</v>
      </c>
      <c r="M463" s="2">
        <v>44910</v>
      </c>
    </row>
    <row r="464" spans="1:13" x14ac:dyDescent="0.25">
      <c r="A464" t="s">
        <v>493</v>
      </c>
      <c r="B464" t="s">
        <v>14</v>
      </c>
      <c r="C464" s="6">
        <v>38</v>
      </c>
      <c r="D464" t="s">
        <v>15</v>
      </c>
      <c r="E464" t="s">
        <v>22</v>
      </c>
      <c r="F464" t="s">
        <v>38</v>
      </c>
      <c r="G464" s="6">
        <v>4</v>
      </c>
      <c r="H464" s="4">
        <v>96.55</v>
      </c>
      <c r="I464" t="s">
        <v>46</v>
      </c>
      <c r="J464" s="6">
        <v>5</v>
      </c>
      <c r="K464" s="6">
        <v>5</v>
      </c>
      <c r="L464" t="s">
        <v>24</v>
      </c>
      <c r="M464" s="2">
        <v>45841</v>
      </c>
    </row>
    <row r="465" spans="1:13" x14ac:dyDescent="0.25">
      <c r="A465" t="s">
        <v>494</v>
      </c>
      <c r="B465" t="s">
        <v>26</v>
      </c>
      <c r="C465" s="6">
        <v>57</v>
      </c>
      <c r="D465" t="s">
        <v>30</v>
      </c>
      <c r="E465" t="s">
        <v>35</v>
      </c>
      <c r="F465" t="s">
        <v>17</v>
      </c>
      <c r="G465" s="6">
        <v>30</v>
      </c>
      <c r="H465" s="4">
        <v>33</v>
      </c>
      <c r="I465" t="s">
        <v>31</v>
      </c>
      <c r="J465" s="6">
        <v>2</v>
      </c>
      <c r="K465" s="6">
        <v>1</v>
      </c>
      <c r="L465" t="s">
        <v>19</v>
      </c>
      <c r="M465" s="2">
        <v>44308</v>
      </c>
    </row>
    <row r="466" spans="1:13" x14ac:dyDescent="0.25">
      <c r="A466" t="s">
        <v>495</v>
      </c>
      <c r="B466" t="s">
        <v>14</v>
      </c>
      <c r="C466" s="6">
        <v>57</v>
      </c>
      <c r="D466" t="s">
        <v>30</v>
      </c>
      <c r="E466" t="s">
        <v>35</v>
      </c>
      <c r="F466" t="s">
        <v>17</v>
      </c>
      <c r="G466" s="6">
        <v>44</v>
      </c>
      <c r="H466" s="4">
        <v>40.409999999999997</v>
      </c>
      <c r="I466" t="s">
        <v>18</v>
      </c>
      <c r="J466" s="6">
        <v>4</v>
      </c>
      <c r="K466" s="6">
        <v>4</v>
      </c>
      <c r="L466" t="s">
        <v>24</v>
      </c>
      <c r="M466" s="2">
        <v>44876</v>
      </c>
    </row>
    <row r="467" spans="1:13" x14ac:dyDescent="0.25">
      <c r="A467" t="s">
        <v>496</v>
      </c>
      <c r="B467" t="s">
        <v>14</v>
      </c>
      <c r="C467" s="6">
        <v>65</v>
      </c>
      <c r="D467" t="s">
        <v>30</v>
      </c>
      <c r="E467" t="s">
        <v>16</v>
      </c>
      <c r="F467" t="s">
        <v>38</v>
      </c>
      <c r="G467" s="6">
        <v>67</v>
      </c>
      <c r="H467" s="4">
        <v>96.26</v>
      </c>
      <c r="I467" t="s">
        <v>23</v>
      </c>
      <c r="J467" s="6">
        <v>2</v>
      </c>
      <c r="K467" s="6">
        <v>1</v>
      </c>
      <c r="L467" t="s">
        <v>24</v>
      </c>
      <c r="M467" s="2">
        <v>45555</v>
      </c>
    </row>
    <row r="468" spans="1:13" x14ac:dyDescent="0.25">
      <c r="A468" t="s">
        <v>497</v>
      </c>
      <c r="B468" t="s">
        <v>14</v>
      </c>
      <c r="C468" s="6">
        <v>34</v>
      </c>
      <c r="D468" t="s">
        <v>30</v>
      </c>
      <c r="E468" t="s">
        <v>16</v>
      </c>
      <c r="F468" t="s">
        <v>28</v>
      </c>
      <c r="G468" s="6">
        <v>26</v>
      </c>
      <c r="H468" s="4">
        <v>66.84</v>
      </c>
      <c r="I468" t="s">
        <v>31</v>
      </c>
      <c r="J468" s="6">
        <v>0</v>
      </c>
      <c r="K468" s="6">
        <v>4</v>
      </c>
      <c r="L468" t="s">
        <v>24</v>
      </c>
      <c r="M468" s="2">
        <v>44214</v>
      </c>
    </row>
    <row r="469" spans="1:13" x14ac:dyDescent="0.25">
      <c r="A469" t="s">
        <v>498</v>
      </c>
      <c r="B469" t="s">
        <v>14</v>
      </c>
      <c r="C469" s="6">
        <v>42</v>
      </c>
      <c r="D469" t="s">
        <v>15</v>
      </c>
      <c r="E469" t="s">
        <v>22</v>
      </c>
      <c r="F469" t="s">
        <v>38</v>
      </c>
      <c r="G469" s="6">
        <v>47</v>
      </c>
      <c r="H469" s="4">
        <v>97.96</v>
      </c>
      <c r="I469" t="s">
        <v>18</v>
      </c>
      <c r="J469" s="6">
        <v>4</v>
      </c>
      <c r="K469" s="6">
        <v>4</v>
      </c>
      <c r="L469" t="s">
        <v>24</v>
      </c>
      <c r="M469" s="2">
        <v>44976</v>
      </c>
    </row>
    <row r="470" spans="1:13" x14ac:dyDescent="0.25">
      <c r="A470" t="s">
        <v>499</v>
      </c>
      <c r="B470" t="s">
        <v>14</v>
      </c>
      <c r="C470" s="6">
        <v>38</v>
      </c>
      <c r="D470" t="s">
        <v>34</v>
      </c>
      <c r="E470" t="s">
        <v>22</v>
      </c>
      <c r="F470" t="s">
        <v>38</v>
      </c>
      <c r="G470" s="6">
        <v>12</v>
      </c>
      <c r="H470" s="4">
        <v>87.8</v>
      </c>
      <c r="I470" t="s">
        <v>23</v>
      </c>
      <c r="J470" s="6">
        <v>8</v>
      </c>
      <c r="K470" s="6">
        <v>1</v>
      </c>
      <c r="L470" t="s">
        <v>19</v>
      </c>
      <c r="M470" s="2">
        <v>45281</v>
      </c>
    </row>
    <row r="471" spans="1:13" x14ac:dyDescent="0.25">
      <c r="A471" t="s">
        <v>500</v>
      </c>
      <c r="B471" t="s">
        <v>26</v>
      </c>
      <c r="C471" s="6">
        <v>39</v>
      </c>
      <c r="D471" t="s">
        <v>34</v>
      </c>
      <c r="E471" t="s">
        <v>35</v>
      </c>
      <c r="F471" t="s">
        <v>38</v>
      </c>
      <c r="G471" s="6">
        <v>21</v>
      </c>
      <c r="H471" s="4">
        <v>85.28</v>
      </c>
      <c r="I471" t="s">
        <v>31</v>
      </c>
      <c r="J471" s="6">
        <v>5</v>
      </c>
      <c r="K471" s="6">
        <v>3</v>
      </c>
      <c r="L471" t="s">
        <v>24</v>
      </c>
      <c r="M471" s="2">
        <v>45223</v>
      </c>
    </row>
    <row r="472" spans="1:13" x14ac:dyDescent="0.25">
      <c r="A472" t="s">
        <v>501</v>
      </c>
      <c r="B472" t="s">
        <v>26</v>
      </c>
      <c r="C472" s="6">
        <v>69</v>
      </c>
      <c r="D472" t="s">
        <v>21</v>
      </c>
      <c r="E472" t="s">
        <v>22</v>
      </c>
      <c r="F472" t="s">
        <v>28</v>
      </c>
      <c r="G472" s="6">
        <v>50</v>
      </c>
      <c r="H472" s="4">
        <v>68.36</v>
      </c>
      <c r="I472" t="s">
        <v>18</v>
      </c>
      <c r="J472" s="6">
        <v>8</v>
      </c>
      <c r="K472" s="6">
        <v>3</v>
      </c>
      <c r="L472" t="s">
        <v>24</v>
      </c>
      <c r="M472" s="2">
        <v>44896</v>
      </c>
    </row>
    <row r="473" spans="1:13" x14ac:dyDescent="0.25">
      <c r="A473" t="s">
        <v>502</v>
      </c>
      <c r="B473" t="s">
        <v>26</v>
      </c>
      <c r="C473" s="6">
        <v>60</v>
      </c>
      <c r="D473" t="s">
        <v>30</v>
      </c>
      <c r="E473" t="s">
        <v>16</v>
      </c>
      <c r="F473" t="s">
        <v>38</v>
      </c>
      <c r="G473" s="6">
        <v>49</v>
      </c>
      <c r="H473" s="4">
        <v>92.81</v>
      </c>
      <c r="I473" t="s">
        <v>46</v>
      </c>
      <c r="J473" s="6">
        <v>6</v>
      </c>
      <c r="K473" s="6">
        <v>2</v>
      </c>
      <c r="L473" t="s">
        <v>24</v>
      </c>
      <c r="M473" s="2">
        <v>45070</v>
      </c>
    </row>
    <row r="474" spans="1:13" x14ac:dyDescent="0.25">
      <c r="A474" t="s">
        <v>503</v>
      </c>
      <c r="B474" t="s">
        <v>26</v>
      </c>
      <c r="C474" s="6">
        <v>56</v>
      </c>
      <c r="D474" t="s">
        <v>15</v>
      </c>
      <c r="E474" t="s">
        <v>35</v>
      </c>
      <c r="F474" t="s">
        <v>38</v>
      </c>
      <c r="G474" s="6">
        <v>17</v>
      </c>
      <c r="H474" s="4">
        <v>88.1</v>
      </c>
      <c r="I474" t="s">
        <v>46</v>
      </c>
      <c r="J474" s="6">
        <v>8</v>
      </c>
      <c r="K474" s="6">
        <v>2</v>
      </c>
      <c r="L474" t="s">
        <v>24</v>
      </c>
      <c r="M474" s="2">
        <v>44829</v>
      </c>
    </row>
    <row r="475" spans="1:13" x14ac:dyDescent="0.25">
      <c r="A475" t="s">
        <v>504</v>
      </c>
      <c r="B475" t="s">
        <v>14</v>
      </c>
      <c r="C475" s="6">
        <v>45</v>
      </c>
      <c r="D475" t="s">
        <v>30</v>
      </c>
      <c r="E475" t="s">
        <v>22</v>
      </c>
      <c r="F475" t="s">
        <v>38</v>
      </c>
      <c r="G475" s="6">
        <v>21</v>
      </c>
      <c r="H475" s="4">
        <v>89.76</v>
      </c>
      <c r="I475" t="s">
        <v>18</v>
      </c>
      <c r="J475" s="6">
        <v>2</v>
      </c>
      <c r="K475" s="6">
        <v>3</v>
      </c>
      <c r="L475" t="s">
        <v>24</v>
      </c>
      <c r="M475" s="2">
        <v>44495</v>
      </c>
    </row>
    <row r="476" spans="1:13" x14ac:dyDescent="0.25">
      <c r="A476" t="s">
        <v>505</v>
      </c>
      <c r="B476" t="s">
        <v>14</v>
      </c>
      <c r="C476" s="6">
        <v>66</v>
      </c>
      <c r="D476" t="s">
        <v>15</v>
      </c>
      <c r="E476" t="s">
        <v>35</v>
      </c>
      <c r="F476" t="s">
        <v>28</v>
      </c>
      <c r="G476" s="6">
        <v>39</v>
      </c>
      <c r="H476" s="4">
        <v>61.65</v>
      </c>
      <c r="I476" t="s">
        <v>31</v>
      </c>
      <c r="J476" s="6">
        <v>2</v>
      </c>
      <c r="K476" s="6">
        <v>2</v>
      </c>
      <c r="L476" t="s">
        <v>19</v>
      </c>
      <c r="M476" s="2">
        <v>44575</v>
      </c>
    </row>
    <row r="477" spans="1:13" x14ac:dyDescent="0.25">
      <c r="A477" t="s">
        <v>506</v>
      </c>
      <c r="B477" t="s">
        <v>14</v>
      </c>
      <c r="C477" s="6">
        <v>66</v>
      </c>
      <c r="D477" t="s">
        <v>15</v>
      </c>
      <c r="E477" t="s">
        <v>22</v>
      </c>
      <c r="F477" t="s">
        <v>38</v>
      </c>
      <c r="G477" s="6">
        <v>30</v>
      </c>
      <c r="H477" s="4">
        <v>93.95</v>
      </c>
      <c r="I477" t="s">
        <v>46</v>
      </c>
      <c r="J477" s="6">
        <v>0</v>
      </c>
      <c r="K477" s="6">
        <v>3</v>
      </c>
      <c r="L477" t="s">
        <v>19</v>
      </c>
      <c r="M477" s="2">
        <v>45794</v>
      </c>
    </row>
    <row r="478" spans="1:13" x14ac:dyDescent="0.25">
      <c r="A478" t="s">
        <v>507</v>
      </c>
      <c r="B478" t="s">
        <v>26</v>
      </c>
      <c r="C478" s="6">
        <v>26</v>
      </c>
      <c r="D478" t="s">
        <v>34</v>
      </c>
      <c r="E478" t="s">
        <v>22</v>
      </c>
      <c r="F478" t="s">
        <v>38</v>
      </c>
      <c r="G478" s="6">
        <v>48</v>
      </c>
      <c r="H478" s="4">
        <v>87.76</v>
      </c>
      <c r="I478" t="s">
        <v>23</v>
      </c>
      <c r="J478" s="6">
        <v>7</v>
      </c>
      <c r="K478" s="6">
        <v>4</v>
      </c>
      <c r="L478" t="s">
        <v>19</v>
      </c>
      <c r="M478" s="2">
        <v>44592</v>
      </c>
    </row>
    <row r="479" spans="1:13" x14ac:dyDescent="0.25">
      <c r="A479" t="s">
        <v>508</v>
      </c>
      <c r="B479" t="s">
        <v>14</v>
      </c>
      <c r="C479" s="6">
        <v>20</v>
      </c>
      <c r="D479" t="s">
        <v>34</v>
      </c>
      <c r="E479" t="s">
        <v>16</v>
      </c>
      <c r="F479" t="s">
        <v>28</v>
      </c>
      <c r="G479" s="6">
        <v>53</v>
      </c>
      <c r="H479" s="4">
        <v>58.34</v>
      </c>
      <c r="I479" t="s">
        <v>46</v>
      </c>
      <c r="J479" s="6">
        <v>3</v>
      </c>
      <c r="K479" s="6">
        <v>1</v>
      </c>
      <c r="L479" t="s">
        <v>19</v>
      </c>
      <c r="M479" s="2">
        <v>45096</v>
      </c>
    </row>
    <row r="480" spans="1:13" x14ac:dyDescent="0.25">
      <c r="A480" t="s">
        <v>509</v>
      </c>
      <c r="B480" t="s">
        <v>26</v>
      </c>
      <c r="C480" s="6">
        <v>62</v>
      </c>
      <c r="D480" t="s">
        <v>15</v>
      </c>
      <c r="E480" t="s">
        <v>35</v>
      </c>
      <c r="F480" t="s">
        <v>17</v>
      </c>
      <c r="G480" s="6">
        <v>55</v>
      </c>
      <c r="H480" s="4">
        <v>36.07</v>
      </c>
      <c r="I480" t="s">
        <v>18</v>
      </c>
      <c r="J480" s="6">
        <v>6</v>
      </c>
      <c r="K480" s="6">
        <v>3</v>
      </c>
      <c r="L480" t="s">
        <v>24</v>
      </c>
      <c r="M480" s="2">
        <v>45717</v>
      </c>
    </row>
    <row r="481" spans="1:13" x14ac:dyDescent="0.25">
      <c r="A481" t="s">
        <v>510</v>
      </c>
      <c r="B481" t="s">
        <v>14</v>
      </c>
      <c r="C481" s="6">
        <v>51</v>
      </c>
      <c r="D481" t="s">
        <v>21</v>
      </c>
      <c r="E481" t="s">
        <v>35</v>
      </c>
      <c r="F481" t="s">
        <v>28</v>
      </c>
      <c r="G481" s="6">
        <v>6</v>
      </c>
      <c r="H481" s="4">
        <v>68.17</v>
      </c>
      <c r="I481" t="s">
        <v>46</v>
      </c>
      <c r="J481" s="6">
        <v>8</v>
      </c>
      <c r="K481" s="6">
        <v>5</v>
      </c>
      <c r="L481" t="s">
        <v>24</v>
      </c>
      <c r="M481" s="2">
        <v>45702</v>
      </c>
    </row>
    <row r="482" spans="1:13" x14ac:dyDescent="0.25">
      <c r="A482" t="s">
        <v>511</v>
      </c>
      <c r="B482" t="s">
        <v>14</v>
      </c>
      <c r="C482" s="6">
        <v>53</v>
      </c>
      <c r="D482" t="s">
        <v>34</v>
      </c>
      <c r="E482" t="s">
        <v>22</v>
      </c>
      <c r="F482" t="s">
        <v>38</v>
      </c>
      <c r="G482" s="6">
        <v>7</v>
      </c>
      <c r="H482" s="4">
        <v>87.85</v>
      </c>
      <c r="I482" t="s">
        <v>23</v>
      </c>
      <c r="J482" s="6">
        <v>6</v>
      </c>
      <c r="K482" s="6">
        <v>3</v>
      </c>
      <c r="L482" t="s">
        <v>24</v>
      </c>
      <c r="M482" s="2">
        <v>44782</v>
      </c>
    </row>
    <row r="483" spans="1:13" x14ac:dyDescent="0.25">
      <c r="A483" t="s">
        <v>512</v>
      </c>
      <c r="B483" t="s">
        <v>26</v>
      </c>
      <c r="C483" s="6">
        <v>28</v>
      </c>
      <c r="D483" t="s">
        <v>34</v>
      </c>
      <c r="E483" t="s">
        <v>35</v>
      </c>
      <c r="F483" t="s">
        <v>38</v>
      </c>
      <c r="G483" s="6">
        <v>7</v>
      </c>
      <c r="H483" s="4">
        <v>95.35</v>
      </c>
      <c r="I483" t="s">
        <v>46</v>
      </c>
      <c r="J483" s="6">
        <v>7</v>
      </c>
      <c r="K483" s="6">
        <v>4</v>
      </c>
      <c r="L483" t="s">
        <v>19</v>
      </c>
      <c r="M483" s="2">
        <v>45222</v>
      </c>
    </row>
    <row r="484" spans="1:13" x14ac:dyDescent="0.25">
      <c r="A484" t="s">
        <v>513</v>
      </c>
      <c r="B484" t="s">
        <v>14</v>
      </c>
      <c r="C484" s="6">
        <v>29</v>
      </c>
      <c r="D484" t="s">
        <v>30</v>
      </c>
      <c r="E484" t="s">
        <v>35</v>
      </c>
      <c r="F484" t="s">
        <v>28</v>
      </c>
      <c r="G484" s="6">
        <v>42</v>
      </c>
      <c r="H484" s="4">
        <v>61.76</v>
      </c>
      <c r="I484" t="s">
        <v>46</v>
      </c>
      <c r="J484" s="6">
        <v>7</v>
      </c>
      <c r="K484" s="6">
        <v>5</v>
      </c>
      <c r="L484" t="s">
        <v>24</v>
      </c>
      <c r="M484" s="2">
        <v>44610</v>
      </c>
    </row>
    <row r="485" spans="1:13" x14ac:dyDescent="0.25">
      <c r="A485" t="s">
        <v>514</v>
      </c>
      <c r="B485" t="s">
        <v>26</v>
      </c>
      <c r="C485" s="6">
        <v>23</v>
      </c>
      <c r="D485" t="s">
        <v>15</v>
      </c>
      <c r="E485" t="s">
        <v>35</v>
      </c>
      <c r="F485" t="s">
        <v>38</v>
      </c>
      <c r="G485" s="6">
        <v>21</v>
      </c>
      <c r="H485" s="4">
        <v>95.78</v>
      </c>
      <c r="I485" t="s">
        <v>18</v>
      </c>
      <c r="J485" s="6">
        <v>1</v>
      </c>
      <c r="K485" s="6">
        <v>1</v>
      </c>
      <c r="L485" t="s">
        <v>24</v>
      </c>
      <c r="M485" s="2">
        <v>45495</v>
      </c>
    </row>
    <row r="486" spans="1:13" x14ac:dyDescent="0.25">
      <c r="A486" t="s">
        <v>515</v>
      </c>
      <c r="B486" t="s">
        <v>26</v>
      </c>
      <c r="C486" s="6">
        <v>23</v>
      </c>
      <c r="D486" t="s">
        <v>34</v>
      </c>
      <c r="E486" t="s">
        <v>22</v>
      </c>
      <c r="F486" t="s">
        <v>38</v>
      </c>
      <c r="G486" s="6">
        <v>21</v>
      </c>
      <c r="H486" s="4">
        <v>90.68</v>
      </c>
      <c r="I486" t="s">
        <v>23</v>
      </c>
      <c r="J486" s="6">
        <v>0</v>
      </c>
      <c r="K486" s="6">
        <v>2</v>
      </c>
      <c r="L486" t="s">
        <v>24</v>
      </c>
      <c r="M486" s="2">
        <v>45355</v>
      </c>
    </row>
    <row r="487" spans="1:13" x14ac:dyDescent="0.25">
      <c r="A487" t="s">
        <v>516</v>
      </c>
      <c r="B487" t="s">
        <v>14</v>
      </c>
      <c r="C487" s="6">
        <v>28</v>
      </c>
      <c r="D487" t="s">
        <v>30</v>
      </c>
      <c r="E487" t="s">
        <v>16</v>
      </c>
      <c r="F487" t="s">
        <v>38</v>
      </c>
      <c r="G487" s="6">
        <v>7</v>
      </c>
      <c r="H487" s="4">
        <v>91.29</v>
      </c>
      <c r="I487" t="s">
        <v>31</v>
      </c>
      <c r="J487" s="6">
        <v>7</v>
      </c>
      <c r="K487" s="6">
        <v>3</v>
      </c>
      <c r="L487" t="s">
        <v>24</v>
      </c>
      <c r="M487" s="2">
        <v>44437</v>
      </c>
    </row>
    <row r="488" spans="1:13" x14ac:dyDescent="0.25">
      <c r="A488" t="s">
        <v>517</v>
      </c>
      <c r="B488" t="s">
        <v>14</v>
      </c>
      <c r="C488" s="6">
        <v>30</v>
      </c>
      <c r="D488" t="s">
        <v>21</v>
      </c>
      <c r="E488" t="s">
        <v>22</v>
      </c>
      <c r="F488" t="s">
        <v>28</v>
      </c>
      <c r="G488" s="6">
        <v>2</v>
      </c>
      <c r="H488" s="4">
        <v>61.88</v>
      </c>
      <c r="I488" t="s">
        <v>23</v>
      </c>
      <c r="J488" s="6">
        <v>8</v>
      </c>
      <c r="K488" s="6">
        <v>1</v>
      </c>
      <c r="L488" t="s">
        <v>24</v>
      </c>
      <c r="M488" s="2">
        <v>45207</v>
      </c>
    </row>
    <row r="489" spans="1:13" x14ac:dyDescent="0.25">
      <c r="A489" t="s">
        <v>518</v>
      </c>
      <c r="B489" t="s">
        <v>14</v>
      </c>
      <c r="C489" s="6">
        <v>31</v>
      </c>
      <c r="D489" t="s">
        <v>34</v>
      </c>
      <c r="E489" t="s">
        <v>35</v>
      </c>
      <c r="F489" t="s">
        <v>28</v>
      </c>
      <c r="G489" s="6">
        <v>57</v>
      </c>
      <c r="H489" s="4">
        <v>56.19</v>
      </c>
      <c r="I489" t="s">
        <v>18</v>
      </c>
      <c r="J489" s="6">
        <v>3</v>
      </c>
      <c r="K489" s="6">
        <v>5</v>
      </c>
      <c r="L489" t="s">
        <v>24</v>
      </c>
      <c r="M489" s="2">
        <v>45484</v>
      </c>
    </row>
    <row r="490" spans="1:13" x14ac:dyDescent="0.25">
      <c r="A490" t="s">
        <v>519</v>
      </c>
      <c r="B490" t="s">
        <v>14</v>
      </c>
      <c r="C490" s="6">
        <v>21</v>
      </c>
      <c r="D490" t="s">
        <v>30</v>
      </c>
      <c r="E490" t="s">
        <v>16</v>
      </c>
      <c r="F490" t="s">
        <v>17</v>
      </c>
      <c r="G490" s="6">
        <v>45</v>
      </c>
      <c r="H490" s="4">
        <v>30.55</v>
      </c>
      <c r="I490" t="s">
        <v>18</v>
      </c>
      <c r="J490" s="6">
        <v>4</v>
      </c>
      <c r="K490" s="6">
        <v>3</v>
      </c>
      <c r="L490" t="s">
        <v>24</v>
      </c>
      <c r="M490" s="2">
        <v>44297</v>
      </c>
    </row>
    <row r="491" spans="1:13" x14ac:dyDescent="0.25">
      <c r="A491" t="s">
        <v>520</v>
      </c>
      <c r="B491" t="s">
        <v>14</v>
      </c>
      <c r="C491" s="6">
        <v>44</v>
      </c>
      <c r="D491" t="s">
        <v>30</v>
      </c>
      <c r="E491" t="s">
        <v>16</v>
      </c>
      <c r="F491" t="s">
        <v>38</v>
      </c>
      <c r="G491" s="6">
        <v>37</v>
      </c>
      <c r="H491" s="4">
        <v>94.17</v>
      </c>
      <c r="I491" t="s">
        <v>46</v>
      </c>
      <c r="J491" s="6">
        <v>7</v>
      </c>
      <c r="K491" s="6">
        <v>5</v>
      </c>
      <c r="L491" t="s">
        <v>24</v>
      </c>
      <c r="M491" s="2">
        <v>44270</v>
      </c>
    </row>
    <row r="492" spans="1:13" x14ac:dyDescent="0.25">
      <c r="A492" t="s">
        <v>521</v>
      </c>
      <c r="B492" t="s">
        <v>14</v>
      </c>
      <c r="C492" s="6">
        <v>67</v>
      </c>
      <c r="D492" t="s">
        <v>15</v>
      </c>
      <c r="E492" t="s">
        <v>35</v>
      </c>
      <c r="F492" t="s">
        <v>28</v>
      </c>
      <c r="G492" s="6">
        <v>49</v>
      </c>
      <c r="H492" s="4">
        <v>67.3</v>
      </c>
      <c r="I492" t="s">
        <v>23</v>
      </c>
      <c r="J492" s="6">
        <v>8</v>
      </c>
      <c r="K492" s="6">
        <v>1</v>
      </c>
      <c r="L492" t="s">
        <v>19</v>
      </c>
      <c r="M492" s="2">
        <v>44472</v>
      </c>
    </row>
    <row r="493" spans="1:13" x14ac:dyDescent="0.25">
      <c r="A493" t="s">
        <v>522</v>
      </c>
      <c r="B493" t="s">
        <v>14</v>
      </c>
      <c r="C493" s="6">
        <v>62</v>
      </c>
      <c r="D493" t="s">
        <v>15</v>
      </c>
      <c r="E493" t="s">
        <v>35</v>
      </c>
      <c r="F493" t="s">
        <v>38</v>
      </c>
      <c r="G493" s="6">
        <v>53</v>
      </c>
      <c r="H493" s="4">
        <v>92.87</v>
      </c>
      <c r="I493" t="s">
        <v>46</v>
      </c>
      <c r="J493" s="6">
        <v>0</v>
      </c>
      <c r="K493" s="6">
        <v>1</v>
      </c>
      <c r="L493" t="s">
        <v>24</v>
      </c>
      <c r="M493" s="2">
        <v>45485</v>
      </c>
    </row>
    <row r="494" spans="1:13" x14ac:dyDescent="0.25">
      <c r="A494" t="s">
        <v>523</v>
      </c>
      <c r="B494" t="s">
        <v>14</v>
      </c>
      <c r="C494" s="6">
        <v>48</v>
      </c>
      <c r="D494" t="s">
        <v>15</v>
      </c>
      <c r="E494" t="s">
        <v>35</v>
      </c>
      <c r="F494" t="s">
        <v>38</v>
      </c>
      <c r="G494" s="6">
        <v>41</v>
      </c>
      <c r="H494" s="4">
        <v>88.89</v>
      </c>
      <c r="I494" t="s">
        <v>31</v>
      </c>
      <c r="J494" s="6">
        <v>2</v>
      </c>
      <c r="K494" s="6">
        <v>5</v>
      </c>
      <c r="L494" t="s">
        <v>24</v>
      </c>
      <c r="M494" s="2">
        <v>45261</v>
      </c>
    </row>
    <row r="495" spans="1:13" x14ac:dyDescent="0.25">
      <c r="A495" t="s">
        <v>524</v>
      </c>
      <c r="B495" t="s">
        <v>26</v>
      </c>
      <c r="C495" s="6">
        <v>49</v>
      </c>
      <c r="D495" t="s">
        <v>30</v>
      </c>
      <c r="E495" t="s">
        <v>22</v>
      </c>
      <c r="F495" t="s">
        <v>17</v>
      </c>
      <c r="G495" s="6">
        <v>38</v>
      </c>
      <c r="H495" s="4">
        <v>44.69</v>
      </c>
      <c r="I495" t="s">
        <v>18</v>
      </c>
      <c r="J495" s="6">
        <v>1</v>
      </c>
      <c r="K495" s="6">
        <v>1</v>
      </c>
      <c r="L495" t="s">
        <v>24</v>
      </c>
      <c r="M495" s="2">
        <v>45828</v>
      </c>
    </row>
    <row r="496" spans="1:13" x14ac:dyDescent="0.25">
      <c r="A496" t="s">
        <v>525</v>
      </c>
      <c r="B496" t="s">
        <v>14</v>
      </c>
      <c r="C496" s="6">
        <v>65</v>
      </c>
      <c r="D496" t="s">
        <v>30</v>
      </c>
      <c r="E496" t="s">
        <v>22</v>
      </c>
      <c r="F496" t="s">
        <v>28</v>
      </c>
      <c r="G496" s="6">
        <v>53</v>
      </c>
      <c r="H496" s="4">
        <v>55.68</v>
      </c>
      <c r="I496" t="s">
        <v>31</v>
      </c>
      <c r="J496" s="6">
        <v>8</v>
      </c>
      <c r="K496" s="6">
        <v>2</v>
      </c>
      <c r="L496" t="s">
        <v>19</v>
      </c>
      <c r="M496" s="2">
        <v>44609</v>
      </c>
    </row>
    <row r="497" spans="1:13" x14ac:dyDescent="0.25">
      <c r="A497" t="s">
        <v>526</v>
      </c>
      <c r="B497" t="s">
        <v>26</v>
      </c>
      <c r="C497" s="6">
        <v>34</v>
      </c>
      <c r="D497" t="s">
        <v>21</v>
      </c>
      <c r="E497" t="s">
        <v>35</v>
      </c>
      <c r="F497" t="s">
        <v>28</v>
      </c>
      <c r="G497" s="6">
        <v>65</v>
      </c>
      <c r="H497" s="4">
        <v>63.25</v>
      </c>
      <c r="I497" t="s">
        <v>18</v>
      </c>
      <c r="J497" s="6">
        <v>1</v>
      </c>
      <c r="K497" s="6">
        <v>3</v>
      </c>
      <c r="L497" t="s">
        <v>24</v>
      </c>
      <c r="M497" s="2">
        <v>45680</v>
      </c>
    </row>
    <row r="498" spans="1:13" x14ac:dyDescent="0.25">
      <c r="A498" t="s">
        <v>527</v>
      </c>
      <c r="B498" t="s">
        <v>14</v>
      </c>
      <c r="C498" s="6">
        <v>29</v>
      </c>
      <c r="D498" t="s">
        <v>30</v>
      </c>
      <c r="E498" t="s">
        <v>35</v>
      </c>
      <c r="F498" t="s">
        <v>28</v>
      </c>
      <c r="G498" s="6">
        <v>62</v>
      </c>
      <c r="H498" s="4">
        <v>68.739999999999995</v>
      </c>
      <c r="I498" t="s">
        <v>18</v>
      </c>
      <c r="J498" s="6">
        <v>2</v>
      </c>
      <c r="K498" s="6">
        <v>4</v>
      </c>
      <c r="L498" t="s">
        <v>24</v>
      </c>
      <c r="M498" s="2">
        <v>45140</v>
      </c>
    </row>
    <row r="499" spans="1:13" x14ac:dyDescent="0.25">
      <c r="A499" t="s">
        <v>528</v>
      </c>
      <c r="B499" t="s">
        <v>26</v>
      </c>
      <c r="C499" s="6">
        <v>47</v>
      </c>
      <c r="D499" t="s">
        <v>34</v>
      </c>
      <c r="E499" t="s">
        <v>22</v>
      </c>
      <c r="F499" t="s">
        <v>17</v>
      </c>
      <c r="G499" s="6">
        <v>67</v>
      </c>
      <c r="H499" s="4">
        <v>34.49</v>
      </c>
      <c r="I499" t="s">
        <v>31</v>
      </c>
      <c r="J499" s="6">
        <v>8</v>
      </c>
      <c r="K499" s="6">
        <v>5</v>
      </c>
      <c r="L499" t="s">
        <v>19</v>
      </c>
      <c r="M499" s="2">
        <v>45379</v>
      </c>
    </row>
    <row r="500" spans="1:13" x14ac:dyDescent="0.25">
      <c r="A500" t="s">
        <v>529</v>
      </c>
      <c r="B500" t="s">
        <v>26</v>
      </c>
      <c r="C500" s="6">
        <v>69</v>
      </c>
      <c r="D500" t="s">
        <v>15</v>
      </c>
      <c r="E500" t="s">
        <v>16</v>
      </c>
      <c r="F500" t="s">
        <v>17</v>
      </c>
      <c r="G500" s="6">
        <v>36</v>
      </c>
      <c r="H500" s="4">
        <v>42.61</v>
      </c>
      <c r="I500" t="s">
        <v>31</v>
      </c>
      <c r="J500" s="6">
        <v>6</v>
      </c>
      <c r="K500" s="6">
        <v>5</v>
      </c>
      <c r="L500" t="s">
        <v>24</v>
      </c>
      <c r="M500" s="2">
        <v>45366</v>
      </c>
    </row>
    <row r="501" spans="1:13" x14ac:dyDescent="0.25">
      <c r="A501" t="s">
        <v>530</v>
      </c>
      <c r="B501" t="s">
        <v>26</v>
      </c>
      <c r="C501" s="6">
        <v>29</v>
      </c>
      <c r="D501" t="s">
        <v>21</v>
      </c>
      <c r="E501" t="s">
        <v>35</v>
      </c>
      <c r="F501" t="s">
        <v>38</v>
      </c>
      <c r="G501" s="6">
        <v>41</v>
      </c>
      <c r="H501" s="4">
        <v>95.65</v>
      </c>
      <c r="I501" t="s">
        <v>31</v>
      </c>
      <c r="J501" s="6">
        <v>6</v>
      </c>
      <c r="K501" s="6">
        <v>1</v>
      </c>
      <c r="L501" t="s">
        <v>24</v>
      </c>
      <c r="M501" s="2">
        <v>44683</v>
      </c>
    </row>
    <row r="502" spans="1:13" x14ac:dyDescent="0.25">
      <c r="A502" t="s">
        <v>531</v>
      </c>
      <c r="B502" t="s">
        <v>26</v>
      </c>
      <c r="C502" s="6">
        <v>46</v>
      </c>
      <c r="D502" t="s">
        <v>15</v>
      </c>
      <c r="E502" t="s">
        <v>16</v>
      </c>
      <c r="F502" t="s">
        <v>38</v>
      </c>
      <c r="G502" s="6">
        <v>39</v>
      </c>
      <c r="H502" s="4">
        <v>87.63</v>
      </c>
      <c r="I502" t="s">
        <v>31</v>
      </c>
      <c r="J502" s="6">
        <v>0</v>
      </c>
      <c r="K502" s="6">
        <v>2</v>
      </c>
      <c r="L502" t="s">
        <v>24</v>
      </c>
      <c r="M502" s="2">
        <v>45105</v>
      </c>
    </row>
    <row r="503" spans="1:13" x14ac:dyDescent="0.25">
      <c r="A503" t="s">
        <v>532</v>
      </c>
      <c r="B503" t="s">
        <v>14</v>
      </c>
      <c r="C503" s="6">
        <v>69</v>
      </c>
      <c r="D503" t="s">
        <v>34</v>
      </c>
      <c r="E503" t="s">
        <v>22</v>
      </c>
      <c r="F503" t="s">
        <v>17</v>
      </c>
      <c r="G503" s="6">
        <v>25</v>
      </c>
      <c r="H503" s="4">
        <v>35.1</v>
      </c>
      <c r="I503" t="s">
        <v>23</v>
      </c>
      <c r="J503" s="6">
        <v>8</v>
      </c>
      <c r="K503" s="6">
        <v>3</v>
      </c>
      <c r="L503" t="s">
        <v>24</v>
      </c>
      <c r="M503" s="2">
        <v>44490</v>
      </c>
    </row>
    <row r="504" spans="1:13" x14ac:dyDescent="0.25">
      <c r="A504" t="s">
        <v>533</v>
      </c>
      <c r="B504" t="s">
        <v>14</v>
      </c>
      <c r="C504" s="6">
        <v>70</v>
      </c>
      <c r="D504" t="s">
        <v>30</v>
      </c>
      <c r="E504" t="s">
        <v>16</v>
      </c>
      <c r="F504" t="s">
        <v>38</v>
      </c>
      <c r="G504" s="6">
        <v>5</v>
      </c>
      <c r="H504" s="4">
        <v>91.89</v>
      </c>
      <c r="I504" t="s">
        <v>18</v>
      </c>
      <c r="J504" s="6">
        <v>0</v>
      </c>
      <c r="K504" s="6">
        <v>3</v>
      </c>
      <c r="L504" t="s">
        <v>24</v>
      </c>
      <c r="M504" s="2">
        <v>45604</v>
      </c>
    </row>
    <row r="505" spans="1:13" x14ac:dyDescent="0.25">
      <c r="A505" t="s">
        <v>534</v>
      </c>
      <c r="B505" t="s">
        <v>14</v>
      </c>
      <c r="C505" s="6">
        <v>39</v>
      </c>
      <c r="D505" t="s">
        <v>34</v>
      </c>
      <c r="E505" t="s">
        <v>16</v>
      </c>
      <c r="F505" t="s">
        <v>17</v>
      </c>
      <c r="G505" s="6">
        <v>67</v>
      </c>
      <c r="H505" s="4">
        <v>41.49</v>
      </c>
      <c r="I505" t="s">
        <v>31</v>
      </c>
      <c r="J505" s="6">
        <v>0</v>
      </c>
      <c r="K505" s="6">
        <v>5</v>
      </c>
      <c r="L505" t="s">
        <v>24</v>
      </c>
      <c r="M505" s="2">
        <v>45505</v>
      </c>
    </row>
    <row r="506" spans="1:13" x14ac:dyDescent="0.25">
      <c r="A506" t="s">
        <v>535</v>
      </c>
      <c r="B506" t="s">
        <v>14</v>
      </c>
      <c r="C506" s="6">
        <v>38</v>
      </c>
      <c r="D506" t="s">
        <v>30</v>
      </c>
      <c r="E506" t="s">
        <v>16</v>
      </c>
      <c r="F506" t="s">
        <v>28</v>
      </c>
      <c r="G506" s="6">
        <v>36</v>
      </c>
      <c r="H506" s="4">
        <v>62.98</v>
      </c>
      <c r="I506" t="s">
        <v>23</v>
      </c>
      <c r="J506" s="6">
        <v>1</v>
      </c>
      <c r="K506" s="6">
        <v>3</v>
      </c>
      <c r="L506" t="s">
        <v>19</v>
      </c>
      <c r="M506" s="2">
        <v>44757</v>
      </c>
    </row>
    <row r="507" spans="1:13" x14ac:dyDescent="0.25">
      <c r="A507" t="s">
        <v>536</v>
      </c>
      <c r="B507" t="s">
        <v>14</v>
      </c>
      <c r="C507" s="6">
        <v>18</v>
      </c>
      <c r="D507" t="s">
        <v>21</v>
      </c>
      <c r="E507" t="s">
        <v>16</v>
      </c>
      <c r="F507" t="s">
        <v>38</v>
      </c>
      <c r="G507" s="6">
        <v>45</v>
      </c>
      <c r="H507" s="4">
        <v>93.24</v>
      </c>
      <c r="I507" t="s">
        <v>31</v>
      </c>
      <c r="J507" s="6">
        <v>2</v>
      </c>
      <c r="K507" s="6">
        <v>3</v>
      </c>
      <c r="L507" t="s">
        <v>24</v>
      </c>
      <c r="M507" s="2">
        <v>44547</v>
      </c>
    </row>
    <row r="508" spans="1:13" x14ac:dyDescent="0.25">
      <c r="A508" t="s">
        <v>537</v>
      </c>
      <c r="B508" t="s">
        <v>14</v>
      </c>
      <c r="C508" s="6">
        <v>37</v>
      </c>
      <c r="D508" t="s">
        <v>15</v>
      </c>
      <c r="E508" t="s">
        <v>22</v>
      </c>
      <c r="F508" t="s">
        <v>28</v>
      </c>
      <c r="G508" s="6">
        <v>7</v>
      </c>
      <c r="H508" s="4">
        <v>56.95</v>
      </c>
      <c r="I508" t="s">
        <v>23</v>
      </c>
      <c r="J508" s="6">
        <v>0</v>
      </c>
      <c r="K508" s="6">
        <v>1</v>
      </c>
      <c r="L508" t="s">
        <v>24</v>
      </c>
      <c r="M508" s="2">
        <v>44373</v>
      </c>
    </row>
    <row r="509" spans="1:13" x14ac:dyDescent="0.25">
      <c r="A509" t="s">
        <v>538</v>
      </c>
      <c r="B509" t="s">
        <v>26</v>
      </c>
      <c r="C509" s="6">
        <v>43</v>
      </c>
      <c r="D509" t="s">
        <v>30</v>
      </c>
      <c r="E509" t="s">
        <v>22</v>
      </c>
      <c r="F509" t="s">
        <v>38</v>
      </c>
      <c r="G509" s="6">
        <v>58</v>
      </c>
      <c r="H509" s="4">
        <v>94.24</v>
      </c>
      <c r="I509" t="s">
        <v>31</v>
      </c>
      <c r="J509" s="6">
        <v>5</v>
      </c>
      <c r="K509" s="6">
        <v>2</v>
      </c>
      <c r="L509" t="s">
        <v>24</v>
      </c>
      <c r="M509" s="2">
        <v>45570</v>
      </c>
    </row>
    <row r="510" spans="1:13" x14ac:dyDescent="0.25">
      <c r="A510" t="s">
        <v>539</v>
      </c>
      <c r="B510" t="s">
        <v>14</v>
      </c>
      <c r="C510" s="6">
        <v>66</v>
      </c>
      <c r="D510" t="s">
        <v>34</v>
      </c>
      <c r="E510" t="s">
        <v>22</v>
      </c>
      <c r="F510" t="s">
        <v>17</v>
      </c>
      <c r="G510" s="6">
        <v>12</v>
      </c>
      <c r="H510" s="4">
        <v>42.19</v>
      </c>
      <c r="I510" t="s">
        <v>23</v>
      </c>
      <c r="J510" s="6">
        <v>1</v>
      </c>
      <c r="K510" s="6">
        <v>4</v>
      </c>
      <c r="L510" t="s">
        <v>24</v>
      </c>
      <c r="M510" s="2">
        <v>45516</v>
      </c>
    </row>
    <row r="511" spans="1:13" x14ac:dyDescent="0.25">
      <c r="A511" t="s">
        <v>540</v>
      </c>
      <c r="B511" t="s">
        <v>26</v>
      </c>
      <c r="C511" s="6">
        <v>48</v>
      </c>
      <c r="D511" t="s">
        <v>30</v>
      </c>
      <c r="E511" t="s">
        <v>16</v>
      </c>
      <c r="F511" t="s">
        <v>17</v>
      </c>
      <c r="G511" s="6">
        <v>34</v>
      </c>
      <c r="H511" s="4">
        <v>43.69</v>
      </c>
      <c r="I511" t="s">
        <v>23</v>
      </c>
      <c r="J511" s="6">
        <v>2</v>
      </c>
      <c r="K511" s="6">
        <v>3</v>
      </c>
      <c r="L511" t="s">
        <v>24</v>
      </c>
      <c r="M511" s="2">
        <v>44862</v>
      </c>
    </row>
    <row r="512" spans="1:13" x14ac:dyDescent="0.25">
      <c r="A512" t="s">
        <v>541</v>
      </c>
      <c r="B512" t="s">
        <v>26</v>
      </c>
      <c r="C512" s="6">
        <v>49</v>
      </c>
      <c r="D512" t="s">
        <v>21</v>
      </c>
      <c r="E512" t="s">
        <v>16</v>
      </c>
      <c r="F512" t="s">
        <v>28</v>
      </c>
      <c r="G512" s="6">
        <v>15</v>
      </c>
      <c r="H512" s="4">
        <v>60.27</v>
      </c>
      <c r="I512" t="s">
        <v>23</v>
      </c>
      <c r="J512" s="6">
        <v>2</v>
      </c>
      <c r="K512" s="6">
        <v>3</v>
      </c>
      <c r="L512" t="s">
        <v>24</v>
      </c>
      <c r="M512" s="2">
        <v>45434</v>
      </c>
    </row>
    <row r="513" spans="1:13" x14ac:dyDescent="0.25">
      <c r="A513" t="s">
        <v>542</v>
      </c>
      <c r="B513" t="s">
        <v>14</v>
      </c>
      <c r="C513" s="6">
        <v>50</v>
      </c>
      <c r="D513" t="s">
        <v>21</v>
      </c>
      <c r="E513" t="s">
        <v>35</v>
      </c>
      <c r="F513" t="s">
        <v>38</v>
      </c>
      <c r="G513" s="6">
        <v>14</v>
      </c>
      <c r="H513" s="4">
        <v>89.89</v>
      </c>
      <c r="I513" t="s">
        <v>18</v>
      </c>
      <c r="J513" s="6">
        <v>4</v>
      </c>
      <c r="K513" s="6">
        <v>5</v>
      </c>
      <c r="L513" t="s">
        <v>24</v>
      </c>
      <c r="M513" s="2">
        <v>45406</v>
      </c>
    </row>
    <row r="514" spans="1:13" x14ac:dyDescent="0.25">
      <c r="A514" t="s">
        <v>543</v>
      </c>
      <c r="B514" t="s">
        <v>26</v>
      </c>
      <c r="C514" s="6">
        <v>33</v>
      </c>
      <c r="D514" t="s">
        <v>30</v>
      </c>
      <c r="E514" t="s">
        <v>22</v>
      </c>
      <c r="F514" t="s">
        <v>17</v>
      </c>
      <c r="G514" s="6">
        <v>62</v>
      </c>
      <c r="H514" s="4">
        <v>35.76</v>
      </c>
      <c r="I514" t="s">
        <v>31</v>
      </c>
      <c r="J514" s="6">
        <v>3</v>
      </c>
      <c r="K514" s="6">
        <v>5</v>
      </c>
      <c r="L514" t="s">
        <v>24</v>
      </c>
      <c r="M514" s="2">
        <v>45088</v>
      </c>
    </row>
    <row r="515" spans="1:13" x14ac:dyDescent="0.25">
      <c r="A515" t="s">
        <v>544</v>
      </c>
      <c r="B515" t="s">
        <v>26</v>
      </c>
      <c r="C515" s="6">
        <v>52</v>
      </c>
      <c r="D515" t="s">
        <v>30</v>
      </c>
      <c r="E515" t="s">
        <v>16</v>
      </c>
      <c r="F515" t="s">
        <v>38</v>
      </c>
      <c r="G515" s="6">
        <v>10</v>
      </c>
      <c r="H515" s="4">
        <v>96.09</v>
      </c>
      <c r="I515" t="s">
        <v>23</v>
      </c>
      <c r="J515" s="6">
        <v>1</v>
      </c>
      <c r="K515" s="6">
        <v>5</v>
      </c>
      <c r="L515" t="s">
        <v>24</v>
      </c>
      <c r="M515" s="2">
        <v>44863</v>
      </c>
    </row>
    <row r="516" spans="1:13" x14ac:dyDescent="0.25">
      <c r="A516" t="s">
        <v>545</v>
      </c>
      <c r="B516" t="s">
        <v>14</v>
      </c>
      <c r="C516" s="6">
        <v>70</v>
      </c>
      <c r="D516" t="s">
        <v>34</v>
      </c>
      <c r="E516" t="s">
        <v>16</v>
      </c>
      <c r="F516" t="s">
        <v>28</v>
      </c>
      <c r="G516" s="6">
        <v>52</v>
      </c>
      <c r="H516" s="4">
        <v>56.04</v>
      </c>
      <c r="I516" t="s">
        <v>18</v>
      </c>
      <c r="J516" s="6">
        <v>6</v>
      </c>
      <c r="K516" s="6">
        <v>3</v>
      </c>
      <c r="L516" t="s">
        <v>24</v>
      </c>
      <c r="M516" s="2">
        <v>45549</v>
      </c>
    </row>
    <row r="517" spans="1:13" x14ac:dyDescent="0.25">
      <c r="A517" t="s">
        <v>546</v>
      </c>
      <c r="B517" t="s">
        <v>14</v>
      </c>
      <c r="C517" s="6">
        <v>23</v>
      </c>
      <c r="D517" t="s">
        <v>30</v>
      </c>
      <c r="E517" t="s">
        <v>16</v>
      </c>
      <c r="F517" t="s">
        <v>38</v>
      </c>
      <c r="G517" s="6">
        <v>1</v>
      </c>
      <c r="H517" s="4">
        <v>96.36</v>
      </c>
      <c r="I517" t="s">
        <v>46</v>
      </c>
      <c r="J517" s="6">
        <v>7</v>
      </c>
      <c r="K517" s="6">
        <v>5</v>
      </c>
      <c r="L517" t="s">
        <v>19</v>
      </c>
      <c r="M517" s="2">
        <v>45457</v>
      </c>
    </row>
    <row r="518" spans="1:13" x14ac:dyDescent="0.25">
      <c r="A518" t="s">
        <v>547</v>
      </c>
      <c r="B518" t="s">
        <v>26</v>
      </c>
      <c r="C518" s="6">
        <v>30</v>
      </c>
      <c r="D518" t="s">
        <v>30</v>
      </c>
      <c r="E518" t="s">
        <v>22</v>
      </c>
      <c r="F518" t="s">
        <v>28</v>
      </c>
      <c r="G518" s="6">
        <v>39</v>
      </c>
      <c r="H518" s="4">
        <v>63.55</v>
      </c>
      <c r="I518" t="s">
        <v>31</v>
      </c>
      <c r="J518" s="6">
        <v>6</v>
      </c>
      <c r="K518" s="6">
        <v>3</v>
      </c>
      <c r="L518" t="s">
        <v>24</v>
      </c>
      <c r="M518" s="2">
        <v>45390</v>
      </c>
    </row>
    <row r="519" spans="1:13" x14ac:dyDescent="0.25">
      <c r="A519" t="s">
        <v>548</v>
      </c>
      <c r="B519" t="s">
        <v>14</v>
      </c>
      <c r="C519" s="6">
        <v>57</v>
      </c>
      <c r="D519" t="s">
        <v>34</v>
      </c>
      <c r="E519" t="s">
        <v>16</v>
      </c>
      <c r="F519" t="s">
        <v>28</v>
      </c>
      <c r="G519" s="6">
        <v>8</v>
      </c>
      <c r="H519" s="4">
        <v>60.54</v>
      </c>
      <c r="I519" t="s">
        <v>18</v>
      </c>
      <c r="J519" s="6">
        <v>0</v>
      </c>
      <c r="K519" s="6">
        <v>5</v>
      </c>
      <c r="L519" t="s">
        <v>24</v>
      </c>
      <c r="M519" s="2">
        <v>44932</v>
      </c>
    </row>
    <row r="520" spans="1:13" x14ac:dyDescent="0.25">
      <c r="A520" t="s">
        <v>549</v>
      </c>
      <c r="B520" t="s">
        <v>14</v>
      </c>
      <c r="C520" s="6">
        <v>36</v>
      </c>
      <c r="D520" t="s">
        <v>21</v>
      </c>
      <c r="E520" t="s">
        <v>16</v>
      </c>
      <c r="F520" t="s">
        <v>28</v>
      </c>
      <c r="G520" s="6">
        <v>51</v>
      </c>
      <c r="H520" s="4">
        <v>64.38</v>
      </c>
      <c r="I520" t="s">
        <v>23</v>
      </c>
      <c r="J520" s="6">
        <v>6</v>
      </c>
      <c r="K520" s="6">
        <v>4</v>
      </c>
      <c r="L520" t="s">
        <v>24</v>
      </c>
      <c r="M520" s="2">
        <v>44629</v>
      </c>
    </row>
    <row r="521" spans="1:13" x14ac:dyDescent="0.25">
      <c r="A521" t="s">
        <v>550</v>
      </c>
      <c r="B521" t="s">
        <v>14</v>
      </c>
      <c r="C521" s="6">
        <v>48</v>
      </c>
      <c r="D521" t="s">
        <v>30</v>
      </c>
      <c r="E521" t="s">
        <v>16</v>
      </c>
      <c r="F521" t="s">
        <v>38</v>
      </c>
      <c r="G521" s="6">
        <v>50</v>
      </c>
      <c r="H521" s="4">
        <v>97.65</v>
      </c>
      <c r="I521" t="s">
        <v>31</v>
      </c>
      <c r="J521" s="6">
        <v>6</v>
      </c>
      <c r="K521" s="6">
        <v>2</v>
      </c>
      <c r="L521" t="s">
        <v>19</v>
      </c>
      <c r="M521" s="2">
        <v>45984</v>
      </c>
    </row>
    <row r="522" spans="1:13" x14ac:dyDescent="0.25">
      <c r="A522" t="s">
        <v>551</v>
      </c>
      <c r="B522" t="s">
        <v>14</v>
      </c>
      <c r="C522" s="6">
        <v>26</v>
      </c>
      <c r="D522" t="s">
        <v>21</v>
      </c>
      <c r="E522" t="s">
        <v>16</v>
      </c>
      <c r="F522" t="s">
        <v>38</v>
      </c>
      <c r="G522" s="6">
        <v>3</v>
      </c>
      <c r="H522" s="4">
        <v>87.16</v>
      </c>
      <c r="I522" t="s">
        <v>23</v>
      </c>
      <c r="J522" s="6">
        <v>6</v>
      </c>
      <c r="K522" s="6">
        <v>2</v>
      </c>
      <c r="L522" t="s">
        <v>19</v>
      </c>
      <c r="M522" s="2">
        <v>45512</v>
      </c>
    </row>
    <row r="523" spans="1:13" x14ac:dyDescent="0.25">
      <c r="A523" t="s">
        <v>552</v>
      </c>
      <c r="B523" t="s">
        <v>26</v>
      </c>
      <c r="C523" s="6">
        <v>47</v>
      </c>
      <c r="D523" t="s">
        <v>34</v>
      </c>
      <c r="E523" t="s">
        <v>22</v>
      </c>
      <c r="F523" t="s">
        <v>17</v>
      </c>
      <c r="G523" s="6">
        <v>59</v>
      </c>
      <c r="H523" s="4">
        <v>37.64</v>
      </c>
      <c r="I523" t="s">
        <v>23</v>
      </c>
      <c r="J523" s="6">
        <v>6</v>
      </c>
      <c r="K523" s="6">
        <v>3</v>
      </c>
      <c r="L523" t="s">
        <v>24</v>
      </c>
      <c r="M523" s="2">
        <v>45066</v>
      </c>
    </row>
    <row r="524" spans="1:13" x14ac:dyDescent="0.25">
      <c r="A524" t="s">
        <v>553</v>
      </c>
      <c r="B524" t="s">
        <v>14</v>
      </c>
      <c r="C524" s="6">
        <v>54</v>
      </c>
      <c r="D524" t="s">
        <v>34</v>
      </c>
      <c r="E524" t="s">
        <v>22</v>
      </c>
      <c r="F524" t="s">
        <v>17</v>
      </c>
      <c r="G524" s="6">
        <v>65</v>
      </c>
      <c r="H524" s="4">
        <v>34.04</v>
      </c>
      <c r="I524" t="s">
        <v>31</v>
      </c>
      <c r="J524" s="6">
        <v>0</v>
      </c>
      <c r="K524" s="6">
        <v>1</v>
      </c>
      <c r="L524" t="s">
        <v>24</v>
      </c>
      <c r="M524" s="2">
        <v>45640</v>
      </c>
    </row>
    <row r="525" spans="1:13" x14ac:dyDescent="0.25">
      <c r="A525" t="s">
        <v>554</v>
      </c>
      <c r="B525" t="s">
        <v>26</v>
      </c>
      <c r="C525" s="6">
        <v>25</v>
      </c>
      <c r="D525" t="s">
        <v>34</v>
      </c>
      <c r="E525" t="s">
        <v>22</v>
      </c>
      <c r="F525" t="s">
        <v>17</v>
      </c>
      <c r="G525" s="6">
        <v>19</v>
      </c>
      <c r="H525" s="4">
        <v>40.950000000000003</v>
      </c>
      <c r="I525" t="s">
        <v>31</v>
      </c>
      <c r="J525" s="6">
        <v>7</v>
      </c>
      <c r="K525" s="6">
        <v>5</v>
      </c>
      <c r="L525" t="s">
        <v>19</v>
      </c>
      <c r="M525" s="2">
        <v>45446</v>
      </c>
    </row>
    <row r="526" spans="1:13" x14ac:dyDescent="0.25">
      <c r="A526" t="s">
        <v>555</v>
      </c>
      <c r="B526" t="s">
        <v>14</v>
      </c>
      <c r="C526" s="6">
        <v>33</v>
      </c>
      <c r="D526" t="s">
        <v>34</v>
      </c>
      <c r="E526" t="s">
        <v>22</v>
      </c>
      <c r="F526" t="s">
        <v>38</v>
      </c>
      <c r="G526" s="6">
        <v>10</v>
      </c>
      <c r="H526" s="4">
        <v>95.26</v>
      </c>
      <c r="I526" t="s">
        <v>31</v>
      </c>
      <c r="J526" s="6">
        <v>0</v>
      </c>
      <c r="K526" s="6">
        <v>3</v>
      </c>
      <c r="L526" t="s">
        <v>24</v>
      </c>
      <c r="M526" s="2">
        <v>44219</v>
      </c>
    </row>
    <row r="527" spans="1:13" x14ac:dyDescent="0.25">
      <c r="A527" t="s">
        <v>556</v>
      </c>
      <c r="B527" t="s">
        <v>26</v>
      </c>
      <c r="C527" s="6">
        <v>47</v>
      </c>
      <c r="D527" t="s">
        <v>34</v>
      </c>
      <c r="E527" t="s">
        <v>22</v>
      </c>
      <c r="F527" t="s">
        <v>38</v>
      </c>
      <c r="G527" s="6">
        <v>43</v>
      </c>
      <c r="H527" s="4">
        <v>91.32</v>
      </c>
      <c r="I527" t="s">
        <v>31</v>
      </c>
      <c r="J527" s="6">
        <v>4</v>
      </c>
      <c r="K527" s="6">
        <v>2</v>
      </c>
      <c r="L527" t="s">
        <v>19</v>
      </c>
      <c r="M527" s="2">
        <v>45420</v>
      </c>
    </row>
    <row r="528" spans="1:13" x14ac:dyDescent="0.25">
      <c r="A528" t="s">
        <v>557</v>
      </c>
      <c r="B528" t="s">
        <v>26</v>
      </c>
      <c r="C528" s="6">
        <v>64</v>
      </c>
      <c r="D528" t="s">
        <v>15</v>
      </c>
      <c r="E528" t="s">
        <v>16</v>
      </c>
      <c r="F528" t="s">
        <v>38</v>
      </c>
      <c r="G528" s="6">
        <v>61</v>
      </c>
      <c r="H528" s="4">
        <v>93.67</v>
      </c>
      <c r="I528" t="s">
        <v>18</v>
      </c>
      <c r="J528" s="6">
        <v>4</v>
      </c>
      <c r="K528" s="6">
        <v>5</v>
      </c>
      <c r="L528" t="s">
        <v>19</v>
      </c>
      <c r="M528" s="2">
        <v>45189</v>
      </c>
    </row>
    <row r="529" spans="1:13" x14ac:dyDescent="0.25">
      <c r="A529" t="s">
        <v>558</v>
      </c>
      <c r="B529" t="s">
        <v>14</v>
      </c>
      <c r="C529" s="6">
        <v>26</v>
      </c>
      <c r="D529" t="s">
        <v>21</v>
      </c>
      <c r="E529" t="s">
        <v>35</v>
      </c>
      <c r="F529" t="s">
        <v>28</v>
      </c>
      <c r="G529" s="6">
        <v>17</v>
      </c>
      <c r="H529" s="4">
        <v>64.239999999999995</v>
      </c>
      <c r="I529" t="s">
        <v>31</v>
      </c>
      <c r="J529" s="6">
        <v>4</v>
      </c>
      <c r="K529" s="6">
        <v>1</v>
      </c>
      <c r="L529" t="s">
        <v>24</v>
      </c>
      <c r="M529" s="2">
        <v>45433</v>
      </c>
    </row>
    <row r="530" spans="1:13" x14ac:dyDescent="0.25">
      <c r="A530" t="s">
        <v>559</v>
      </c>
      <c r="B530" t="s">
        <v>14</v>
      </c>
      <c r="C530" s="6">
        <v>55</v>
      </c>
      <c r="D530" t="s">
        <v>30</v>
      </c>
      <c r="E530" t="s">
        <v>22</v>
      </c>
      <c r="F530" t="s">
        <v>28</v>
      </c>
      <c r="G530" s="6">
        <v>48</v>
      </c>
      <c r="H530" s="4">
        <v>67.12</v>
      </c>
      <c r="I530" t="s">
        <v>31</v>
      </c>
      <c r="J530" s="6">
        <v>3</v>
      </c>
      <c r="K530" s="6">
        <v>4</v>
      </c>
      <c r="L530" t="s">
        <v>24</v>
      </c>
      <c r="M530" s="2">
        <v>45277</v>
      </c>
    </row>
    <row r="531" spans="1:13" x14ac:dyDescent="0.25">
      <c r="A531" t="s">
        <v>560</v>
      </c>
      <c r="B531" t="s">
        <v>14</v>
      </c>
      <c r="C531" s="6">
        <v>39</v>
      </c>
      <c r="D531" t="s">
        <v>21</v>
      </c>
      <c r="E531" t="s">
        <v>16</v>
      </c>
      <c r="F531" t="s">
        <v>38</v>
      </c>
      <c r="G531" s="6">
        <v>20</v>
      </c>
      <c r="H531" s="4">
        <v>97.56</v>
      </c>
      <c r="I531" t="s">
        <v>23</v>
      </c>
      <c r="J531" s="6">
        <v>6</v>
      </c>
      <c r="K531" s="6">
        <v>2</v>
      </c>
      <c r="L531" t="s">
        <v>24</v>
      </c>
      <c r="M531" s="2">
        <v>45683</v>
      </c>
    </row>
    <row r="532" spans="1:13" x14ac:dyDescent="0.25">
      <c r="A532" t="s">
        <v>561</v>
      </c>
      <c r="B532" t="s">
        <v>14</v>
      </c>
      <c r="C532" s="6">
        <v>31</v>
      </c>
      <c r="D532" t="s">
        <v>15</v>
      </c>
      <c r="E532" t="s">
        <v>16</v>
      </c>
      <c r="F532" t="s">
        <v>38</v>
      </c>
      <c r="G532" s="6">
        <v>34</v>
      </c>
      <c r="H532" s="4">
        <v>96.33</v>
      </c>
      <c r="I532" t="s">
        <v>18</v>
      </c>
      <c r="J532" s="6">
        <v>0</v>
      </c>
      <c r="K532" s="6">
        <v>2</v>
      </c>
      <c r="L532" t="s">
        <v>24</v>
      </c>
      <c r="M532" s="2">
        <v>45172</v>
      </c>
    </row>
    <row r="533" spans="1:13" x14ac:dyDescent="0.25">
      <c r="A533" t="s">
        <v>562</v>
      </c>
      <c r="B533" t="s">
        <v>26</v>
      </c>
      <c r="C533" s="6">
        <v>48</v>
      </c>
      <c r="D533" t="s">
        <v>30</v>
      </c>
      <c r="E533" t="s">
        <v>35</v>
      </c>
      <c r="F533" t="s">
        <v>38</v>
      </c>
      <c r="G533" s="6">
        <v>50</v>
      </c>
      <c r="H533" s="4">
        <v>92.12</v>
      </c>
      <c r="I533" t="s">
        <v>46</v>
      </c>
      <c r="J533" s="6">
        <v>8</v>
      </c>
      <c r="K533" s="6">
        <v>4</v>
      </c>
      <c r="L533" t="s">
        <v>19</v>
      </c>
      <c r="M533" s="2">
        <v>45829</v>
      </c>
    </row>
    <row r="534" spans="1:13" x14ac:dyDescent="0.25">
      <c r="A534" t="s">
        <v>563</v>
      </c>
      <c r="B534" t="s">
        <v>26</v>
      </c>
      <c r="C534" s="6">
        <v>42</v>
      </c>
      <c r="D534" t="s">
        <v>15</v>
      </c>
      <c r="E534" t="s">
        <v>22</v>
      </c>
      <c r="F534" t="s">
        <v>38</v>
      </c>
      <c r="G534" s="6">
        <v>6</v>
      </c>
      <c r="H534" s="4">
        <v>86.46</v>
      </c>
      <c r="I534" t="s">
        <v>31</v>
      </c>
      <c r="J534" s="6">
        <v>6</v>
      </c>
      <c r="K534" s="6">
        <v>5</v>
      </c>
      <c r="L534" t="s">
        <v>24</v>
      </c>
      <c r="M534" s="2">
        <v>45954</v>
      </c>
    </row>
    <row r="535" spans="1:13" x14ac:dyDescent="0.25">
      <c r="A535" t="s">
        <v>564</v>
      </c>
      <c r="B535" t="s">
        <v>26</v>
      </c>
      <c r="C535" s="6">
        <v>39</v>
      </c>
      <c r="D535" t="s">
        <v>15</v>
      </c>
      <c r="E535" t="s">
        <v>35</v>
      </c>
      <c r="F535" t="s">
        <v>17</v>
      </c>
      <c r="G535" s="6">
        <v>33</v>
      </c>
      <c r="H535" s="4">
        <v>39.82</v>
      </c>
      <c r="I535" t="s">
        <v>23</v>
      </c>
      <c r="J535" s="6">
        <v>7</v>
      </c>
      <c r="K535" s="6">
        <v>2</v>
      </c>
      <c r="L535" t="s">
        <v>24</v>
      </c>
      <c r="M535" s="2">
        <v>45402</v>
      </c>
    </row>
    <row r="536" spans="1:13" x14ac:dyDescent="0.25">
      <c r="A536" t="s">
        <v>565</v>
      </c>
      <c r="B536" t="s">
        <v>14</v>
      </c>
      <c r="C536" s="6">
        <v>51</v>
      </c>
      <c r="D536" t="s">
        <v>15</v>
      </c>
      <c r="E536" t="s">
        <v>22</v>
      </c>
      <c r="F536" t="s">
        <v>38</v>
      </c>
      <c r="G536" s="6">
        <v>24</v>
      </c>
      <c r="H536" s="4">
        <v>89.7</v>
      </c>
      <c r="I536" t="s">
        <v>18</v>
      </c>
      <c r="J536" s="6">
        <v>0</v>
      </c>
      <c r="K536" s="6">
        <v>1</v>
      </c>
      <c r="L536" t="s">
        <v>19</v>
      </c>
      <c r="M536" s="2">
        <v>44397</v>
      </c>
    </row>
    <row r="537" spans="1:13" x14ac:dyDescent="0.25">
      <c r="A537" t="s">
        <v>566</v>
      </c>
      <c r="B537" t="s">
        <v>14</v>
      </c>
      <c r="C537" s="6">
        <v>61</v>
      </c>
      <c r="D537" t="s">
        <v>34</v>
      </c>
      <c r="E537" t="s">
        <v>35</v>
      </c>
      <c r="F537" t="s">
        <v>17</v>
      </c>
      <c r="G537" s="6">
        <v>37</v>
      </c>
      <c r="H537" s="4">
        <v>33.78</v>
      </c>
      <c r="I537" t="s">
        <v>18</v>
      </c>
      <c r="J537" s="6">
        <v>0</v>
      </c>
      <c r="K537" s="6">
        <v>5</v>
      </c>
      <c r="L537" t="s">
        <v>19</v>
      </c>
      <c r="M537" s="2">
        <v>45413</v>
      </c>
    </row>
    <row r="538" spans="1:13" x14ac:dyDescent="0.25">
      <c r="A538" t="s">
        <v>567</v>
      </c>
      <c r="B538" t="s">
        <v>14</v>
      </c>
      <c r="C538" s="6">
        <v>56</v>
      </c>
      <c r="D538" t="s">
        <v>21</v>
      </c>
      <c r="E538" t="s">
        <v>22</v>
      </c>
      <c r="F538" t="s">
        <v>17</v>
      </c>
      <c r="G538" s="6">
        <v>12</v>
      </c>
      <c r="H538" s="4">
        <v>42.85</v>
      </c>
      <c r="I538" t="s">
        <v>46</v>
      </c>
      <c r="J538" s="6">
        <v>6</v>
      </c>
      <c r="K538" s="6">
        <v>5</v>
      </c>
      <c r="L538" t="s">
        <v>24</v>
      </c>
      <c r="M538" s="2">
        <v>44575</v>
      </c>
    </row>
    <row r="539" spans="1:13" x14ac:dyDescent="0.25">
      <c r="A539" t="s">
        <v>568</v>
      </c>
      <c r="B539" t="s">
        <v>14</v>
      </c>
      <c r="C539" s="6">
        <v>62</v>
      </c>
      <c r="D539" t="s">
        <v>30</v>
      </c>
      <c r="E539" t="s">
        <v>35</v>
      </c>
      <c r="F539" t="s">
        <v>28</v>
      </c>
      <c r="G539" s="6">
        <v>60</v>
      </c>
      <c r="H539" s="4">
        <v>64.91</v>
      </c>
      <c r="I539" t="s">
        <v>18</v>
      </c>
      <c r="J539" s="6">
        <v>7</v>
      </c>
      <c r="K539" s="6">
        <v>3</v>
      </c>
      <c r="L539" t="s">
        <v>24</v>
      </c>
      <c r="M539" s="2">
        <v>45614</v>
      </c>
    </row>
    <row r="540" spans="1:13" x14ac:dyDescent="0.25">
      <c r="A540" t="s">
        <v>569</v>
      </c>
      <c r="B540" t="s">
        <v>26</v>
      </c>
      <c r="C540" s="6">
        <v>34</v>
      </c>
      <c r="D540" t="s">
        <v>30</v>
      </c>
      <c r="E540" t="s">
        <v>16</v>
      </c>
      <c r="F540" t="s">
        <v>28</v>
      </c>
      <c r="G540" s="6">
        <v>8</v>
      </c>
      <c r="H540" s="4">
        <v>60.74</v>
      </c>
      <c r="I540" t="s">
        <v>31</v>
      </c>
      <c r="J540" s="6">
        <v>0</v>
      </c>
      <c r="K540" s="6">
        <v>3</v>
      </c>
      <c r="L540" t="s">
        <v>24</v>
      </c>
      <c r="M540" s="2">
        <v>44739</v>
      </c>
    </row>
    <row r="541" spans="1:13" x14ac:dyDescent="0.25">
      <c r="A541" t="s">
        <v>570</v>
      </c>
      <c r="B541" t="s">
        <v>14</v>
      </c>
      <c r="C541" s="6">
        <v>46</v>
      </c>
      <c r="D541" t="s">
        <v>21</v>
      </c>
      <c r="E541" t="s">
        <v>35</v>
      </c>
      <c r="F541" t="s">
        <v>17</v>
      </c>
      <c r="G541" s="6">
        <v>51</v>
      </c>
      <c r="H541" s="4">
        <v>32.68</v>
      </c>
      <c r="I541" t="s">
        <v>23</v>
      </c>
      <c r="J541" s="6">
        <v>1</v>
      </c>
      <c r="K541" s="6">
        <v>2</v>
      </c>
      <c r="L541" t="s">
        <v>24</v>
      </c>
      <c r="M541" s="2">
        <v>45080</v>
      </c>
    </row>
    <row r="542" spans="1:13" x14ac:dyDescent="0.25">
      <c r="A542" t="s">
        <v>571</v>
      </c>
      <c r="B542" t="s">
        <v>14</v>
      </c>
      <c r="C542" s="6">
        <v>57</v>
      </c>
      <c r="D542" t="s">
        <v>21</v>
      </c>
      <c r="E542" t="s">
        <v>35</v>
      </c>
      <c r="F542" t="s">
        <v>38</v>
      </c>
      <c r="G542" s="6">
        <v>34</v>
      </c>
      <c r="H542" s="4">
        <v>86.55</v>
      </c>
      <c r="I542" t="s">
        <v>18</v>
      </c>
      <c r="J542" s="6">
        <v>1</v>
      </c>
      <c r="K542" s="6">
        <v>5</v>
      </c>
      <c r="L542" t="s">
        <v>24</v>
      </c>
      <c r="M542" s="2">
        <v>45788</v>
      </c>
    </row>
    <row r="543" spans="1:13" x14ac:dyDescent="0.25">
      <c r="A543" t="s">
        <v>572</v>
      </c>
      <c r="B543" t="s">
        <v>26</v>
      </c>
      <c r="C543" s="6">
        <v>19</v>
      </c>
      <c r="D543" t="s">
        <v>34</v>
      </c>
      <c r="E543" t="s">
        <v>16</v>
      </c>
      <c r="F543" t="s">
        <v>38</v>
      </c>
      <c r="G543" s="6">
        <v>1</v>
      </c>
      <c r="H543" s="4">
        <v>98.99</v>
      </c>
      <c r="I543" t="s">
        <v>23</v>
      </c>
      <c r="J543" s="6">
        <v>4</v>
      </c>
      <c r="K543" s="6">
        <v>2</v>
      </c>
      <c r="L543" t="s">
        <v>24</v>
      </c>
      <c r="M543" s="2">
        <v>44998</v>
      </c>
    </row>
    <row r="544" spans="1:13" x14ac:dyDescent="0.25">
      <c r="A544" t="s">
        <v>573</v>
      </c>
      <c r="B544" t="s">
        <v>14</v>
      </c>
      <c r="C544" s="6">
        <v>50</v>
      </c>
      <c r="D544" t="s">
        <v>34</v>
      </c>
      <c r="E544" t="s">
        <v>35</v>
      </c>
      <c r="F544" t="s">
        <v>28</v>
      </c>
      <c r="G544" s="6">
        <v>52</v>
      </c>
      <c r="H544" s="4">
        <v>67.66</v>
      </c>
      <c r="I544" t="s">
        <v>18</v>
      </c>
      <c r="J544" s="6">
        <v>8</v>
      </c>
      <c r="K544" s="6">
        <v>2</v>
      </c>
      <c r="L544" t="s">
        <v>19</v>
      </c>
      <c r="M544" s="2">
        <v>45608</v>
      </c>
    </row>
    <row r="545" spans="1:13" x14ac:dyDescent="0.25">
      <c r="A545" t="s">
        <v>574</v>
      </c>
      <c r="B545" t="s">
        <v>26</v>
      </c>
      <c r="C545" s="6">
        <v>25</v>
      </c>
      <c r="D545" t="s">
        <v>15</v>
      </c>
      <c r="E545" t="s">
        <v>35</v>
      </c>
      <c r="F545" t="s">
        <v>38</v>
      </c>
      <c r="G545" s="6">
        <v>39</v>
      </c>
      <c r="H545" s="4">
        <v>91.01</v>
      </c>
      <c r="I545" t="s">
        <v>18</v>
      </c>
      <c r="J545" s="6">
        <v>5</v>
      </c>
      <c r="K545" s="6">
        <v>5</v>
      </c>
      <c r="L545" t="s">
        <v>24</v>
      </c>
      <c r="M545" s="2">
        <v>44893</v>
      </c>
    </row>
    <row r="546" spans="1:13" x14ac:dyDescent="0.25">
      <c r="A546" t="s">
        <v>575</v>
      </c>
      <c r="B546" t="s">
        <v>14</v>
      </c>
      <c r="C546" s="6">
        <v>47</v>
      </c>
      <c r="D546" t="s">
        <v>15</v>
      </c>
      <c r="E546" t="s">
        <v>22</v>
      </c>
      <c r="F546" t="s">
        <v>17</v>
      </c>
      <c r="G546" s="6">
        <v>23</v>
      </c>
      <c r="H546" s="4">
        <v>38.32</v>
      </c>
      <c r="I546" t="s">
        <v>23</v>
      </c>
      <c r="J546" s="6">
        <v>3</v>
      </c>
      <c r="K546" s="6">
        <v>3</v>
      </c>
      <c r="L546" t="s">
        <v>24</v>
      </c>
      <c r="M546" s="2">
        <v>44415</v>
      </c>
    </row>
    <row r="547" spans="1:13" x14ac:dyDescent="0.25">
      <c r="A547" t="s">
        <v>576</v>
      </c>
      <c r="B547" t="s">
        <v>26</v>
      </c>
      <c r="C547" s="6">
        <v>49</v>
      </c>
      <c r="D547" t="s">
        <v>21</v>
      </c>
      <c r="E547" t="s">
        <v>22</v>
      </c>
      <c r="F547" t="s">
        <v>28</v>
      </c>
      <c r="G547" s="6">
        <v>25</v>
      </c>
      <c r="H547" s="4">
        <v>57.1</v>
      </c>
      <c r="I547" t="s">
        <v>46</v>
      </c>
      <c r="J547" s="6">
        <v>0</v>
      </c>
      <c r="K547" s="6">
        <v>5</v>
      </c>
      <c r="L547" t="s">
        <v>24</v>
      </c>
      <c r="M547" s="2">
        <v>44993</v>
      </c>
    </row>
    <row r="548" spans="1:13" x14ac:dyDescent="0.25">
      <c r="A548" t="s">
        <v>577</v>
      </c>
      <c r="B548" t="s">
        <v>14</v>
      </c>
      <c r="C548" s="6">
        <v>68</v>
      </c>
      <c r="D548" t="s">
        <v>15</v>
      </c>
      <c r="E548" t="s">
        <v>35</v>
      </c>
      <c r="F548" t="s">
        <v>38</v>
      </c>
      <c r="G548" s="6">
        <v>58</v>
      </c>
      <c r="H548" s="4">
        <v>99.5</v>
      </c>
      <c r="I548" t="s">
        <v>18</v>
      </c>
      <c r="J548" s="6">
        <v>0</v>
      </c>
      <c r="K548" s="6">
        <v>3</v>
      </c>
      <c r="L548" t="s">
        <v>19</v>
      </c>
      <c r="M548" s="2">
        <v>45810</v>
      </c>
    </row>
    <row r="549" spans="1:13" x14ac:dyDescent="0.25">
      <c r="A549" t="s">
        <v>578</v>
      </c>
      <c r="B549" t="s">
        <v>14</v>
      </c>
      <c r="C549" s="6">
        <v>43</v>
      </c>
      <c r="D549" t="s">
        <v>21</v>
      </c>
      <c r="E549" t="s">
        <v>16</v>
      </c>
      <c r="F549" t="s">
        <v>38</v>
      </c>
      <c r="G549" s="6">
        <v>67</v>
      </c>
      <c r="H549" s="4">
        <v>91.88</v>
      </c>
      <c r="I549" t="s">
        <v>46</v>
      </c>
      <c r="J549" s="6">
        <v>3</v>
      </c>
      <c r="K549" s="6">
        <v>1</v>
      </c>
      <c r="L549" t="s">
        <v>19</v>
      </c>
      <c r="M549" s="2">
        <v>44486</v>
      </c>
    </row>
    <row r="550" spans="1:13" x14ac:dyDescent="0.25">
      <c r="A550" t="s">
        <v>579</v>
      </c>
      <c r="B550" t="s">
        <v>26</v>
      </c>
      <c r="C550" s="6">
        <v>59</v>
      </c>
      <c r="D550" t="s">
        <v>21</v>
      </c>
      <c r="E550" t="s">
        <v>35</v>
      </c>
      <c r="F550" t="s">
        <v>38</v>
      </c>
      <c r="G550" s="6">
        <v>6</v>
      </c>
      <c r="H550" s="4">
        <v>88.64</v>
      </c>
      <c r="I550" t="s">
        <v>46</v>
      </c>
      <c r="J550" s="6">
        <v>0</v>
      </c>
      <c r="K550" s="6">
        <v>2</v>
      </c>
      <c r="L550" t="s">
        <v>24</v>
      </c>
      <c r="M550" s="2">
        <v>44826</v>
      </c>
    </row>
    <row r="551" spans="1:13" x14ac:dyDescent="0.25">
      <c r="A551" t="s">
        <v>580</v>
      </c>
      <c r="B551" t="s">
        <v>14</v>
      </c>
      <c r="C551" s="6">
        <v>47</v>
      </c>
      <c r="D551" t="s">
        <v>30</v>
      </c>
      <c r="E551" t="s">
        <v>22</v>
      </c>
      <c r="F551" t="s">
        <v>17</v>
      </c>
      <c r="G551" s="6">
        <v>14</v>
      </c>
      <c r="H551" s="4">
        <v>31.71</v>
      </c>
      <c r="I551" t="s">
        <v>46</v>
      </c>
      <c r="J551" s="6">
        <v>1</v>
      </c>
      <c r="K551" s="6">
        <v>2</v>
      </c>
      <c r="L551" t="s">
        <v>24</v>
      </c>
      <c r="M551" s="2">
        <v>45858</v>
      </c>
    </row>
    <row r="552" spans="1:13" x14ac:dyDescent="0.25">
      <c r="A552" t="s">
        <v>581</v>
      </c>
      <c r="B552" t="s">
        <v>26</v>
      </c>
      <c r="C552" s="6">
        <v>38</v>
      </c>
      <c r="D552" t="s">
        <v>21</v>
      </c>
      <c r="E552" t="s">
        <v>22</v>
      </c>
      <c r="F552" t="s">
        <v>38</v>
      </c>
      <c r="G552" s="6">
        <v>70</v>
      </c>
      <c r="H552" s="4">
        <v>87.06</v>
      </c>
      <c r="I552" t="s">
        <v>46</v>
      </c>
      <c r="J552" s="6">
        <v>0</v>
      </c>
      <c r="K552" s="6">
        <v>5</v>
      </c>
      <c r="L552" t="s">
        <v>24</v>
      </c>
      <c r="M552" s="2">
        <v>44326</v>
      </c>
    </row>
    <row r="553" spans="1:13" x14ac:dyDescent="0.25">
      <c r="A553" t="s">
        <v>582</v>
      </c>
      <c r="B553" t="s">
        <v>14</v>
      </c>
      <c r="C553" s="6">
        <v>35</v>
      </c>
      <c r="D553" t="s">
        <v>30</v>
      </c>
      <c r="E553" t="s">
        <v>35</v>
      </c>
      <c r="F553" t="s">
        <v>17</v>
      </c>
      <c r="G553" s="6">
        <v>48</v>
      </c>
      <c r="H553" s="4">
        <v>38.299999999999997</v>
      </c>
      <c r="I553" t="s">
        <v>23</v>
      </c>
      <c r="J553" s="6">
        <v>3</v>
      </c>
      <c r="K553" s="6">
        <v>5</v>
      </c>
      <c r="L553" t="s">
        <v>19</v>
      </c>
      <c r="M553" s="2">
        <v>44401</v>
      </c>
    </row>
    <row r="554" spans="1:13" x14ac:dyDescent="0.25">
      <c r="A554" t="s">
        <v>583</v>
      </c>
      <c r="B554" t="s">
        <v>26</v>
      </c>
      <c r="C554" s="6">
        <v>67</v>
      </c>
      <c r="D554" t="s">
        <v>30</v>
      </c>
      <c r="E554" t="s">
        <v>16</v>
      </c>
      <c r="F554" t="s">
        <v>28</v>
      </c>
      <c r="G554" s="6">
        <v>11</v>
      </c>
      <c r="H554" s="4">
        <v>55.1</v>
      </c>
      <c r="I554" t="s">
        <v>46</v>
      </c>
      <c r="J554" s="6">
        <v>1</v>
      </c>
      <c r="K554" s="6">
        <v>5</v>
      </c>
      <c r="L554" t="s">
        <v>24</v>
      </c>
      <c r="M554" s="2">
        <v>45049</v>
      </c>
    </row>
    <row r="555" spans="1:13" x14ac:dyDescent="0.25">
      <c r="A555" t="s">
        <v>584</v>
      </c>
      <c r="B555" t="s">
        <v>26</v>
      </c>
      <c r="C555" s="6">
        <v>62</v>
      </c>
      <c r="D555" t="s">
        <v>30</v>
      </c>
      <c r="E555" t="s">
        <v>16</v>
      </c>
      <c r="F555" t="s">
        <v>17</v>
      </c>
      <c r="G555" s="6">
        <v>35</v>
      </c>
      <c r="H555" s="4">
        <v>37.85</v>
      </c>
      <c r="I555" t="s">
        <v>23</v>
      </c>
      <c r="J555" s="6">
        <v>3</v>
      </c>
      <c r="K555" s="6">
        <v>2</v>
      </c>
      <c r="L555" t="s">
        <v>24</v>
      </c>
      <c r="M555" s="2">
        <v>44274</v>
      </c>
    </row>
    <row r="556" spans="1:13" x14ac:dyDescent="0.25">
      <c r="A556" t="s">
        <v>585</v>
      </c>
      <c r="B556" t="s">
        <v>14</v>
      </c>
      <c r="C556" s="6">
        <v>63</v>
      </c>
      <c r="D556" t="s">
        <v>34</v>
      </c>
      <c r="E556" t="s">
        <v>22</v>
      </c>
      <c r="F556" t="s">
        <v>17</v>
      </c>
      <c r="G556" s="6">
        <v>39</v>
      </c>
      <c r="H556" s="4">
        <v>35.22</v>
      </c>
      <c r="I556" t="s">
        <v>18</v>
      </c>
      <c r="J556" s="6">
        <v>8</v>
      </c>
      <c r="K556" s="6">
        <v>2</v>
      </c>
      <c r="L556" t="s">
        <v>19</v>
      </c>
      <c r="M556" s="2">
        <v>45282</v>
      </c>
    </row>
    <row r="557" spans="1:13" x14ac:dyDescent="0.25">
      <c r="A557" t="s">
        <v>586</v>
      </c>
      <c r="B557" t="s">
        <v>14</v>
      </c>
      <c r="C557" s="6">
        <v>57</v>
      </c>
      <c r="D557" t="s">
        <v>15</v>
      </c>
      <c r="E557" t="s">
        <v>22</v>
      </c>
      <c r="F557" t="s">
        <v>38</v>
      </c>
      <c r="G557" s="6">
        <v>29</v>
      </c>
      <c r="H557" s="4">
        <v>91.96</v>
      </c>
      <c r="I557" t="s">
        <v>46</v>
      </c>
      <c r="J557" s="6">
        <v>4</v>
      </c>
      <c r="K557" s="6">
        <v>1</v>
      </c>
      <c r="L557" t="s">
        <v>24</v>
      </c>
      <c r="M557" s="2">
        <v>45828</v>
      </c>
    </row>
    <row r="558" spans="1:13" x14ac:dyDescent="0.25">
      <c r="A558" t="s">
        <v>587</v>
      </c>
      <c r="B558" t="s">
        <v>14</v>
      </c>
      <c r="C558" s="6">
        <v>61</v>
      </c>
      <c r="D558" t="s">
        <v>34</v>
      </c>
      <c r="E558" t="s">
        <v>35</v>
      </c>
      <c r="F558" t="s">
        <v>17</v>
      </c>
      <c r="G558" s="6">
        <v>21</v>
      </c>
      <c r="H558" s="4">
        <v>40.049999999999997</v>
      </c>
      <c r="I558" t="s">
        <v>18</v>
      </c>
      <c r="J558" s="6">
        <v>0</v>
      </c>
      <c r="K558" s="6">
        <v>3</v>
      </c>
      <c r="L558" t="s">
        <v>24</v>
      </c>
      <c r="M558" s="2">
        <v>45087</v>
      </c>
    </row>
    <row r="559" spans="1:13" x14ac:dyDescent="0.25">
      <c r="A559" t="s">
        <v>588</v>
      </c>
      <c r="B559" t="s">
        <v>26</v>
      </c>
      <c r="C559" s="6">
        <v>39</v>
      </c>
      <c r="D559" t="s">
        <v>34</v>
      </c>
      <c r="E559" t="s">
        <v>16</v>
      </c>
      <c r="F559" t="s">
        <v>17</v>
      </c>
      <c r="G559" s="6">
        <v>7</v>
      </c>
      <c r="H559" s="4">
        <v>43.87</v>
      </c>
      <c r="I559" t="s">
        <v>46</v>
      </c>
      <c r="J559" s="6">
        <v>2</v>
      </c>
      <c r="K559" s="6">
        <v>1</v>
      </c>
      <c r="L559" t="s">
        <v>24</v>
      </c>
      <c r="M559" s="2">
        <v>44434</v>
      </c>
    </row>
    <row r="560" spans="1:13" x14ac:dyDescent="0.25">
      <c r="A560" t="s">
        <v>589</v>
      </c>
      <c r="B560" t="s">
        <v>14</v>
      </c>
      <c r="C560" s="6">
        <v>33</v>
      </c>
      <c r="D560" t="s">
        <v>34</v>
      </c>
      <c r="E560" t="s">
        <v>22</v>
      </c>
      <c r="F560" t="s">
        <v>38</v>
      </c>
      <c r="G560" s="6">
        <v>42</v>
      </c>
      <c r="H560" s="4">
        <v>91.29</v>
      </c>
      <c r="I560" t="s">
        <v>31</v>
      </c>
      <c r="J560" s="6">
        <v>3</v>
      </c>
      <c r="K560" s="6">
        <v>1</v>
      </c>
      <c r="L560" t="s">
        <v>24</v>
      </c>
      <c r="M560" s="2">
        <v>44397</v>
      </c>
    </row>
    <row r="561" spans="1:13" x14ac:dyDescent="0.25">
      <c r="A561" t="s">
        <v>590</v>
      </c>
      <c r="B561" t="s">
        <v>14</v>
      </c>
      <c r="C561" s="6">
        <v>65</v>
      </c>
      <c r="D561" t="s">
        <v>34</v>
      </c>
      <c r="E561" t="s">
        <v>16</v>
      </c>
      <c r="F561" t="s">
        <v>28</v>
      </c>
      <c r="G561" s="6">
        <v>29</v>
      </c>
      <c r="H561" s="4">
        <v>56.1</v>
      </c>
      <c r="I561" t="s">
        <v>23</v>
      </c>
      <c r="J561" s="6">
        <v>0</v>
      </c>
      <c r="K561" s="6">
        <v>4</v>
      </c>
      <c r="L561" t="s">
        <v>19</v>
      </c>
      <c r="M561" s="2">
        <v>45445</v>
      </c>
    </row>
    <row r="562" spans="1:13" x14ac:dyDescent="0.25">
      <c r="A562" t="s">
        <v>591</v>
      </c>
      <c r="B562" t="s">
        <v>26</v>
      </c>
      <c r="C562" s="6">
        <v>29</v>
      </c>
      <c r="D562" t="s">
        <v>34</v>
      </c>
      <c r="E562" t="s">
        <v>35</v>
      </c>
      <c r="F562" t="s">
        <v>17</v>
      </c>
      <c r="G562" s="6">
        <v>59</v>
      </c>
      <c r="H562" s="4">
        <v>40.799999999999997</v>
      </c>
      <c r="I562" t="s">
        <v>31</v>
      </c>
      <c r="J562" s="6">
        <v>4</v>
      </c>
      <c r="K562" s="6">
        <v>2</v>
      </c>
      <c r="L562" t="s">
        <v>24</v>
      </c>
      <c r="M562" s="2">
        <v>44262</v>
      </c>
    </row>
    <row r="563" spans="1:13" x14ac:dyDescent="0.25">
      <c r="A563" t="s">
        <v>592</v>
      </c>
      <c r="B563" t="s">
        <v>14</v>
      </c>
      <c r="C563" s="6">
        <v>35</v>
      </c>
      <c r="D563" t="s">
        <v>30</v>
      </c>
      <c r="E563" t="s">
        <v>16</v>
      </c>
      <c r="F563" t="s">
        <v>28</v>
      </c>
      <c r="G563" s="6">
        <v>59</v>
      </c>
      <c r="H563" s="4">
        <v>61.27</v>
      </c>
      <c r="I563" t="s">
        <v>31</v>
      </c>
      <c r="J563" s="6">
        <v>3</v>
      </c>
      <c r="K563" s="6">
        <v>3</v>
      </c>
      <c r="L563" t="s">
        <v>24</v>
      </c>
      <c r="M563" s="2">
        <v>45813</v>
      </c>
    </row>
    <row r="564" spans="1:13" x14ac:dyDescent="0.25">
      <c r="A564" t="s">
        <v>593</v>
      </c>
      <c r="B564" t="s">
        <v>14</v>
      </c>
      <c r="C564" s="6">
        <v>54</v>
      </c>
      <c r="D564" t="s">
        <v>30</v>
      </c>
      <c r="E564" t="s">
        <v>16</v>
      </c>
      <c r="F564" t="s">
        <v>28</v>
      </c>
      <c r="G564" s="6">
        <v>67</v>
      </c>
      <c r="H564" s="4">
        <v>62.34</v>
      </c>
      <c r="I564" t="s">
        <v>46</v>
      </c>
      <c r="J564" s="6">
        <v>7</v>
      </c>
      <c r="K564" s="6">
        <v>4</v>
      </c>
      <c r="L564" t="s">
        <v>19</v>
      </c>
      <c r="M564" s="2">
        <v>45692</v>
      </c>
    </row>
    <row r="565" spans="1:13" x14ac:dyDescent="0.25">
      <c r="A565" t="s">
        <v>594</v>
      </c>
      <c r="B565" t="s">
        <v>26</v>
      </c>
      <c r="C565" s="6">
        <v>65</v>
      </c>
      <c r="D565" t="s">
        <v>30</v>
      </c>
      <c r="E565" t="s">
        <v>16</v>
      </c>
      <c r="F565" t="s">
        <v>28</v>
      </c>
      <c r="G565" s="6">
        <v>56</v>
      </c>
      <c r="H565" s="4">
        <v>63.69</v>
      </c>
      <c r="I565" t="s">
        <v>46</v>
      </c>
      <c r="J565" s="6">
        <v>0</v>
      </c>
      <c r="K565" s="6">
        <v>4</v>
      </c>
      <c r="L565" t="s">
        <v>24</v>
      </c>
      <c r="M565" s="2">
        <v>44279</v>
      </c>
    </row>
    <row r="566" spans="1:13" x14ac:dyDescent="0.25">
      <c r="A566" t="s">
        <v>595</v>
      </c>
      <c r="B566" t="s">
        <v>26</v>
      </c>
      <c r="C566" s="6">
        <v>64</v>
      </c>
      <c r="D566" t="s">
        <v>21</v>
      </c>
      <c r="E566" t="s">
        <v>35</v>
      </c>
      <c r="F566" t="s">
        <v>38</v>
      </c>
      <c r="G566" s="6">
        <v>51</v>
      </c>
      <c r="H566" s="4">
        <v>92.19</v>
      </c>
      <c r="I566" t="s">
        <v>18</v>
      </c>
      <c r="J566" s="6">
        <v>7</v>
      </c>
      <c r="K566" s="6">
        <v>4</v>
      </c>
      <c r="L566" t="s">
        <v>24</v>
      </c>
      <c r="M566" s="2">
        <v>45340</v>
      </c>
    </row>
    <row r="567" spans="1:13" x14ac:dyDescent="0.25">
      <c r="A567" t="s">
        <v>596</v>
      </c>
      <c r="B567" t="s">
        <v>14</v>
      </c>
      <c r="C567" s="6">
        <v>62</v>
      </c>
      <c r="D567" t="s">
        <v>34</v>
      </c>
      <c r="E567" t="s">
        <v>16</v>
      </c>
      <c r="F567" t="s">
        <v>17</v>
      </c>
      <c r="G567" s="6">
        <v>46</v>
      </c>
      <c r="H567" s="4">
        <v>34.44</v>
      </c>
      <c r="I567" t="s">
        <v>18</v>
      </c>
      <c r="J567" s="6">
        <v>0</v>
      </c>
      <c r="K567" s="6">
        <v>4</v>
      </c>
      <c r="L567" t="s">
        <v>24</v>
      </c>
      <c r="M567" s="2">
        <v>44528</v>
      </c>
    </row>
    <row r="568" spans="1:13" x14ac:dyDescent="0.25">
      <c r="A568" t="s">
        <v>597</v>
      </c>
      <c r="B568" t="s">
        <v>26</v>
      </c>
      <c r="C568" s="6">
        <v>54</v>
      </c>
      <c r="D568" t="s">
        <v>21</v>
      </c>
      <c r="E568" t="s">
        <v>35</v>
      </c>
      <c r="F568" t="s">
        <v>28</v>
      </c>
      <c r="G568" s="6">
        <v>18</v>
      </c>
      <c r="H568" s="4">
        <v>68.11</v>
      </c>
      <c r="I568" t="s">
        <v>23</v>
      </c>
      <c r="J568" s="6">
        <v>2</v>
      </c>
      <c r="K568" s="6">
        <v>3</v>
      </c>
      <c r="L568" t="s">
        <v>24</v>
      </c>
      <c r="M568" s="2">
        <v>45638</v>
      </c>
    </row>
    <row r="569" spans="1:13" x14ac:dyDescent="0.25">
      <c r="A569" t="s">
        <v>598</v>
      </c>
      <c r="B569" t="s">
        <v>14</v>
      </c>
      <c r="C569" s="6">
        <v>58</v>
      </c>
      <c r="D569" t="s">
        <v>21</v>
      </c>
      <c r="E569" t="s">
        <v>35</v>
      </c>
      <c r="F569" t="s">
        <v>38</v>
      </c>
      <c r="G569" s="6">
        <v>43</v>
      </c>
      <c r="H569" s="4">
        <v>92.96</v>
      </c>
      <c r="I569" t="s">
        <v>31</v>
      </c>
      <c r="J569" s="6">
        <v>6</v>
      </c>
      <c r="K569" s="6">
        <v>3</v>
      </c>
      <c r="L569" t="s">
        <v>24</v>
      </c>
      <c r="M569" s="2">
        <v>45451</v>
      </c>
    </row>
    <row r="570" spans="1:13" x14ac:dyDescent="0.25">
      <c r="A570" t="s">
        <v>599</v>
      </c>
      <c r="B570" t="s">
        <v>14</v>
      </c>
      <c r="C570" s="6">
        <v>68</v>
      </c>
      <c r="D570" t="s">
        <v>21</v>
      </c>
      <c r="E570" t="s">
        <v>22</v>
      </c>
      <c r="F570" t="s">
        <v>28</v>
      </c>
      <c r="G570" s="6">
        <v>8</v>
      </c>
      <c r="H570" s="4">
        <v>62.72</v>
      </c>
      <c r="I570" t="s">
        <v>31</v>
      </c>
      <c r="J570" s="6">
        <v>0</v>
      </c>
      <c r="K570" s="6">
        <v>1</v>
      </c>
      <c r="L570" t="s">
        <v>24</v>
      </c>
      <c r="M570" s="2">
        <v>45150</v>
      </c>
    </row>
    <row r="571" spans="1:13" x14ac:dyDescent="0.25">
      <c r="A571" t="s">
        <v>600</v>
      </c>
      <c r="B571" t="s">
        <v>14</v>
      </c>
      <c r="C571" s="6">
        <v>41</v>
      </c>
      <c r="D571" t="s">
        <v>15</v>
      </c>
      <c r="E571" t="s">
        <v>16</v>
      </c>
      <c r="F571" t="s">
        <v>38</v>
      </c>
      <c r="G571" s="6">
        <v>72</v>
      </c>
      <c r="H571" s="4">
        <v>95.57</v>
      </c>
      <c r="I571" t="s">
        <v>46</v>
      </c>
      <c r="J571" s="6">
        <v>2</v>
      </c>
      <c r="K571" s="6">
        <v>3</v>
      </c>
      <c r="L571" t="s">
        <v>24</v>
      </c>
      <c r="M571" s="2">
        <v>44429</v>
      </c>
    </row>
    <row r="572" spans="1:13" x14ac:dyDescent="0.25">
      <c r="A572" t="s">
        <v>601</v>
      </c>
      <c r="B572" t="s">
        <v>26</v>
      </c>
      <c r="C572" s="6">
        <v>65</v>
      </c>
      <c r="D572" t="s">
        <v>30</v>
      </c>
      <c r="E572" t="s">
        <v>22</v>
      </c>
      <c r="F572" t="s">
        <v>17</v>
      </c>
      <c r="G572" s="6">
        <v>42</v>
      </c>
      <c r="H572" s="4">
        <v>35.29</v>
      </c>
      <c r="I572" t="s">
        <v>31</v>
      </c>
      <c r="J572" s="6">
        <v>8</v>
      </c>
      <c r="K572" s="6">
        <v>4</v>
      </c>
      <c r="L572" t="s">
        <v>24</v>
      </c>
      <c r="M572" s="2">
        <v>44326</v>
      </c>
    </row>
    <row r="573" spans="1:13" x14ac:dyDescent="0.25">
      <c r="A573" t="s">
        <v>602</v>
      </c>
      <c r="B573" t="s">
        <v>26</v>
      </c>
      <c r="C573" s="6">
        <v>40</v>
      </c>
      <c r="D573" t="s">
        <v>34</v>
      </c>
      <c r="E573" t="s">
        <v>35</v>
      </c>
      <c r="F573" t="s">
        <v>38</v>
      </c>
      <c r="G573" s="6">
        <v>68</v>
      </c>
      <c r="H573" s="4">
        <v>97.44</v>
      </c>
      <c r="I573" t="s">
        <v>23</v>
      </c>
      <c r="J573" s="6">
        <v>8</v>
      </c>
      <c r="K573" s="6">
        <v>5</v>
      </c>
      <c r="L573" t="s">
        <v>24</v>
      </c>
      <c r="M573" s="2">
        <v>45122</v>
      </c>
    </row>
    <row r="574" spans="1:13" x14ac:dyDescent="0.25">
      <c r="A574" t="s">
        <v>603</v>
      </c>
      <c r="B574" t="s">
        <v>26</v>
      </c>
      <c r="C574" s="6">
        <v>69</v>
      </c>
      <c r="D574" t="s">
        <v>21</v>
      </c>
      <c r="E574" t="s">
        <v>16</v>
      </c>
      <c r="F574" t="s">
        <v>28</v>
      </c>
      <c r="G574" s="6">
        <v>12</v>
      </c>
      <c r="H574" s="4">
        <v>56.2</v>
      </c>
      <c r="I574" t="s">
        <v>46</v>
      </c>
      <c r="J574" s="6">
        <v>4</v>
      </c>
      <c r="K574" s="6">
        <v>1</v>
      </c>
      <c r="L574" t="s">
        <v>19</v>
      </c>
      <c r="M574" s="2">
        <v>44762</v>
      </c>
    </row>
    <row r="575" spans="1:13" x14ac:dyDescent="0.25">
      <c r="A575" t="s">
        <v>604</v>
      </c>
      <c r="B575" t="s">
        <v>14</v>
      </c>
      <c r="C575" s="6">
        <v>62</v>
      </c>
      <c r="D575" t="s">
        <v>30</v>
      </c>
      <c r="E575" t="s">
        <v>35</v>
      </c>
      <c r="F575" t="s">
        <v>17</v>
      </c>
      <c r="G575" s="6">
        <v>27</v>
      </c>
      <c r="H575" s="4">
        <v>37.81</v>
      </c>
      <c r="I575" t="s">
        <v>18</v>
      </c>
      <c r="J575" s="6">
        <v>4</v>
      </c>
      <c r="K575" s="6">
        <v>4</v>
      </c>
      <c r="L575" t="s">
        <v>24</v>
      </c>
      <c r="M575" s="2">
        <v>45305</v>
      </c>
    </row>
    <row r="576" spans="1:13" x14ac:dyDescent="0.25">
      <c r="A576" t="s">
        <v>605</v>
      </c>
      <c r="B576" t="s">
        <v>14</v>
      </c>
      <c r="C576" s="6">
        <v>48</v>
      </c>
      <c r="D576" t="s">
        <v>15</v>
      </c>
      <c r="E576" t="s">
        <v>35</v>
      </c>
      <c r="F576" t="s">
        <v>28</v>
      </c>
      <c r="G576" s="6">
        <v>3</v>
      </c>
      <c r="H576" s="4">
        <v>59.37</v>
      </c>
      <c r="I576" t="s">
        <v>18</v>
      </c>
      <c r="J576" s="6">
        <v>0</v>
      </c>
      <c r="K576" s="6">
        <v>2</v>
      </c>
      <c r="L576" t="s">
        <v>24</v>
      </c>
      <c r="M576" s="2">
        <v>45261</v>
      </c>
    </row>
    <row r="577" spans="1:13" x14ac:dyDescent="0.25">
      <c r="A577" t="s">
        <v>606</v>
      </c>
      <c r="B577" t="s">
        <v>26</v>
      </c>
      <c r="C577" s="6">
        <v>44</v>
      </c>
      <c r="D577" t="s">
        <v>15</v>
      </c>
      <c r="E577" t="s">
        <v>22</v>
      </c>
      <c r="F577" t="s">
        <v>38</v>
      </c>
      <c r="G577" s="6">
        <v>42</v>
      </c>
      <c r="H577" s="4">
        <v>92.29</v>
      </c>
      <c r="I577" t="s">
        <v>23</v>
      </c>
      <c r="J577" s="6">
        <v>7</v>
      </c>
      <c r="K577" s="6">
        <v>3</v>
      </c>
      <c r="L577" t="s">
        <v>24</v>
      </c>
      <c r="M577" s="2">
        <v>45813</v>
      </c>
    </row>
    <row r="578" spans="1:13" x14ac:dyDescent="0.25">
      <c r="A578" t="s">
        <v>607</v>
      </c>
      <c r="B578" t="s">
        <v>26</v>
      </c>
      <c r="C578" s="6">
        <v>28</v>
      </c>
      <c r="D578" t="s">
        <v>15</v>
      </c>
      <c r="E578" t="s">
        <v>16</v>
      </c>
      <c r="F578" t="s">
        <v>28</v>
      </c>
      <c r="G578" s="6">
        <v>48</v>
      </c>
      <c r="H578" s="4">
        <v>69.56</v>
      </c>
      <c r="I578" t="s">
        <v>18</v>
      </c>
      <c r="J578" s="6">
        <v>2</v>
      </c>
      <c r="K578" s="6">
        <v>3</v>
      </c>
      <c r="L578" t="s">
        <v>24</v>
      </c>
      <c r="M578" s="2">
        <v>44537</v>
      </c>
    </row>
    <row r="579" spans="1:13" x14ac:dyDescent="0.25">
      <c r="A579" t="s">
        <v>608</v>
      </c>
      <c r="B579" t="s">
        <v>14</v>
      </c>
      <c r="C579" s="6">
        <v>63</v>
      </c>
      <c r="D579" t="s">
        <v>15</v>
      </c>
      <c r="E579" t="s">
        <v>16</v>
      </c>
      <c r="F579" t="s">
        <v>17</v>
      </c>
      <c r="G579" s="6">
        <v>20</v>
      </c>
      <c r="H579" s="4">
        <v>32.42</v>
      </c>
      <c r="I579" t="s">
        <v>18</v>
      </c>
      <c r="J579" s="6">
        <v>0</v>
      </c>
      <c r="K579" s="6">
        <v>3</v>
      </c>
      <c r="L579" t="s">
        <v>24</v>
      </c>
      <c r="M579" s="2">
        <v>45099</v>
      </c>
    </row>
    <row r="580" spans="1:13" x14ac:dyDescent="0.25">
      <c r="A580" t="s">
        <v>609</v>
      </c>
      <c r="B580" t="s">
        <v>26</v>
      </c>
      <c r="C580" s="6">
        <v>41</v>
      </c>
      <c r="D580" t="s">
        <v>30</v>
      </c>
      <c r="E580" t="s">
        <v>16</v>
      </c>
      <c r="F580" t="s">
        <v>38</v>
      </c>
      <c r="G580" s="6">
        <v>5</v>
      </c>
      <c r="H580" s="4">
        <v>94.98</v>
      </c>
      <c r="I580" t="s">
        <v>31</v>
      </c>
      <c r="J580" s="6">
        <v>2</v>
      </c>
      <c r="K580" s="6">
        <v>3</v>
      </c>
      <c r="L580" t="s">
        <v>24</v>
      </c>
      <c r="M580" s="2">
        <v>44529</v>
      </c>
    </row>
    <row r="581" spans="1:13" x14ac:dyDescent="0.25">
      <c r="A581" t="s">
        <v>610</v>
      </c>
      <c r="B581" t="s">
        <v>26</v>
      </c>
      <c r="C581" s="6">
        <v>25</v>
      </c>
      <c r="D581" t="s">
        <v>21</v>
      </c>
      <c r="E581" t="s">
        <v>35</v>
      </c>
      <c r="F581" t="s">
        <v>28</v>
      </c>
      <c r="G581" s="6">
        <v>19</v>
      </c>
      <c r="H581" s="4">
        <v>69.22</v>
      </c>
      <c r="I581" t="s">
        <v>31</v>
      </c>
      <c r="J581" s="6">
        <v>2</v>
      </c>
      <c r="K581" s="6">
        <v>1</v>
      </c>
      <c r="L581" t="s">
        <v>24</v>
      </c>
      <c r="M581" s="2">
        <v>45315</v>
      </c>
    </row>
    <row r="582" spans="1:13" x14ac:dyDescent="0.25">
      <c r="A582" t="s">
        <v>611</v>
      </c>
      <c r="B582" t="s">
        <v>26</v>
      </c>
      <c r="C582" s="6">
        <v>59</v>
      </c>
      <c r="D582" t="s">
        <v>15</v>
      </c>
      <c r="E582" t="s">
        <v>35</v>
      </c>
      <c r="F582" t="s">
        <v>28</v>
      </c>
      <c r="G582" s="6">
        <v>19</v>
      </c>
      <c r="H582" s="4">
        <v>66.989999999999995</v>
      </c>
      <c r="I582" t="s">
        <v>23</v>
      </c>
      <c r="J582" s="6">
        <v>5</v>
      </c>
      <c r="K582" s="6">
        <v>1</v>
      </c>
      <c r="L582" t="s">
        <v>24</v>
      </c>
      <c r="M582" s="2">
        <v>44279</v>
      </c>
    </row>
    <row r="583" spans="1:13" x14ac:dyDescent="0.25">
      <c r="A583" t="s">
        <v>612</v>
      </c>
      <c r="B583" t="s">
        <v>14</v>
      </c>
      <c r="C583" s="6">
        <v>61</v>
      </c>
      <c r="D583" t="s">
        <v>21</v>
      </c>
      <c r="E583" t="s">
        <v>35</v>
      </c>
      <c r="F583" t="s">
        <v>17</v>
      </c>
      <c r="G583" s="6">
        <v>52</v>
      </c>
      <c r="H583" s="4">
        <v>39.26</v>
      </c>
      <c r="I583" t="s">
        <v>46</v>
      </c>
      <c r="J583" s="6">
        <v>7</v>
      </c>
      <c r="K583" s="6">
        <v>3</v>
      </c>
      <c r="L583" t="s">
        <v>19</v>
      </c>
      <c r="M583" s="2">
        <v>44309</v>
      </c>
    </row>
    <row r="584" spans="1:13" x14ac:dyDescent="0.25">
      <c r="A584" t="s">
        <v>613</v>
      </c>
      <c r="B584" t="s">
        <v>14</v>
      </c>
      <c r="C584" s="6">
        <v>55</v>
      </c>
      <c r="D584" t="s">
        <v>30</v>
      </c>
      <c r="E584" t="s">
        <v>35</v>
      </c>
      <c r="F584" t="s">
        <v>17</v>
      </c>
      <c r="G584" s="6">
        <v>3</v>
      </c>
      <c r="H584" s="4">
        <v>31.25</v>
      </c>
      <c r="I584" t="s">
        <v>23</v>
      </c>
      <c r="J584" s="6">
        <v>1</v>
      </c>
      <c r="K584" s="6">
        <v>5</v>
      </c>
      <c r="L584" t="s">
        <v>24</v>
      </c>
      <c r="M584" s="2">
        <v>45201</v>
      </c>
    </row>
    <row r="585" spans="1:13" x14ac:dyDescent="0.25">
      <c r="A585" t="s">
        <v>614</v>
      </c>
      <c r="B585" t="s">
        <v>26</v>
      </c>
      <c r="C585" s="6">
        <v>56</v>
      </c>
      <c r="D585" t="s">
        <v>21</v>
      </c>
      <c r="E585" t="s">
        <v>22</v>
      </c>
      <c r="F585" t="s">
        <v>28</v>
      </c>
      <c r="G585" s="6">
        <v>51</v>
      </c>
      <c r="H585" s="4">
        <v>57.22</v>
      </c>
      <c r="I585" t="s">
        <v>23</v>
      </c>
      <c r="J585" s="6">
        <v>5</v>
      </c>
      <c r="K585" s="6">
        <v>4</v>
      </c>
      <c r="L585" t="s">
        <v>24</v>
      </c>
      <c r="M585" s="2">
        <v>44779</v>
      </c>
    </row>
    <row r="586" spans="1:13" x14ac:dyDescent="0.25">
      <c r="A586" t="s">
        <v>615</v>
      </c>
      <c r="B586" t="s">
        <v>26</v>
      </c>
      <c r="C586" s="6">
        <v>40</v>
      </c>
      <c r="D586" t="s">
        <v>15</v>
      </c>
      <c r="E586" t="s">
        <v>35</v>
      </c>
      <c r="F586" t="s">
        <v>38</v>
      </c>
      <c r="G586" s="6">
        <v>12</v>
      </c>
      <c r="H586" s="4">
        <v>88.24</v>
      </c>
      <c r="I586" t="s">
        <v>23</v>
      </c>
      <c r="J586" s="6">
        <v>6</v>
      </c>
      <c r="K586" s="6">
        <v>4</v>
      </c>
      <c r="L586" t="s">
        <v>24</v>
      </c>
      <c r="M586" s="2">
        <v>45847</v>
      </c>
    </row>
    <row r="587" spans="1:13" x14ac:dyDescent="0.25">
      <c r="A587" t="s">
        <v>616</v>
      </c>
      <c r="B587" t="s">
        <v>26</v>
      </c>
      <c r="C587" s="6">
        <v>64</v>
      </c>
      <c r="D587" t="s">
        <v>34</v>
      </c>
      <c r="E587" t="s">
        <v>16</v>
      </c>
      <c r="F587" t="s">
        <v>38</v>
      </c>
      <c r="G587" s="6">
        <v>12</v>
      </c>
      <c r="H587" s="4">
        <v>87.15</v>
      </c>
      <c r="I587" t="s">
        <v>31</v>
      </c>
      <c r="J587" s="6">
        <v>7</v>
      </c>
      <c r="K587" s="6">
        <v>5</v>
      </c>
      <c r="L587" t="s">
        <v>24</v>
      </c>
      <c r="M587" s="2">
        <v>44332</v>
      </c>
    </row>
    <row r="588" spans="1:13" x14ac:dyDescent="0.25">
      <c r="A588" t="s">
        <v>617</v>
      </c>
      <c r="B588" t="s">
        <v>26</v>
      </c>
      <c r="C588" s="6">
        <v>23</v>
      </c>
      <c r="D588" t="s">
        <v>21</v>
      </c>
      <c r="E588" t="s">
        <v>35</v>
      </c>
      <c r="F588" t="s">
        <v>38</v>
      </c>
      <c r="G588" s="6">
        <v>35</v>
      </c>
      <c r="H588" s="4">
        <v>91.22</v>
      </c>
      <c r="I588" t="s">
        <v>23</v>
      </c>
      <c r="J588" s="6">
        <v>2</v>
      </c>
      <c r="K588" s="6">
        <v>2</v>
      </c>
      <c r="L588" t="s">
        <v>19</v>
      </c>
      <c r="M588" s="2">
        <v>44978</v>
      </c>
    </row>
    <row r="589" spans="1:13" x14ac:dyDescent="0.25">
      <c r="A589" t="s">
        <v>618</v>
      </c>
      <c r="B589" t="s">
        <v>26</v>
      </c>
      <c r="C589" s="6">
        <v>53</v>
      </c>
      <c r="D589" t="s">
        <v>34</v>
      </c>
      <c r="E589" t="s">
        <v>16</v>
      </c>
      <c r="F589" t="s">
        <v>28</v>
      </c>
      <c r="G589" s="6">
        <v>39</v>
      </c>
      <c r="H589" s="4">
        <v>62.41</v>
      </c>
      <c r="I589" t="s">
        <v>23</v>
      </c>
      <c r="J589" s="6">
        <v>3</v>
      </c>
      <c r="K589" s="6">
        <v>1</v>
      </c>
      <c r="L589" t="s">
        <v>24</v>
      </c>
      <c r="M589" s="2">
        <v>44512</v>
      </c>
    </row>
    <row r="590" spans="1:13" x14ac:dyDescent="0.25">
      <c r="A590" t="s">
        <v>619</v>
      </c>
      <c r="B590" t="s">
        <v>26</v>
      </c>
      <c r="C590" s="6">
        <v>37</v>
      </c>
      <c r="D590" t="s">
        <v>34</v>
      </c>
      <c r="E590" t="s">
        <v>16</v>
      </c>
      <c r="F590" t="s">
        <v>38</v>
      </c>
      <c r="G590" s="6">
        <v>37</v>
      </c>
      <c r="H590" s="4">
        <v>91.26</v>
      </c>
      <c r="I590" t="s">
        <v>23</v>
      </c>
      <c r="J590" s="6">
        <v>3</v>
      </c>
      <c r="K590" s="6">
        <v>1</v>
      </c>
      <c r="L590" t="s">
        <v>19</v>
      </c>
      <c r="M590" s="2">
        <v>44764</v>
      </c>
    </row>
    <row r="591" spans="1:13" x14ac:dyDescent="0.25">
      <c r="A591" t="s">
        <v>620</v>
      </c>
      <c r="B591" t="s">
        <v>26</v>
      </c>
      <c r="C591" s="6">
        <v>22</v>
      </c>
      <c r="D591" t="s">
        <v>15</v>
      </c>
      <c r="E591" t="s">
        <v>22</v>
      </c>
      <c r="F591" t="s">
        <v>28</v>
      </c>
      <c r="G591" s="6">
        <v>56</v>
      </c>
      <c r="H591" s="4">
        <v>68.03</v>
      </c>
      <c r="I591" t="s">
        <v>23</v>
      </c>
      <c r="J591" s="6">
        <v>1</v>
      </c>
      <c r="K591" s="6">
        <v>3</v>
      </c>
      <c r="L591" t="s">
        <v>24</v>
      </c>
      <c r="M591" s="2">
        <v>45375</v>
      </c>
    </row>
    <row r="592" spans="1:13" x14ac:dyDescent="0.25">
      <c r="A592" t="s">
        <v>621</v>
      </c>
      <c r="B592" t="s">
        <v>14</v>
      </c>
      <c r="C592" s="6">
        <v>34</v>
      </c>
      <c r="D592" t="s">
        <v>30</v>
      </c>
      <c r="E592" t="s">
        <v>22</v>
      </c>
      <c r="F592" t="s">
        <v>17</v>
      </c>
      <c r="G592" s="6">
        <v>19</v>
      </c>
      <c r="H592" s="4">
        <v>34.799999999999997</v>
      </c>
      <c r="I592" t="s">
        <v>46</v>
      </c>
      <c r="J592" s="6">
        <v>5</v>
      </c>
      <c r="K592" s="6">
        <v>2</v>
      </c>
      <c r="L592" t="s">
        <v>19</v>
      </c>
      <c r="M592" s="2">
        <v>44936</v>
      </c>
    </row>
    <row r="593" spans="1:13" x14ac:dyDescent="0.25">
      <c r="A593" t="s">
        <v>622</v>
      </c>
      <c r="B593" t="s">
        <v>26</v>
      </c>
      <c r="C593" s="6">
        <v>58</v>
      </c>
      <c r="D593" t="s">
        <v>15</v>
      </c>
      <c r="E593" t="s">
        <v>16</v>
      </c>
      <c r="F593" t="s">
        <v>28</v>
      </c>
      <c r="G593" s="6">
        <v>38</v>
      </c>
      <c r="H593" s="4">
        <v>62.94</v>
      </c>
      <c r="I593" t="s">
        <v>18</v>
      </c>
      <c r="J593" s="6">
        <v>8</v>
      </c>
      <c r="K593" s="6">
        <v>2</v>
      </c>
      <c r="L593" t="s">
        <v>24</v>
      </c>
      <c r="M593" s="2">
        <v>44572</v>
      </c>
    </row>
    <row r="594" spans="1:13" x14ac:dyDescent="0.25">
      <c r="A594" t="s">
        <v>623</v>
      </c>
      <c r="B594" t="s">
        <v>14</v>
      </c>
      <c r="C594" s="6">
        <v>56</v>
      </c>
      <c r="D594" t="s">
        <v>30</v>
      </c>
      <c r="E594" t="s">
        <v>22</v>
      </c>
      <c r="F594" t="s">
        <v>28</v>
      </c>
      <c r="G594" s="6">
        <v>41</v>
      </c>
      <c r="H594" s="4">
        <v>67.400000000000006</v>
      </c>
      <c r="I594" t="s">
        <v>31</v>
      </c>
      <c r="J594" s="6">
        <v>4</v>
      </c>
      <c r="K594" s="6">
        <v>3</v>
      </c>
      <c r="L594" t="s">
        <v>19</v>
      </c>
      <c r="M594" s="2">
        <v>45384</v>
      </c>
    </row>
    <row r="595" spans="1:13" x14ac:dyDescent="0.25">
      <c r="A595" t="s">
        <v>624</v>
      </c>
      <c r="B595" t="s">
        <v>26</v>
      </c>
      <c r="C595" s="6">
        <v>70</v>
      </c>
      <c r="D595" t="s">
        <v>30</v>
      </c>
      <c r="E595" t="s">
        <v>16</v>
      </c>
      <c r="F595" t="s">
        <v>17</v>
      </c>
      <c r="G595" s="6">
        <v>67</v>
      </c>
      <c r="H595" s="4">
        <v>34.22</v>
      </c>
      <c r="I595" t="s">
        <v>23</v>
      </c>
      <c r="J595" s="6">
        <v>6</v>
      </c>
      <c r="K595" s="6">
        <v>3</v>
      </c>
      <c r="L595" t="s">
        <v>24</v>
      </c>
      <c r="M595" s="2">
        <v>44530</v>
      </c>
    </row>
    <row r="596" spans="1:13" x14ac:dyDescent="0.25">
      <c r="A596" t="s">
        <v>625</v>
      </c>
      <c r="B596" t="s">
        <v>14</v>
      </c>
      <c r="C596" s="6">
        <v>31</v>
      </c>
      <c r="D596" t="s">
        <v>30</v>
      </c>
      <c r="E596" t="s">
        <v>22</v>
      </c>
      <c r="F596" t="s">
        <v>17</v>
      </c>
      <c r="G596" s="6">
        <v>25</v>
      </c>
      <c r="H596" s="4">
        <v>41.93</v>
      </c>
      <c r="I596" t="s">
        <v>18</v>
      </c>
      <c r="J596" s="6">
        <v>6</v>
      </c>
      <c r="K596" s="6">
        <v>4</v>
      </c>
      <c r="L596" t="s">
        <v>24</v>
      </c>
      <c r="M596" s="2">
        <v>44435</v>
      </c>
    </row>
    <row r="597" spans="1:13" x14ac:dyDescent="0.25">
      <c r="A597" t="s">
        <v>626</v>
      </c>
      <c r="B597" t="s">
        <v>14</v>
      </c>
      <c r="C597" s="6">
        <v>19</v>
      </c>
      <c r="D597" t="s">
        <v>34</v>
      </c>
      <c r="E597" t="s">
        <v>35</v>
      </c>
      <c r="F597" t="s">
        <v>28</v>
      </c>
      <c r="G597" s="6">
        <v>47</v>
      </c>
      <c r="H597" s="4">
        <v>57.09</v>
      </c>
      <c r="I597" t="s">
        <v>23</v>
      </c>
      <c r="J597" s="6">
        <v>8</v>
      </c>
      <c r="K597" s="6">
        <v>3</v>
      </c>
      <c r="L597" t="s">
        <v>19</v>
      </c>
      <c r="M597" s="2">
        <v>44820</v>
      </c>
    </row>
    <row r="598" spans="1:13" x14ac:dyDescent="0.25">
      <c r="A598" t="s">
        <v>627</v>
      </c>
      <c r="B598" t="s">
        <v>14</v>
      </c>
      <c r="C598" s="6">
        <v>65</v>
      </c>
      <c r="D598" t="s">
        <v>21</v>
      </c>
      <c r="E598" t="s">
        <v>16</v>
      </c>
      <c r="F598" t="s">
        <v>17</v>
      </c>
      <c r="G598" s="6">
        <v>19</v>
      </c>
      <c r="H598" s="4">
        <v>40.32</v>
      </c>
      <c r="I598" t="s">
        <v>31</v>
      </c>
      <c r="J598" s="6">
        <v>2</v>
      </c>
      <c r="K598" s="6">
        <v>2</v>
      </c>
      <c r="L598" t="s">
        <v>19</v>
      </c>
      <c r="M598" s="2">
        <v>44357</v>
      </c>
    </row>
    <row r="599" spans="1:13" x14ac:dyDescent="0.25">
      <c r="A599" t="s">
        <v>628</v>
      </c>
      <c r="B599" t="s">
        <v>26</v>
      </c>
      <c r="C599" s="6">
        <v>62</v>
      </c>
      <c r="D599" t="s">
        <v>21</v>
      </c>
      <c r="E599" t="s">
        <v>16</v>
      </c>
      <c r="F599" t="s">
        <v>17</v>
      </c>
      <c r="G599" s="6">
        <v>62</v>
      </c>
      <c r="H599" s="4">
        <v>41.36</v>
      </c>
      <c r="I599" t="s">
        <v>18</v>
      </c>
      <c r="J599" s="6">
        <v>3</v>
      </c>
      <c r="K599" s="6">
        <v>1</v>
      </c>
      <c r="L599" t="s">
        <v>19</v>
      </c>
      <c r="M599" s="2">
        <v>45548</v>
      </c>
    </row>
    <row r="600" spans="1:13" x14ac:dyDescent="0.25">
      <c r="A600" t="s">
        <v>629</v>
      </c>
      <c r="B600" t="s">
        <v>14</v>
      </c>
      <c r="C600" s="6">
        <v>48</v>
      </c>
      <c r="D600" t="s">
        <v>21</v>
      </c>
      <c r="E600" t="s">
        <v>35</v>
      </c>
      <c r="F600" t="s">
        <v>17</v>
      </c>
      <c r="G600" s="6">
        <v>9</v>
      </c>
      <c r="H600" s="4">
        <v>34.520000000000003</v>
      </c>
      <c r="I600" t="s">
        <v>18</v>
      </c>
      <c r="J600" s="6">
        <v>1</v>
      </c>
      <c r="K600" s="6">
        <v>1</v>
      </c>
      <c r="L600" t="s">
        <v>24</v>
      </c>
      <c r="M600" s="2">
        <v>44617</v>
      </c>
    </row>
    <row r="601" spans="1:13" x14ac:dyDescent="0.25">
      <c r="A601" t="s">
        <v>630</v>
      </c>
      <c r="B601" t="s">
        <v>14</v>
      </c>
      <c r="C601" s="6">
        <v>29</v>
      </c>
      <c r="D601" t="s">
        <v>15</v>
      </c>
      <c r="E601" t="s">
        <v>16</v>
      </c>
      <c r="F601" t="s">
        <v>17</v>
      </c>
      <c r="G601" s="6">
        <v>19</v>
      </c>
      <c r="H601" s="4">
        <v>42.69</v>
      </c>
      <c r="I601" t="s">
        <v>31</v>
      </c>
      <c r="J601" s="6">
        <v>5</v>
      </c>
      <c r="K601" s="6">
        <v>3</v>
      </c>
      <c r="L601" t="s">
        <v>19</v>
      </c>
      <c r="M601" s="2">
        <v>45222</v>
      </c>
    </row>
    <row r="602" spans="1:13" x14ac:dyDescent="0.25">
      <c r="A602" t="s">
        <v>631</v>
      </c>
      <c r="B602" t="s">
        <v>14</v>
      </c>
      <c r="C602" s="6">
        <v>50</v>
      </c>
      <c r="D602" t="s">
        <v>21</v>
      </c>
      <c r="E602" t="s">
        <v>16</v>
      </c>
      <c r="F602" t="s">
        <v>38</v>
      </c>
      <c r="G602" s="6">
        <v>2</v>
      </c>
      <c r="H602" s="4">
        <v>92.93</v>
      </c>
      <c r="I602" t="s">
        <v>46</v>
      </c>
      <c r="J602" s="6">
        <v>4</v>
      </c>
      <c r="K602" s="6">
        <v>2</v>
      </c>
      <c r="L602" t="s">
        <v>24</v>
      </c>
      <c r="M602" s="2">
        <v>45297</v>
      </c>
    </row>
    <row r="603" spans="1:13" x14ac:dyDescent="0.25">
      <c r="A603" t="s">
        <v>632</v>
      </c>
      <c r="B603" t="s">
        <v>14</v>
      </c>
      <c r="C603" s="6">
        <v>64</v>
      </c>
      <c r="D603" t="s">
        <v>21</v>
      </c>
      <c r="E603" t="s">
        <v>16</v>
      </c>
      <c r="F603" t="s">
        <v>38</v>
      </c>
      <c r="G603" s="6">
        <v>61</v>
      </c>
      <c r="H603" s="4">
        <v>90.5</v>
      </c>
      <c r="I603" t="s">
        <v>46</v>
      </c>
      <c r="J603" s="6">
        <v>7</v>
      </c>
      <c r="K603" s="6">
        <v>1</v>
      </c>
      <c r="L603" t="s">
        <v>19</v>
      </c>
      <c r="M603" s="2">
        <v>44923</v>
      </c>
    </row>
    <row r="604" spans="1:13" x14ac:dyDescent="0.25">
      <c r="A604" t="s">
        <v>633</v>
      </c>
      <c r="B604" t="s">
        <v>26</v>
      </c>
      <c r="C604" s="6">
        <v>45</v>
      </c>
      <c r="D604" t="s">
        <v>30</v>
      </c>
      <c r="E604" t="s">
        <v>22</v>
      </c>
      <c r="F604" t="s">
        <v>17</v>
      </c>
      <c r="G604" s="6">
        <v>53</v>
      </c>
      <c r="H604" s="4">
        <v>31.69</v>
      </c>
      <c r="I604" t="s">
        <v>31</v>
      </c>
      <c r="J604" s="6">
        <v>1</v>
      </c>
      <c r="K604" s="6">
        <v>4</v>
      </c>
      <c r="L604" t="s">
        <v>24</v>
      </c>
      <c r="M604" s="2">
        <v>44475</v>
      </c>
    </row>
    <row r="605" spans="1:13" x14ac:dyDescent="0.25">
      <c r="A605" t="s">
        <v>634</v>
      </c>
      <c r="B605" t="s">
        <v>26</v>
      </c>
      <c r="C605" s="6">
        <v>66</v>
      </c>
      <c r="D605" t="s">
        <v>15</v>
      </c>
      <c r="E605" t="s">
        <v>22</v>
      </c>
      <c r="F605" t="s">
        <v>28</v>
      </c>
      <c r="G605" s="6">
        <v>72</v>
      </c>
      <c r="H605" s="4">
        <v>65.83</v>
      </c>
      <c r="I605" t="s">
        <v>18</v>
      </c>
      <c r="J605" s="6">
        <v>5</v>
      </c>
      <c r="K605" s="6">
        <v>4</v>
      </c>
      <c r="L605" t="s">
        <v>19</v>
      </c>
      <c r="M605" s="2">
        <v>44777</v>
      </c>
    </row>
    <row r="606" spans="1:13" x14ac:dyDescent="0.25">
      <c r="A606" t="s">
        <v>635</v>
      </c>
      <c r="B606" t="s">
        <v>26</v>
      </c>
      <c r="C606" s="6">
        <v>56</v>
      </c>
      <c r="D606" t="s">
        <v>15</v>
      </c>
      <c r="E606" t="s">
        <v>22</v>
      </c>
      <c r="F606" t="s">
        <v>28</v>
      </c>
      <c r="G606" s="6">
        <v>29</v>
      </c>
      <c r="H606" s="4">
        <v>63.31</v>
      </c>
      <c r="I606" t="s">
        <v>31</v>
      </c>
      <c r="J606" s="6">
        <v>6</v>
      </c>
      <c r="K606" s="6">
        <v>2</v>
      </c>
      <c r="L606" t="s">
        <v>24</v>
      </c>
      <c r="M606" s="2">
        <v>45919</v>
      </c>
    </row>
    <row r="607" spans="1:13" x14ac:dyDescent="0.25">
      <c r="A607" t="s">
        <v>636</v>
      </c>
      <c r="B607" t="s">
        <v>26</v>
      </c>
      <c r="C607" s="6">
        <v>61</v>
      </c>
      <c r="D607" t="s">
        <v>15</v>
      </c>
      <c r="E607" t="s">
        <v>16</v>
      </c>
      <c r="F607" t="s">
        <v>17</v>
      </c>
      <c r="G607" s="6">
        <v>63</v>
      </c>
      <c r="H607" s="4">
        <v>40.08</v>
      </c>
      <c r="I607" t="s">
        <v>23</v>
      </c>
      <c r="J607" s="6">
        <v>7</v>
      </c>
      <c r="K607" s="6">
        <v>5</v>
      </c>
      <c r="L607" t="s">
        <v>24</v>
      </c>
      <c r="M607" s="2">
        <v>44371</v>
      </c>
    </row>
    <row r="608" spans="1:13" x14ac:dyDescent="0.25">
      <c r="A608" t="s">
        <v>637</v>
      </c>
      <c r="B608" t="s">
        <v>14</v>
      </c>
      <c r="C608" s="6">
        <v>27</v>
      </c>
      <c r="D608" t="s">
        <v>34</v>
      </c>
      <c r="E608" t="s">
        <v>35</v>
      </c>
      <c r="F608" t="s">
        <v>38</v>
      </c>
      <c r="G608" s="6">
        <v>14</v>
      </c>
      <c r="H608" s="4">
        <v>96.12</v>
      </c>
      <c r="I608" t="s">
        <v>46</v>
      </c>
      <c r="J608" s="6">
        <v>1</v>
      </c>
      <c r="K608" s="6">
        <v>3</v>
      </c>
      <c r="L608" t="s">
        <v>24</v>
      </c>
      <c r="M608" s="2">
        <v>44890</v>
      </c>
    </row>
    <row r="609" spans="1:13" x14ac:dyDescent="0.25">
      <c r="A609" t="s">
        <v>638</v>
      </c>
      <c r="B609" t="s">
        <v>14</v>
      </c>
      <c r="C609" s="6">
        <v>56</v>
      </c>
      <c r="D609" t="s">
        <v>34</v>
      </c>
      <c r="E609" t="s">
        <v>16</v>
      </c>
      <c r="F609" t="s">
        <v>17</v>
      </c>
      <c r="G609" s="6">
        <v>55</v>
      </c>
      <c r="H609" s="4">
        <v>40.880000000000003</v>
      </c>
      <c r="I609" t="s">
        <v>31</v>
      </c>
      <c r="J609" s="6">
        <v>4</v>
      </c>
      <c r="K609" s="6">
        <v>4</v>
      </c>
      <c r="L609" t="s">
        <v>24</v>
      </c>
      <c r="M609" s="2">
        <v>45562</v>
      </c>
    </row>
    <row r="610" spans="1:13" x14ac:dyDescent="0.25">
      <c r="A610" t="s">
        <v>639</v>
      </c>
      <c r="B610" t="s">
        <v>26</v>
      </c>
      <c r="C610" s="6">
        <v>49</v>
      </c>
      <c r="D610" t="s">
        <v>15</v>
      </c>
      <c r="E610" t="s">
        <v>16</v>
      </c>
      <c r="F610" t="s">
        <v>28</v>
      </c>
      <c r="G610" s="6">
        <v>14</v>
      </c>
      <c r="H610" s="4">
        <v>56.83</v>
      </c>
      <c r="I610" t="s">
        <v>23</v>
      </c>
      <c r="J610" s="6">
        <v>7</v>
      </c>
      <c r="K610" s="6">
        <v>2</v>
      </c>
      <c r="L610" t="s">
        <v>24</v>
      </c>
      <c r="M610" s="2">
        <v>44472</v>
      </c>
    </row>
    <row r="611" spans="1:13" x14ac:dyDescent="0.25">
      <c r="A611" t="s">
        <v>640</v>
      </c>
      <c r="B611" t="s">
        <v>14</v>
      </c>
      <c r="C611" s="6">
        <v>24</v>
      </c>
      <c r="D611" t="s">
        <v>21</v>
      </c>
      <c r="E611" t="s">
        <v>16</v>
      </c>
      <c r="F611" t="s">
        <v>28</v>
      </c>
      <c r="G611" s="6">
        <v>4</v>
      </c>
      <c r="H611" s="4">
        <v>69.58</v>
      </c>
      <c r="I611" t="s">
        <v>23</v>
      </c>
      <c r="J611" s="6">
        <v>5</v>
      </c>
      <c r="K611" s="6">
        <v>2</v>
      </c>
      <c r="L611" t="s">
        <v>19</v>
      </c>
      <c r="M611" s="2">
        <v>45473</v>
      </c>
    </row>
    <row r="612" spans="1:13" x14ac:dyDescent="0.25">
      <c r="A612" t="s">
        <v>641</v>
      </c>
      <c r="B612" t="s">
        <v>14</v>
      </c>
      <c r="C612" s="6">
        <v>66</v>
      </c>
      <c r="D612" t="s">
        <v>21</v>
      </c>
      <c r="E612" t="s">
        <v>22</v>
      </c>
      <c r="F612" t="s">
        <v>38</v>
      </c>
      <c r="G612" s="6">
        <v>64</v>
      </c>
      <c r="H612" s="4">
        <v>96.89</v>
      </c>
      <c r="I612" t="s">
        <v>46</v>
      </c>
      <c r="J612" s="6">
        <v>4</v>
      </c>
      <c r="K612" s="6">
        <v>4</v>
      </c>
      <c r="L612" t="s">
        <v>24</v>
      </c>
      <c r="M612" s="2">
        <v>44732</v>
      </c>
    </row>
    <row r="613" spans="1:13" x14ac:dyDescent="0.25">
      <c r="A613" t="s">
        <v>642</v>
      </c>
      <c r="B613" t="s">
        <v>26</v>
      </c>
      <c r="C613" s="6">
        <v>69</v>
      </c>
      <c r="D613" t="s">
        <v>21</v>
      </c>
      <c r="E613" t="s">
        <v>16</v>
      </c>
      <c r="F613" t="s">
        <v>28</v>
      </c>
      <c r="G613" s="6">
        <v>16</v>
      </c>
      <c r="H613" s="4">
        <v>60.75</v>
      </c>
      <c r="I613" t="s">
        <v>31</v>
      </c>
      <c r="J613" s="6">
        <v>6</v>
      </c>
      <c r="K613" s="6">
        <v>4</v>
      </c>
      <c r="L613" t="s">
        <v>24</v>
      </c>
      <c r="M613" s="2">
        <v>44264</v>
      </c>
    </row>
    <row r="614" spans="1:13" x14ac:dyDescent="0.25">
      <c r="A614" t="s">
        <v>643</v>
      </c>
      <c r="B614" t="s">
        <v>14</v>
      </c>
      <c r="C614" s="6">
        <v>53</v>
      </c>
      <c r="D614" t="s">
        <v>15</v>
      </c>
      <c r="E614" t="s">
        <v>22</v>
      </c>
      <c r="F614" t="s">
        <v>17</v>
      </c>
      <c r="G614" s="6">
        <v>63</v>
      </c>
      <c r="H614" s="4">
        <v>36.46</v>
      </c>
      <c r="I614" t="s">
        <v>31</v>
      </c>
      <c r="J614" s="6">
        <v>6</v>
      </c>
      <c r="K614" s="6">
        <v>4</v>
      </c>
      <c r="L614" t="s">
        <v>24</v>
      </c>
      <c r="M614" s="2">
        <v>45362</v>
      </c>
    </row>
    <row r="615" spans="1:13" x14ac:dyDescent="0.25">
      <c r="A615" t="s">
        <v>644</v>
      </c>
      <c r="B615" t="s">
        <v>26</v>
      </c>
      <c r="C615" s="6">
        <v>60</v>
      </c>
      <c r="D615" t="s">
        <v>34</v>
      </c>
      <c r="E615" t="s">
        <v>35</v>
      </c>
      <c r="F615" t="s">
        <v>38</v>
      </c>
      <c r="G615" s="6">
        <v>21</v>
      </c>
      <c r="H615" s="4">
        <v>92.6</v>
      </c>
      <c r="I615" t="s">
        <v>23</v>
      </c>
      <c r="J615" s="6">
        <v>4</v>
      </c>
      <c r="K615" s="6">
        <v>4</v>
      </c>
      <c r="L615" t="s">
        <v>24</v>
      </c>
      <c r="M615" s="2">
        <v>44970</v>
      </c>
    </row>
    <row r="616" spans="1:13" x14ac:dyDescent="0.25">
      <c r="A616" t="s">
        <v>645</v>
      </c>
      <c r="B616" t="s">
        <v>26</v>
      </c>
      <c r="C616" s="6">
        <v>67</v>
      </c>
      <c r="D616" t="s">
        <v>15</v>
      </c>
      <c r="E616" t="s">
        <v>35</v>
      </c>
      <c r="F616" t="s">
        <v>17</v>
      </c>
      <c r="G616" s="6">
        <v>4</v>
      </c>
      <c r="H616" s="4">
        <v>38.86</v>
      </c>
      <c r="I616" t="s">
        <v>46</v>
      </c>
      <c r="J616" s="6">
        <v>5</v>
      </c>
      <c r="K616" s="6">
        <v>3</v>
      </c>
      <c r="L616" t="s">
        <v>24</v>
      </c>
      <c r="M616" s="2">
        <v>45392</v>
      </c>
    </row>
    <row r="617" spans="1:13" x14ac:dyDescent="0.25">
      <c r="A617" t="s">
        <v>646</v>
      </c>
      <c r="B617" t="s">
        <v>14</v>
      </c>
      <c r="C617" s="6">
        <v>66</v>
      </c>
      <c r="D617" t="s">
        <v>15</v>
      </c>
      <c r="E617" t="s">
        <v>35</v>
      </c>
      <c r="F617" t="s">
        <v>17</v>
      </c>
      <c r="G617" s="6">
        <v>55</v>
      </c>
      <c r="H617" s="4">
        <v>35.18</v>
      </c>
      <c r="I617" t="s">
        <v>31</v>
      </c>
      <c r="J617" s="6">
        <v>6</v>
      </c>
      <c r="K617" s="6">
        <v>3</v>
      </c>
      <c r="L617" t="s">
        <v>19</v>
      </c>
      <c r="M617" s="2">
        <v>44697</v>
      </c>
    </row>
    <row r="618" spans="1:13" x14ac:dyDescent="0.25">
      <c r="A618" t="s">
        <v>647</v>
      </c>
      <c r="B618" t="s">
        <v>14</v>
      </c>
      <c r="C618" s="6">
        <v>33</v>
      </c>
      <c r="D618" t="s">
        <v>15</v>
      </c>
      <c r="E618" t="s">
        <v>22</v>
      </c>
      <c r="F618" t="s">
        <v>17</v>
      </c>
      <c r="G618" s="6">
        <v>9</v>
      </c>
      <c r="H618" s="4">
        <v>43.03</v>
      </c>
      <c r="I618" t="s">
        <v>18</v>
      </c>
      <c r="J618" s="6">
        <v>5</v>
      </c>
      <c r="K618" s="6">
        <v>2</v>
      </c>
      <c r="L618" t="s">
        <v>19</v>
      </c>
      <c r="M618" s="2">
        <v>44864</v>
      </c>
    </row>
    <row r="619" spans="1:13" x14ac:dyDescent="0.25">
      <c r="A619" t="s">
        <v>648</v>
      </c>
      <c r="B619" t="s">
        <v>14</v>
      </c>
      <c r="C619" s="6">
        <v>47</v>
      </c>
      <c r="D619" t="s">
        <v>34</v>
      </c>
      <c r="E619" t="s">
        <v>22</v>
      </c>
      <c r="F619" t="s">
        <v>38</v>
      </c>
      <c r="G619" s="6">
        <v>54</v>
      </c>
      <c r="H619" s="4">
        <v>89</v>
      </c>
      <c r="I619" t="s">
        <v>23</v>
      </c>
      <c r="J619" s="6">
        <v>0</v>
      </c>
      <c r="K619" s="6">
        <v>3</v>
      </c>
      <c r="L619" t="s">
        <v>24</v>
      </c>
      <c r="M619" s="2">
        <v>44996</v>
      </c>
    </row>
    <row r="620" spans="1:13" x14ac:dyDescent="0.25">
      <c r="A620" t="s">
        <v>649</v>
      </c>
      <c r="B620" t="s">
        <v>26</v>
      </c>
      <c r="C620" s="6">
        <v>54</v>
      </c>
      <c r="D620" t="s">
        <v>21</v>
      </c>
      <c r="E620" t="s">
        <v>35</v>
      </c>
      <c r="F620" t="s">
        <v>17</v>
      </c>
      <c r="G620" s="6">
        <v>27</v>
      </c>
      <c r="H620" s="4">
        <v>35.04</v>
      </c>
      <c r="I620" t="s">
        <v>31</v>
      </c>
      <c r="J620" s="6">
        <v>2</v>
      </c>
      <c r="K620" s="6">
        <v>5</v>
      </c>
      <c r="L620" t="s">
        <v>24</v>
      </c>
      <c r="M620" s="2">
        <v>45089</v>
      </c>
    </row>
    <row r="621" spans="1:13" x14ac:dyDescent="0.25">
      <c r="A621" t="s">
        <v>650</v>
      </c>
      <c r="B621" t="s">
        <v>14</v>
      </c>
      <c r="C621" s="6">
        <v>49</v>
      </c>
      <c r="D621" t="s">
        <v>21</v>
      </c>
      <c r="E621" t="s">
        <v>22</v>
      </c>
      <c r="F621" t="s">
        <v>17</v>
      </c>
      <c r="G621" s="6">
        <v>37</v>
      </c>
      <c r="H621" s="4">
        <v>33.979999999999997</v>
      </c>
      <c r="I621" t="s">
        <v>31</v>
      </c>
      <c r="J621" s="6">
        <v>6</v>
      </c>
      <c r="K621" s="6">
        <v>2</v>
      </c>
      <c r="L621" t="s">
        <v>24</v>
      </c>
      <c r="M621" s="2">
        <v>44385</v>
      </c>
    </row>
    <row r="622" spans="1:13" x14ac:dyDescent="0.25">
      <c r="A622" t="s">
        <v>651</v>
      </c>
      <c r="B622" t="s">
        <v>14</v>
      </c>
      <c r="C622" s="6">
        <v>55</v>
      </c>
      <c r="D622" t="s">
        <v>15</v>
      </c>
      <c r="E622" t="s">
        <v>35</v>
      </c>
      <c r="F622" t="s">
        <v>17</v>
      </c>
      <c r="G622" s="6">
        <v>68</v>
      </c>
      <c r="H622" s="4">
        <v>37.130000000000003</v>
      </c>
      <c r="I622" t="s">
        <v>46</v>
      </c>
      <c r="J622" s="6">
        <v>5</v>
      </c>
      <c r="K622" s="6">
        <v>1</v>
      </c>
      <c r="L622" t="s">
        <v>24</v>
      </c>
      <c r="M622" s="2">
        <v>44815</v>
      </c>
    </row>
    <row r="623" spans="1:13" x14ac:dyDescent="0.25">
      <c r="A623" t="s">
        <v>652</v>
      </c>
      <c r="B623" t="s">
        <v>26</v>
      </c>
      <c r="C623" s="6">
        <v>45</v>
      </c>
      <c r="D623" t="s">
        <v>15</v>
      </c>
      <c r="E623" t="s">
        <v>16</v>
      </c>
      <c r="F623" t="s">
        <v>28</v>
      </c>
      <c r="G623" s="6">
        <v>52</v>
      </c>
      <c r="H623" s="4">
        <v>58.77</v>
      </c>
      <c r="I623" t="s">
        <v>23</v>
      </c>
      <c r="J623" s="6">
        <v>8</v>
      </c>
      <c r="K623" s="6">
        <v>2</v>
      </c>
      <c r="L623" t="s">
        <v>24</v>
      </c>
      <c r="M623" s="2">
        <v>45482</v>
      </c>
    </row>
    <row r="624" spans="1:13" x14ac:dyDescent="0.25">
      <c r="A624" t="s">
        <v>653</v>
      </c>
      <c r="B624" t="s">
        <v>14</v>
      </c>
      <c r="C624" s="6">
        <v>54</v>
      </c>
      <c r="D624" t="s">
        <v>34</v>
      </c>
      <c r="E624" t="s">
        <v>16</v>
      </c>
      <c r="F624" t="s">
        <v>38</v>
      </c>
      <c r="G624" s="6">
        <v>60</v>
      </c>
      <c r="H624" s="4">
        <v>89.02</v>
      </c>
      <c r="I624" t="s">
        <v>23</v>
      </c>
      <c r="J624" s="6">
        <v>0</v>
      </c>
      <c r="K624" s="6">
        <v>5</v>
      </c>
      <c r="L624" t="s">
        <v>24</v>
      </c>
      <c r="M624" s="2">
        <v>45144</v>
      </c>
    </row>
    <row r="625" spans="1:13" x14ac:dyDescent="0.25">
      <c r="A625" t="s">
        <v>654</v>
      </c>
      <c r="B625" t="s">
        <v>14</v>
      </c>
      <c r="C625" s="6">
        <v>33</v>
      </c>
      <c r="D625" t="s">
        <v>30</v>
      </c>
      <c r="E625" t="s">
        <v>22</v>
      </c>
      <c r="F625" t="s">
        <v>38</v>
      </c>
      <c r="G625" s="6">
        <v>39</v>
      </c>
      <c r="H625" s="4">
        <v>97.66</v>
      </c>
      <c r="I625" t="s">
        <v>23</v>
      </c>
      <c r="J625" s="6">
        <v>5</v>
      </c>
      <c r="K625" s="6">
        <v>1</v>
      </c>
      <c r="L625" t="s">
        <v>24</v>
      </c>
      <c r="M625" s="2">
        <v>45929</v>
      </c>
    </row>
    <row r="626" spans="1:13" x14ac:dyDescent="0.25">
      <c r="A626" t="s">
        <v>655</v>
      </c>
      <c r="B626" t="s">
        <v>26</v>
      </c>
      <c r="C626" s="6">
        <v>35</v>
      </c>
      <c r="D626" t="s">
        <v>15</v>
      </c>
      <c r="E626" t="s">
        <v>22</v>
      </c>
      <c r="F626" t="s">
        <v>17</v>
      </c>
      <c r="G626" s="6">
        <v>33</v>
      </c>
      <c r="H626" s="4">
        <v>40.299999999999997</v>
      </c>
      <c r="I626" t="s">
        <v>46</v>
      </c>
      <c r="J626" s="6">
        <v>6</v>
      </c>
      <c r="K626" s="6">
        <v>2</v>
      </c>
      <c r="L626" t="s">
        <v>19</v>
      </c>
      <c r="M626" s="2">
        <v>44590</v>
      </c>
    </row>
    <row r="627" spans="1:13" x14ac:dyDescent="0.25">
      <c r="A627" t="s">
        <v>656</v>
      </c>
      <c r="B627" t="s">
        <v>14</v>
      </c>
      <c r="C627" s="6">
        <v>33</v>
      </c>
      <c r="D627" t="s">
        <v>15</v>
      </c>
      <c r="E627" t="s">
        <v>35</v>
      </c>
      <c r="F627" t="s">
        <v>28</v>
      </c>
      <c r="G627" s="6">
        <v>72</v>
      </c>
      <c r="H627" s="4">
        <v>69.87</v>
      </c>
      <c r="I627" t="s">
        <v>23</v>
      </c>
      <c r="J627" s="6">
        <v>0</v>
      </c>
      <c r="K627" s="6">
        <v>2</v>
      </c>
      <c r="L627" t="s">
        <v>19</v>
      </c>
      <c r="M627" s="2">
        <v>44476</v>
      </c>
    </row>
    <row r="628" spans="1:13" x14ac:dyDescent="0.25">
      <c r="A628" t="s">
        <v>657</v>
      </c>
      <c r="B628" t="s">
        <v>14</v>
      </c>
      <c r="C628" s="6">
        <v>34</v>
      </c>
      <c r="D628" t="s">
        <v>15</v>
      </c>
      <c r="E628" t="s">
        <v>22</v>
      </c>
      <c r="F628" t="s">
        <v>38</v>
      </c>
      <c r="G628" s="6">
        <v>23</v>
      </c>
      <c r="H628" s="4">
        <v>94.66</v>
      </c>
      <c r="I628" t="s">
        <v>18</v>
      </c>
      <c r="J628" s="6">
        <v>7</v>
      </c>
      <c r="K628" s="6">
        <v>1</v>
      </c>
      <c r="L628" t="s">
        <v>19</v>
      </c>
      <c r="M628" s="2">
        <v>44368</v>
      </c>
    </row>
    <row r="629" spans="1:13" x14ac:dyDescent="0.25">
      <c r="A629" t="s">
        <v>658</v>
      </c>
      <c r="B629" t="s">
        <v>26</v>
      </c>
      <c r="C629" s="6">
        <v>56</v>
      </c>
      <c r="D629" t="s">
        <v>15</v>
      </c>
      <c r="E629" t="s">
        <v>16</v>
      </c>
      <c r="F629" t="s">
        <v>28</v>
      </c>
      <c r="G629" s="6">
        <v>47</v>
      </c>
      <c r="H629" s="4">
        <v>65.08</v>
      </c>
      <c r="I629" t="s">
        <v>18</v>
      </c>
      <c r="J629" s="6">
        <v>6</v>
      </c>
      <c r="K629" s="6">
        <v>2</v>
      </c>
      <c r="L629" t="s">
        <v>19</v>
      </c>
      <c r="M629" s="2">
        <v>45366</v>
      </c>
    </row>
    <row r="630" spans="1:13" x14ac:dyDescent="0.25">
      <c r="A630" t="s">
        <v>659</v>
      </c>
      <c r="B630" t="s">
        <v>14</v>
      </c>
      <c r="C630" s="6">
        <v>51</v>
      </c>
      <c r="D630" t="s">
        <v>15</v>
      </c>
      <c r="E630" t="s">
        <v>35</v>
      </c>
      <c r="F630" t="s">
        <v>17</v>
      </c>
      <c r="G630" s="6">
        <v>31</v>
      </c>
      <c r="H630" s="4">
        <v>39</v>
      </c>
      <c r="I630" t="s">
        <v>31</v>
      </c>
      <c r="J630" s="6">
        <v>5</v>
      </c>
      <c r="K630" s="6">
        <v>5</v>
      </c>
      <c r="L630" t="s">
        <v>24</v>
      </c>
      <c r="M630" s="2">
        <v>45847</v>
      </c>
    </row>
    <row r="631" spans="1:13" x14ac:dyDescent="0.25">
      <c r="A631" t="s">
        <v>660</v>
      </c>
      <c r="B631" t="s">
        <v>14</v>
      </c>
      <c r="C631" s="6">
        <v>45</v>
      </c>
      <c r="D631" t="s">
        <v>30</v>
      </c>
      <c r="E631" t="s">
        <v>16</v>
      </c>
      <c r="F631" t="s">
        <v>17</v>
      </c>
      <c r="G631" s="6">
        <v>23</v>
      </c>
      <c r="H631" s="4">
        <v>33.21</v>
      </c>
      <c r="I631" t="s">
        <v>31</v>
      </c>
      <c r="J631" s="6">
        <v>7</v>
      </c>
      <c r="K631" s="6">
        <v>4</v>
      </c>
      <c r="L631" t="s">
        <v>19</v>
      </c>
      <c r="M631" s="2">
        <v>45404</v>
      </c>
    </row>
    <row r="632" spans="1:13" x14ac:dyDescent="0.25">
      <c r="A632" t="s">
        <v>661</v>
      </c>
      <c r="B632" t="s">
        <v>14</v>
      </c>
      <c r="C632" s="6">
        <v>49</v>
      </c>
      <c r="D632" t="s">
        <v>15</v>
      </c>
      <c r="E632" t="s">
        <v>22</v>
      </c>
      <c r="F632" t="s">
        <v>17</v>
      </c>
      <c r="G632" s="6">
        <v>41</v>
      </c>
      <c r="H632" s="4">
        <v>38.19</v>
      </c>
      <c r="I632" t="s">
        <v>23</v>
      </c>
      <c r="J632" s="6">
        <v>3</v>
      </c>
      <c r="K632" s="6">
        <v>3</v>
      </c>
      <c r="L632" t="s">
        <v>24</v>
      </c>
      <c r="M632" s="2">
        <v>44493</v>
      </c>
    </row>
    <row r="633" spans="1:13" x14ac:dyDescent="0.25">
      <c r="A633" t="s">
        <v>662</v>
      </c>
      <c r="B633" t="s">
        <v>26</v>
      </c>
      <c r="C633" s="6">
        <v>48</v>
      </c>
      <c r="D633" t="s">
        <v>15</v>
      </c>
      <c r="E633" t="s">
        <v>35</v>
      </c>
      <c r="F633" t="s">
        <v>17</v>
      </c>
      <c r="G633" s="6">
        <v>5</v>
      </c>
      <c r="H633" s="4">
        <v>42.62</v>
      </c>
      <c r="I633" t="s">
        <v>18</v>
      </c>
      <c r="J633" s="6">
        <v>3</v>
      </c>
      <c r="K633" s="6">
        <v>3</v>
      </c>
      <c r="L633" t="s">
        <v>24</v>
      </c>
      <c r="M633" s="2">
        <v>44830</v>
      </c>
    </row>
    <row r="634" spans="1:13" x14ac:dyDescent="0.25">
      <c r="A634" t="s">
        <v>663</v>
      </c>
      <c r="B634" t="s">
        <v>26</v>
      </c>
      <c r="C634" s="6">
        <v>69</v>
      </c>
      <c r="D634" t="s">
        <v>21</v>
      </c>
      <c r="E634" t="s">
        <v>22</v>
      </c>
      <c r="F634" t="s">
        <v>17</v>
      </c>
      <c r="G634" s="6">
        <v>57</v>
      </c>
      <c r="H634" s="4">
        <v>35.83</v>
      </c>
      <c r="I634" t="s">
        <v>23</v>
      </c>
      <c r="J634" s="6">
        <v>4</v>
      </c>
      <c r="K634" s="6">
        <v>3</v>
      </c>
      <c r="L634" t="s">
        <v>24</v>
      </c>
      <c r="M634" s="2">
        <v>45881</v>
      </c>
    </row>
    <row r="635" spans="1:13" x14ac:dyDescent="0.25">
      <c r="A635" t="s">
        <v>664</v>
      </c>
      <c r="B635" t="s">
        <v>14</v>
      </c>
      <c r="C635" s="6">
        <v>37</v>
      </c>
      <c r="D635" t="s">
        <v>30</v>
      </c>
      <c r="E635" t="s">
        <v>16</v>
      </c>
      <c r="F635" t="s">
        <v>28</v>
      </c>
      <c r="G635" s="6">
        <v>41</v>
      </c>
      <c r="H635" s="4">
        <v>68.19</v>
      </c>
      <c r="I635" t="s">
        <v>23</v>
      </c>
      <c r="J635" s="6">
        <v>0</v>
      </c>
      <c r="K635" s="6">
        <v>3</v>
      </c>
      <c r="L635" t="s">
        <v>24</v>
      </c>
      <c r="M635" s="2">
        <v>45882</v>
      </c>
    </row>
    <row r="636" spans="1:13" x14ac:dyDescent="0.25">
      <c r="A636" t="s">
        <v>665</v>
      </c>
      <c r="B636" t="s">
        <v>26</v>
      </c>
      <c r="C636" s="6">
        <v>48</v>
      </c>
      <c r="D636" t="s">
        <v>34</v>
      </c>
      <c r="E636" t="s">
        <v>35</v>
      </c>
      <c r="F636" t="s">
        <v>38</v>
      </c>
      <c r="G636" s="6">
        <v>55</v>
      </c>
      <c r="H636" s="4">
        <v>98.15</v>
      </c>
      <c r="I636" t="s">
        <v>18</v>
      </c>
      <c r="J636" s="6">
        <v>2</v>
      </c>
      <c r="K636" s="6">
        <v>3</v>
      </c>
      <c r="L636" t="s">
        <v>24</v>
      </c>
      <c r="M636" s="2">
        <v>44917</v>
      </c>
    </row>
    <row r="637" spans="1:13" x14ac:dyDescent="0.25">
      <c r="A637" t="s">
        <v>666</v>
      </c>
      <c r="B637" t="s">
        <v>26</v>
      </c>
      <c r="C637" s="6">
        <v>56</v>
      </c>
      <c r="D637" t="s">
        <v>15</v>
      </c>
      <c r="E637" t="s">
        <v>35</v>
      </c>
      <c r="F637" t="s">
        <v>38</v>
      </c>
      <c r="G637" s="6">
        <v>4</v>
      </c>
      <c r="H637" s="4">
        <v>96.43</v>
      </c>
      <c r="I637" t="s">
        <v>46</v>
      </c>
      <c r="J637" s="6">
        <v>7</v>
      </c>
      <c r="K637" s="6">
        <v>2</v>
      </c>
      <c r="L637" t="s">
        <v>19</v>
      </c>
      <c r="M637" s="2">
        <v>44606</v>
      </c>
    </row>
    <row r="638" spans="1:13" x14ac:dyDescent="0.25">
      <c r="A638" t="s">
        <v>667</v>
      </c>
      <c r="B638" t="s">
        <v>26</v>
      </c>
      <c r="C638" s="6">
        <v>38</v>
      </c>
      <c r="D638" t="s">
        <v>21</v>
      </c>
      <c r="E638" t="s">
        <v>16</v>
      </c>
      <c r="F638" t="s">
        <v>17</v>
      </c>
      <c r="G638" s="6">
        <v>32</v>
      </c>
      <c r="H638" s="4">
        <v>37.75</v>
      </c>
      <c r="I638" t="s">
        <v>46</v>
      </c>
      <c r="J638" s="6">
        <v>6</v>
      </c>
      <c r="K638" s="6">
        <v>3</v>
      </c>
      <c r="L638" t="s">
        <v>24</v>
      </c>
      <c r="M638" s="2">
        <v>45985</v>
      </c>
    </row>
    <row r="639" spans="1:13" x14ac:dyDescent="0.25">
      <c r="A639" t="s">
        <v>668</v>
      </c>
      <c r="B639" t="s">
        <v>14</v>
      </c>
      <c r="C639" s="6">
        <v>34</v>
      </c>
      <c r="D639" t="s">
        <v>30</v>
      </c>
      <c r="E639" t="s">
        <v>22</v>
      </c>
      <c r="F639" t="s">
        <v>38</v>
      </c>
      <c r="G639" s="6">
        <v>42</v>
      </c>
      <c r="H639" s="4">
        <v>96.99</v>
      </c>
      <c r="I639" t="s">
        <v>46</v>
      </c>
      <c r="J639" s="6">
        <v>1</v>
      </c>
      <c r="K639" s="6">
        <v>4</v>
      </c>
      <c r="L639" t="s">
        <v>24</v>
      </c>
      <c r="M639" s="2">
        <v>45002</v>
      </c>
    </row>
    <row r="640" spans="1:13" x14ac:dyDescent="0.25">
      <c r="A640" t="s">
        <v>669</v>
      </c>
      <c r="B640" t="s">
        <v>26</v>
      </c>
      <c r="C640" s="6">
        <v>54</v>
      </c>
      <c r="D640" t="s">
        <v>30</v>
      </c>
      <c r="E640" t="s">
        <v>16</v>
      </c>
      <c r="F640" t="s">
        <v>17</v>
      </c>
      <c r="G640" s="6">
        <v>72</v>
      </c>
      <c r="H640" s="4">
        <v>39.71</v>
      </c>
      <c r="I640" t="s">
        <v>46</v>
      </c>
      <c r="J640" s="6">
        <v>1</v>
      </c>
      <c r="K640" s="6">
        <v>4</v>
      </c>
      <c r="L640" t="s">
        <v>19</v>
      </c>
      <c r="M640" s="2">
        <v>45633</v>
      </c>
    </row>
    <row r="641" spans="1:13" x14ac:dyDescent="0.25">
      <c r="A641" t="s">
        <v>670</v>
      </c>
      <c r="B641" t="s">
        <v>14</v>
      </c>
      <c r="C641" s="6">
        <v>21</v>
      </c>
      <c r="D641" t="s">
        <v>34</v>
      </c>
      <c r="E641" t="s">
        <v>22</v>
      </c>
      <c r="F641" t="s">
        <v>28</v>
      </c>
      <c r="G641" s="6">
        <v>34</v>
      </c>
      <c r="H641" s="4">
        <v>57.24</v>
      </c>
      <c r="I641" t="s">
        <v>31</v>
      </c>
      <c r="J641" s="6">
        <v>2</v>
      </c>
      <c r="K641" s="6">
        <v>5</v>
      </c>
      <c r="L641" t="s">
        <v>24</v>
      </c>
      <c r="M641" s="2">
        <v>45668</v>
      </c>
    </row>
    <row r="642" spans="1:13" x14ac:dyDescent="0.25">
      <c r="A642" t="s">
        <v>671</v>
      </c>
      <c r="B642" t="s">
        <v>26</v>
      </c>
      <c r="C642" s="6">
        <v>67</v>
      </c>
      <c r="D642" t="s">
        <v>34</v>
      </c>
      <c r="E642" t="s">
        <v>22</v>
      </c>
      <c r="F642" t="s">
        <v>28</v>
      </c>
      <c r="G642" s="6">
        <v>16</v>
      </c>
      <c r="H642" s="4">
        <v>58.37</v>
      </c>
      <c r="I642" t="s">
        <v>46</v>
      </c>
      <c r="J642" s="6">
        <v>3</v>
      </c>
      <c r="K642" s="6">
        <v>3</v>
      </c>
      <c r="L642" t="s">
        <v>24</v>
      </c>
      <c r="M642" s="2">
        <v>45209</v>
      </c>
    </row>
    <row r="643" spans="1:13" x14ac:dyDescent="0.25">
      <c r="A643" t="s">
        <v>672</v>
      </c>
      <c r="B643" t="s">
        <v>26</v>
      </c>
      <c r="C643" s="6">
        <v>26</v>
      </c>
      <c r="D643" t="s">
        <v>34</v>
      </c>
      <c r="E643" t="s">
        <v>16</v>
      </c>
      <c r="F643" t="s">
        <v>38</v>
      </c>
      <c r="G643" s="6">
        <v>28</v>
      </c>
      <c r="H643" s="4">
        <v>99.93</v>
      </c>
      <c r="I643" t="s">
        <v>31</v>
      </c>
      <c r="J643" s="6">
        <v>3</v>
      </c>
      <c r="K643" s="6">
        <v>4</v>
      </c>
      <c r="L643" t="s">
        <v>19</v>
      </c>
      <c r="M643" s="2">
        <v>45819</v>
      </c>
    </row>
    <row r="644" spans="1:13" x14ac:dyDescent="0.25">
      <c r="A644" t="s">
        <v>673</v>
      </c>
      <c r="B644" t="s">
        <v>14</v>
      </c>
      <c r="C644" s="6">
        <v>19</v>
      </c>
      <c r="D644" t="s">
        <v>15</v>
      </c>
      <c r="E644" t="s">
        <v>35</v>
      </c>
      <c r="F644" t="s">
        <v>17</v>
      </c>
      <c r="G644" s="6">
        <v>58</v>
      </c>
      <c r="H644" s="4">
        <v>43.61</v>
      </c>
      <c r="I644" t="s">
        <v>31</v>
      </c>
      <c r="J644" s="6">
        <v>7</v>
      </c>
      <c r="K644" s="6">
        <v>1</v>
      </c>
      <c r="L644" t="s">
        <v>19</v>
      </c>
      <c r="M644" s="2">
        <v>44469</v>
      </c>
    </row>
    <row r="645" spans="1:13" x14ac:dyDescent="0.25">
      <c r="A645" t="s">
        <v>674</v>
      </c>
      <c r="B645" t="s">
        <v>26</v>
      </c>
      <c r="C645" s="6">
        <v>62</v>
      </c>
      <c r="D645" t="s">
        <v>34</v>
      </c>
      <c r="E645" t="s">
        <v>22</v>
      </c>
      <c r="F645" t="s">
        <v>17</v>
      </c>
      <c r="G645" s="6">
        <v>50</v>
      </c>
      <c r="H645" s="4">
        <v>40.630000000000003</v>
      </c>
      <c r="I645" t="s">
        <v>31</v>
      </c>
      <c r="J645" s="6">
        <v>1</v>
      </c>
      <c r="K645" s="6">
        <v>1</v>
      </c>
      <c r="L645" t="s">
        <v>24</v>
      </c>
      <c r="M645" s="2">
        <v>44303</v>
      </c>
    </row>
    <row r="646" spans="1:13" x14ac:dyDescent="0.25">
      <c r="A646" t="s">
        <v>675</v>
      </c>
      <c r="B646" t="s">
        <v>26</v>
      </c>
      <c r="C646" s="6">
        <v>33</v>
      </c>
      <c r="D646" t="s">
        <v>34</v>
      </c>
      <c r="E646" t="s">
        <v>35</v>
      </c>
      <c r="F646" t="s">
        <v>38</v>
      </c>
      <c r="G646" s="6">
        <v>6</v>
      </c>
      <c r="H646" s="4">
        <v>85.08</v>
      </c>
      <c r="I646" t="s">
        <v>23</v>
      </c>
      <c r="J646" s="6">
        <v>4</v>
      </c>
      <c r="K646" s="6">
        <v>4</v>
      </c>
      <c r="L646" t="s">
        <v>24</v>
      </c>
      <c r="M646" s="2">
        <v>44467</v>
      </c>
    </row>
    <row r="647" spans="1:13" x14ac:dyDescent="0.25">
      <c r="A647" t="s">
        <v>676</v>
      </c>
      <c r="B647" t="s">
        <v>14</v>
      </c>
      <c r="C647" s="6">
        <v>55</v>
      </c>
      <c r="D647" t="s">
        <v>30</v>
      </c>
      <c r="E647" t="s">
        <v>35</v>
      </c>
      <c r="F647" t="s">
        <v>17</v>
      </c>
      <c r="G647" s="6">
        <v>65</v>
      </c>
      <c r="H647" s="4">
        <v>37.39</v>
      </c>
      <c r="I647" t="s">
        <v>31</v>
      </c>
      <c r="J647" s="6">
        <v>7</v>
      </c>
      <c r="K647" s="6">
        <v>2</v>
      </c>
      <c r="L647" t="s">
        <v>19</v>
      </c>
      <c r="M647" s="2">
        <v>45651</v>
      </c>
    </row>
    <row r="648" spans="1:13" x14ac:dyDescent="0.25">
      <c r="A648" t="s">
        <v>677</v>
      </c>
      <c r="B648" t="s">
        <v>26</v>
      </c>
      <c r="C648" s="6">
        <v>27</v>
      </c>
      <c r="D648" t="s">
        <v>15</v>
      </c>
      <c r="E648" t="s">
        <v>16</v>
      </c>
      <c r="F648" t="s">
        <v>28</v>
      </c>
      <c r="G648" s="6">
        <v>6</v>
      </c>
      <c r="H648" s="4">
        <v>69.680000000000007</v>
      </c>
      <c r="I648" t="s">
        <v>23</v>
      </c>
      <c r="J648" s="6">
        <v>4</v>
      </c>
      <c r="K648" s="6">
        <v>3</v>
      </c>
      <c r="L648" t="s">
        <v>24</v>
      </c>
      <c r="M648" s="2">
        <v>44776</v>
      </c>
    </row>
    <row r="649" spans="1:13" x14ac:dyDescent="0.25">
      <c r="A649" t="s">
        <v>678</v>
      </c>
      <c r="B649" t="s">
        <v>26</v>
      </c>
      <c r="C649" s="6">
        <v>57</v>
      </c>
      <c r="D649" t="s">
        <v>15</v>
      </c>
      <c r="E649" t="s">
        <v>22</v>
      </c>
      <c r="F649" t="s">
        <v>28</v>
      </c>
      <c r="G649" s="6">
        <v>56</v>
      </c>
      <c r="H649" s="4">
        <v>68.39</v>
      </c>
      <c r="I649" t="s">
        <v>31</v>
      </c>
      <c r="J649" s="6">
        <v>7</v>
      </c>
      <c r="K649" s="6">
        <v>2</v>
      </c>
      <c r="L649" t="s">
        <v>24</v>
      </c>
      <c r="M649" s="2">
        <v>45543</v>
      </c>
    </row>
    <row r="650" spans="1:13" x14ac:dyDescent="0.25">
      <c r="A650" t="s">
        <v>679</v>
      </c>
      <c r="B650" t="s">
        <v>26</v>
      </c>
      <c r="C650" s="6">
        <v>21</v>
      </c>
      <c r="D650" t="s">
        <v>30</v>
      </c>
      <c r="E650" t="s">
        <v>16</v>
      </c>
      <c r="F650" t="s">
        <v>17</v>
      </c>
      <c r="G650" s="6">
        <v>30</v>
      </c>
      <c r="H650" s="4">
        <v>32.75</v>
      </c>
      <c r="I650" t="s">
        <v>23</v>
      </c>
      <c r="J650" s="6">
        <v>4</v>
      </c>
      <c r="K650" s="6">
        <v>2</v>
      </c>
      <c r="L650" t="s">
        <v>24</v>
      </c>
      <c r="M650" s="2">
        <v>45090</v>
      </c>
    </row>
    <row r="651" spans="1:13" x14ac:dyDescent="0.25">
      <c r="A651" t="s">
        <v>680</v>
      </c>
      <c r="B651" t="s">
        <v>14</v>
      </c>
      <c r="C651" s="6">
        <v>49</v>
      </c>
      <c r="D651" t="s">
        <v>21</v>
      </c>
      <c r="E651" t="s">
        <v>35</v>
      </c>
      <c r="F651" t="s">
        <v>28</v>
      </c>
      <c r="G651" s="6">
        <v>72</v>
      </c>
      <c r="H651" s="4">
        <v>62.28</v>
      </c>
      <c r="I651" t="s">
        <v>23</v>
      </c>
      <c r="J651" s="6">
        <v>1</v>
      </c>
      <c r="K651" s="6">
        <v>2</v>
      </c>
      <c r="L651" t="s">
        <v>19</v>
      </c>
      <c r="M651" s="2">
        <v>44388</v>
      </c>
    </row>
    <row r="652" spans="1:13" x14ac:dyDescent="0.25">
      <c r="A652" t="s">
        <v>681</v>
      </c>
      <c r="B652" t="s">
        <v>14</v>
      </c>
      <c r="C652" s="6">
        <v>36</v>
      </c>
      <c r="D652" t="s">
        <v>30</v>
      </c>
      <c r="E652" t="s">
        <v>16</v>
      </c>
      <c r="F652" t="s">
        <v>38</v>
      </c>
      <c r="G652" s="6">
        <v>66</v>
      </c>
      <c r="H652" s="4">
        <v>97.34</v>
      </c>
      <c r="I652" t="s">
        <v>46</v>
      </c>
      <c r="J652" s="6">
        <v>0</v>
      </c>
      <c r="K652" s="6">
        <v>5</v>
      </c>
      <c r="L652" t="s">
        <v>24</v>
      </c>
      <c r="M652" s="2">
        <v>44566</v>
      </c>
    </row>
    <row r="653" spans="1:13" x14ac:dyDescent="0.25">
      <c r="A653" t="s">
        <v>682</v>
      </c>
      <c r="B653" t="s">
        <v>26</v>
      </c>
      <c r="C653" s="6">
        <v>22</v>
      </c>
      <c r="D653" t="s">
        <v>30</v>
      </c>
      <c r="E653" t="s">
        <v>35</v>
      </c>
      <c r="F653" t="s">
        <v>38</v>
      </c>
      <c r="G653" s="6">
        <v>13</v>
      </c>
      <c r="H653" s="4">
        <v>98.31</v>
      </c>
      <c r="I653" t="s">
        <v>18</v>
      </c>
      <c r="J653" s="6">
        <v>4</v>
      </c>
      <c r="K653" s="6">
        <v>1</v>
      </c>
      <c r="L653" t="s">
        <v>24</v>
      </c>
      <c r="M653" s="2">
        <v>45406</v>
      </c>
    </row>
    <row r="654" spans="1:13" x14ac:dyDescent="0.25">
      <c r="A654" t="s">
        <v>683</v>
      </c>
      <c r="B654" t="s">
        <v>14</v>
      </c>
      <c r="C654" s="6">
        <v>38</v>
      </c>
      <c r="D654" t="s">
        <v>30</v>
      </c>
      <c r="E654" t="s">
        <v>16</v>
      </c>
      <c r="F654" t="s">
        <v>17</v>
      </c>
      <c r="G654" s="6">
        <v>59</v>
      </c>
      <c r="H654" s="4">
        <v>42.46</v>
      </c>
      <c r="I654" t="s">
        <v>23</v>
      </c>
      <c r="J654" s="6">
        <v>7</v>
      </c>
      <c r="K654" s="6">
        <v>3</v>
      </c>
      <c r="L654" t="s">
        <v>24</v>
      </c>
      <c r="M654" s="2">
        <v>44208</v>
      </c>
    </row>
    <row r="655" spans="1:13" x14ac:dyDescent="0.25">
      <c r="A655" t="s">
        <v>684</v>
      </c>
      <c r="B655" t="s">
        <v>26</v>
      </c>
      <c r="C655" s="6">
        <v>20</v>
      </c>
      <c r="D655" t="s">
        <v>34</v>
      </c>
      <c r="E655" t="s">
        <v>35</v>
      </c>
      <c r="F655" t="s">
        <v>38</v>
      </c>
      <c r="G655" s="6">
        <v>17</v>
      </c>
      <c r="H655" s="4">
        <v>88.17</v>
      </c>
      <c r="I655" t="s">
        <v>18</v>
      </c>
      <c r="J655" s="6">
        <v>4</v>
      </c>
      <c r="K655" s="6">
        <v>3</v>
      </c>
      <c r="L655" t="s">
        <v>24</v>
      </c>
      <c r="M655" s="2">
        <v>45720</v>
      </c>
    </row>
    <row r="656" spans="1:13" x14ac:dyDescent="0.25">
      <c r="A656" t="s">
        <v>685</v>
      </c>
      <c r="B656" t="s">
        <v>14</v>
      </c>
      <c r="C656" s="6">
        <v>53</v>
      </c>
      <c r="D656" t="s">
        <v>34</v>
      </c>
      <c r="E656" t="s">
        <v>16</v>
      </c>
      <c r="F656" t="s">
        <v>28</v>
      </c>
      <c r="G656" s="6">
        <v>33</v>
      </c>
      <c r="H656" s="4">
        <v>57.67</v>
      </c>
      <c r="I656" t="s">
        <v>23</v>
      </c>
      <c r="J656" s="6">
        <v>1</v>
      </c>
      <c r="K656" s="6">
        <v>1</v>
      </c>
      <c r="L656" t="s">
        <v>24</v>
      </c>
      <c r="M656" s="2">
        <v>44530</v>
      </c>
    </row>
    <row r="657" spans="1:13" x14ac:dyDescent="0.25">
      <c r="A657" t="s">
        <v>686</v>
      </c>
      <c r="B657" t="s">
        <v>26</v>
      </c>
      <c r="C657" s="6">
        <v>67</v>
      </c>
      <c r="D657" t="s">
        <v>34</v>
      </c>
      <c r="E657" t="s">
        <v>35</v>
      </c>
      <c r="F657" t="s">
        <v>38</v>
      </c>
      <c r="G657" s="6">
        <v>20</v>
      </c>
      <c r="H657" s="4">
        <v>86.81</v>
      </c>
      <c r="I657" t="s">
        <v>23</v>
      </c>
      <c r="J657" s="6">
        <v>6</v>
      </c>
      <c r="K657" s="6">
        <v>3</v>
      </c>
      <c r="L657" t="s">
        <v>24</v>
      </c>
      <c r="M657" s="2">
        <v>45432</v>
      </c>
    </row>
    <row r="658" spans="1:13" x14ac:dyDescent="0.25">
      <c r="A658" t="s">
        <v>687</v>
      </c>
      <c r="B658" t="s">
        <v>14</v>
      </c>
      <c r="C658" s="6">
        <v>40</v>
      </c>
      <c r="D658" t="s">
        <v>21</v>
      </c>
      <c r="E658" t="s">
        <v>35</v>
      </c>
      <c r="F658" t="s">
        <v>38</v>
      </c>
      <c r="G658" s="6">
        <v>26</v>
      </c>
      <c r="H658" s="4">
        <v>92.34</v>
      </c>
      <c r="I658" t="s">
        <v>23</v>
      </c>
      <c r="J658" s="6">
        <v>7</v>
      </c>
      <c r="K658" s="6">
        <v>3</v>
      </c>
      <c r="L658" t="s">
        <v>24</v>
      </c>
      <c r="M658" s="2">
        <v>45063</v>
      </c>
    </row>
    <row r="659" spans="1:13" x14ac:dyDescent="0.25">
      <c r="A659" t="s">
        <v>688</v>
      </c>
      <c r="B659" t="s">
        <v>14</v>
      </c>
      <c r="C659" s="6">
        <v>66</v>
      </c>
      <c r="D659" t="s">
        <v>34</v>
      </c>
      <c r="E659" t="s">
        <v>35</v>
      </c>
      <c r="F659" t="s">
        <v>38</v>
      </c>
      <c r="G659" s="6">
        <v>24</v>
      </c>
      <c r="H659" s="4">
        <v>91.51</v>
      </c>
      <c r="I659" t="s">
        <v>23</v>
      </c>
      <c r="J659" s="6">
        <v>1</v>
      </c>
      <c r="K659" s="6">
        <v>1</v>
      </c>
      <c r="L659" t="s">
        <v>24</v>
      </c>
      <c r="M659" s="2">
        <v>45146</v>
      </c>
    </row>
    <row r="660" spans="1:13" x14ac:dyDescent="0.25">
      <c r="A660" t="s">
        <v>689</v>
      </c>
      <c r="B660" t="s">
        <v>14</v>
      </c>
      <c r="C660" s="6">
        <v>59</v>
      </c>
      <c r="D660" t="s">
        <v>30</v>
      </c>
      <c r="E660" t="s">
        <v>35</v>
      </c>
      <c r="F660" t="s">
        <v>38</v>
      </c>
      <c r="G660" s="6">
        <v>68</v>
      </c>
      <c r="H660" s="4">
        <v>86.26</v>
      </c>
      <c r="I660" t="s">
        <v>23</v>
      </c>
      <c r="J660" s="6">
        <v>6</v>
      </c>
      <c r="K660" s="6">
        <v>1</v>
      </c>
      <c r="L660" t="s">
        <v>24</v>
      </c>
      <c r="M660" s="2">
        <v>45175</v>
      </c>
    </row>
    <row r="661" spans="1:13" x14ac:dyDescent="0.25">
      <c r="A661" t="s">
        <v>690</v>
      </c>
      <c r="B661" t="s">
        <v>26</v>
      </c>
      <c r="C661" s="6">
        <v>27</v>
      </c>
      <c r="D661" t="s">
        <v>30</v>
      </c>
      <c r="E661" t="s">
        <v>22</v>
      </c>
      <c r="F661" t="s">
        <v>28</v>
      </c>
      <c r="G661" s="6">
        <v>32</v>
      </c>
      <c r="H661" s="4">
        <v>62.85</v>
      </c>
      <c r="I661" t="s">
        <v>31</v>
      </c>
      <c r="J661" s="6">
        <v>0</v>
      </c>
      <c r="K661" s="6">
        <v>5</v>
      </c>
      <c r="L661" t="s">
        <v>19</v>
      </c>
      <c r="M661" s="2">
        <v>44289</v>
      </c>
    </row>
    <row r="662" spans="1:13" x14ac:dyDescent="0.25">
      <c r="A662" t="s">
        <v>691</v>
      </c>
      <c r="B662" t="s">
        <v>14</v>
      </c>
      <c r="C662" s="6">
        <v>50</v>
      </c>
      <c r="D662" t="s">
        <v>34</v>
      </c>
      <c r="E662" t="s">
        <v>35</v>
      </c>
      <c r="F662" t="s">
        <v>17</v>
      </c>
      <c r="G662" s="6">
        <v>60</v>
      </c>
      <c r="H662" s="4">
        <v>39.909999999999997</v>
      </c>
      <c r="I662" t="s">
        <v>31</v>
      </c>
      <c r="J662" s="6">
        <v>5</v>
      </c>
      <c r="K662" s="6">
        <v>3</v>
      </c>
      <c r="L662" t="s">
        <v>24</v>
      </c>
      <c r="M662" s="2">
        <v>45771</v>
      </c>
    </row>
    <row r="663" spans="1:13" x14ac:dyDescent="0.25">
      <c r="A663" t="s">
        <v>692</v>
      </c>
      <c r="B663" t="s">
        <v>14</v>
      </c>
      <c r="C663" s="6">
        <v>25</v>
      </c>
      <c r="D663" t="s">
        <v>34</v>
      </c>
      <c r="E663" t="s">
        <v>16</v>
      </c>
      <c r="F663" t="s">
        <v>17</v>
      </c>
      <c r="G663" s="6">
        <v>51</v>
      </c>
      <c r="H663" s="4">
        <v>30.68</v>
      </c>
      <c r="I663" t="s">
        <v>23</v>
      </c>
      <c r="J663" s="6">
        <v>4</v>
      </c>
      <c r="K663" s="6">
        <v>3</v>
      </c>
      <c r="L663" t="s">
        <v>24</v>
      </c>
      <c r="M663" s="2">
        <v>45128</v>
      </c>
    </row>
    <row r="664" spans="1:13" x14ac:dyDescent="0.25">
      <c r="A664" t="s">
        <v>693</v>
      </c>
      <c r="B664" t="s">
        <v>26</v>
      </c>
      <c r="C664" s="6">
        <v>57</v>
      </c>
      <c r="D664" t="s">
        <v>15</v>
      </c>
      <c r="E664" t="s">
        <v>35</v>
      </c>
      <c r="F664" t="s">
        <v>17</v>
      </c>
      <c r="G664" s="6">
        <v>28</v>
      </c>
      <c r="H664" s="4">
        <v>32.78</v>
      </c>
      <c r="I664" t="s">
        <v>31</v>
      </c>
      <c r="J664" s="6">
        <v>1</v>
      </c>
      <c r="K664" s="6">
        <v>4</v>
      </c>
      <c r="L664" t="s">
        <v>24</v>
      </c>
      <c r="M664" s="2">
        <v>44208</v>
      </c>
    </row>
    <row r="665" spans="1:13" x14ac:dyDescent="0.25">
      <c r="A665" t="s">
        <v>694</v>
      </c>
      <c r="B665" t="s">
        <v>26</v>
      </c>
      <c r="C665" s="6">
        <v>25</v>
      </c>
      <c r="D665" t="s">
        <v>21</v>
      </c>
      <c r="E665" t="s">
        <v>16</v>
      </c>
      <c r="F665" t="s">
        <v>38</v>
      </c>
      <c r="G665" s="6">
        <v>62</v>
      </c>
      <c r="H665" s="4">
        <v>91.9</v>
      </c>
      <c r="I665" t="s">
        <v>23</v>
      </c>
      <c r="J665" s="6">
        <v>7</v>
      </c>
      <c r="K665" s="6">
        <v>3</v>
      </c>
      <c r="L665" t="s">
        <v>24</v>
      </c>
      <c r="M665" s="2">
        <v>45460</v>
      </c>
    </row>
    <row r="666" spans="1:13" x14ac:dyDescent="0.25">
      <c r="A666" t="s">
        <v>695</v>
      </c>
      <c r="B666" t="s">
        <v>26</v>
      </c>
      <c r="C666" s="6">
        <v>62</v>
      </c>
      <c r="D666" t="s">
        <v>34</v>
      </c>
      <c r="E666" t="s">
        <v>35</v>
      </c>
      <c r="F666" t="s">
        <v>17</v>
      </c>
      <c r="G666" s="6">
        <v>17</v>
      </c>
      <c r="H666" s="4">
        <v>32.03</v>
      </c>
      <c r="I666" t="s">
        <v>46</v>
      </c>
      <c r="J666" s="6">
        <v>1</v>
      </c>
      <c r="K666" s="6">
        <v>1</v>
      </c>
      <c r="L666" t="s">
        <v>24</v>
      </c>
      <c r="M666" s="2">
        <v>44582</v>
      </c>
    </row>
    <row r="667" spans="1:13" x14ac:dyDescent="0.25">
      <c r="A667" t="s">
        <v>696</v>
      </c>
      <c r="B667" t="s">
        <v>14</v>
      </c>
      <c r="C667" s="6">
        <v>31</v>
      </c>
      <c r="D667" t="s">
        <v>34</v>
      </c>
      <c r="E667" t="s">
        <v>22</v>
      </c>
      <c r="F667" t="s">
        <v>17</v>
      </c>
      <c r="G667" s="6">
        <v>31</v>
      </c>
      <c r="H667" s="4">
        <v>36.54</v>
      </c>
      <c r="I667" t="s">
        <v>46</v>
      </c>
      <c r="J667" s="6">
        <v>1</v>
      </c>
      <c r="K667" s="6">
        <v>3</v>
      </c>
      <c r="L667" t="s">
        <v>24</v>
      </c>
      <c r="M667" s="2">
        <v>44500</v>
      </c>
    </row>
    <row r="668" spans="1:13" x14ac:dyDescent="0.25">
      <c r="A668" t="s">
        <v>697</v>
      </c>
      <c r="B668" t="s">
        <v>26</v>
      </c>
      <c r="C668" s="6">
        <v>45</v>
      </c>
      <c r="D668" t="s">
        <v>21</v>
      </c>
      <c r="E668" t="s">
        <v>16</v>
      </c>
      <c r="F668" t="s">
        <v>17</v>
      </c>
      <c r="G668" s="6">
        <v>20</v>
      </c>
      <c r="H668" s="4">
        <v>41.08</v>
      </c>
      <c r="I668" t="s">
        <v>23</v>
      </c>
      <c r="J668" s="6">
        <v>7</v>
      </c>
      <c r="K668" s="6">
        <v>4</v>
      </c>
      <c r="L668" t="s">
        <v>19</v>
      </c>
      <c r="M668" s="2">
        <v>45117</v>
      </c>
    </row>
    <row r="669" spans="1:13" x14ac:dyDescent="0.25">
      <c r="A669" t="s">
        <v>698</v>
      </c>
      <c r="B669" t="s">
        <v>14</v>
      </c>
      <c r="C669" s="6">
        <v>30</v>
      </c>
      <c r="D669" t="s">
        <v>15</v>
      </c>
      <c r="E669" t="s">
        <v>22</v>
      </c>
      <c r="F669" t="s">
        <v>28</v>
      </c>
      <c r="G669" s="6">
        <v>7</v>
      </c>
      <c r="H669" s="4">
        <v>60.01</v>
      </c>
      <c r="I669" t="s">
        <v>18</v>
      </c>
      <c r="J669" s="6">
        <v>6</v>
      </c>
      <c r="K669" s="6">
        <v>4</v>
      </c>
      <c r="L669" t="s">
        <v>24</v>
      </c>
      <c r="M669" s="2">
        <v>45706</v>
      </c>
    </row>
    <row r="670" spans="1:13" x14ac:dyDescent="0.25">
      <c r="A670" t="s">
        <v>699</v>
      </c>
      <c r="B670" t="s">
        <v>26</v>
      </c>
      <c r="C670" s="6">
        <v>20</v>
      </c>
      <c r="D670" t="s">
        <v>34</v>
      </c>
      <c r="E670" t="s">
        <v>35</v>
      </c>
      <c r="F670" t="s">
        <v>28</v>
      </c>
      <c r="G670" s="6">
        <v>66</v>
      </c>
      <c r="H670" s="4">
        <v>63.87</v>
      </c>
      <c r="I670" t="s">
        <v>23</v>
      </c>
      <c r="J670" s="6">
        <v>3</v>
      </c>
      <c r="K670" s="6">
        <v>1</v>
      </c>
      <c r="L670" t="s">
        <v>24</v>
      </c>
      <c r="M670" s="2">
        <v>45061</v>
      </c>
    </row>
    <row r="671" spans="1:13" x14ac:dyDescent="0.25">
      <c r="A671" t="s">
        <v>700</v>
      </c>
      <c r="B671" t="s">
        <v>26</v>
      </c>
      <c r="C671" s="6">
        <v>53</v>
      </c>
      <c r="D671" t="s">
        <v>21</v>
      </c>
      <c r="E671" t="s">
        <v>35</v>
      </c>
      <c r="F671" t="s">
        <v>38</v>
      </c>
      <c r="G671" s="6">
        <v>54</v>
      </c>
      <c r="H671" s="4">
        <v>98.34</v>
      </c>
      <c r="I671" t="s">
        <v>18</v>
      </c>
      <c r="J671" s="6">
        <v>7</v>
      </c>
      <c r="K671" s="6">
        <v>5</v>
      </c>
      <c r="L671" t="s">
        <v>24</v>
      </c>
      <c r="M671" s="2">
        <v>44907</v>
      </c>
    </row>
    <row r="672" spans="1:13" x14ac:dyDescent="0.25">
      <c r="A672" t="s">
        <v>701</v>
      </c>
      <c r="B672" t="s">
        <v>26</v>
      </c>
      <c r="C672" s="6">
        <v>62</v>
      </c>
      <c r="D672" t="s">
        <v>34</v>
      </c>
      <c r="E672" t="s">
        <v>16</v>
      </c>
      <c r="F672" t="s">
        <v>17</v>
      </c>
      <c r="G672" s="6">
        <v>37</v>
      </c>
      <c r="H672" s="4">
        <v>40.89</v>
      </c>
      <c r="I672" t="s">
        <v>23</v>
      </c>
      <c r="J672" s="6">
        <v>5</v>
      </c>
      <c r="K672" s="6">
        <v>4</v>
      </c>
      <c r="L672" t="s">
        <v>19</v>
      </c>
      <c r="M672" s="2">
        <v>44646</v>
      </c>
    </row>
    <row r="673" spans="1:13" x14ac:dyDescent="0.25">
      <c r="A673" t="s">
        <v>702</v>
      </c>
      <c r="B673" t="s">
        <v>26</v>
      </c>
      <c r="C673" s="6">
        <v>56</v>
      </c>
      <c r="D673" t="s">
        <v>34</v>
      </c>
      <c r="E673" t="s">
        <v>16</v>
      </c>
      <c r="F673" t="s">
        <v>28</v>
      </c>
      <c r="G673" s="6">
        <v>50</v>
      </c>
      <c r="H673" s="4">
        <v>69.400000000000006</v>
      </c>
      <c r="I673" t="s">
        <v>31</v>
      </c>
      <c r="J673" s="6">
        <v>7</v>
      </c>
      <c r="K673" s="6">
        <v>2</v>
      </c>
      <c r="L673" t="s">
        <v>24</v>
      </c>
      <c r="M673" s="2">
        <v>44775</v>
      </c>
    </row>
    <row r="674" spans="1:13" x14ac:dyDescent="0.25">
      <c r="A674" t="s">
        <v>703</v>
      </c>
      <c r="B674" t="s">
        <v>14</v>
      </c>
      <c r="C674" s="6">
        <v>60</v>
      </c>
      <c r="D674" t="s">
        <v>34</v>
      </c>
      <c r="E674" t="s">
        <v>16</v>
      </c>
      <c r="F674" t="s">
        <v>17</v>
      </c>
      <c r="G674" s="6">
        <v>26</v>
      </c>
      <c r="H674" s="4">
        <v>32.340000000000003</v>
      </c>
      <c r="I674" t="s">
        <v>23</v>
      </c>
      <c r="J674" s="6">
        <v>1</v>
      </c>
      <c r="K674" s="6">
        <v>4</v>
      </c>
      <c r="L674" t="s">
        <v>24</v>
      </c>
      <c r="M674" s="2">
        <v>45208</v>
      </c>
    </row>
    <row r="675" spans="1:13" x14ac:dyDescent="0.25">
      <c r="A675" t="s">
        <v>704</v>
      </c>
      <c r="B675" t="s">
        <v>26</v>
      </c>
      <c r="C675" s="6">
        <v>33</v>
      </c>
      <c r="D675" t="s">
        <v>30</v>
      </c>
      <c r="E675" t="s">
        <v>22</v>
      </c>
      <c r="F675" t="s">
        <v>17</v>
      </c>
      <c r="G675" s="6">
        <v>3</v>
      </c>
      <c r="H675" s="4">
        <v>35.380000000000003</v>
      </c>
      <c r="I675" t="s">
        <v>31</v>
      </c>
      <c r="J675" s="6">
        <v>5</v>
      </c>
      <c r="K675" s="6">
        <v>2</v>
      </c>
      <c r="L675" t="s">
        <v>19</v>
      </c>
      <c r="M675" s="2">
        <v>45957</v>
      </c>
    </row>
    <row r="676" spans="1:13" x14ac:dyDescent="0.25">
      <c r="A676" t="s">
        <v>705</v>
      </c>
      <c r="B676" t="s">
        <v>14</v>
      </c>
      <c r="C676" s="6">
        <v>69</v>
      </c>
      <c r="D676" t="s">
        <v>21</v>
      </c>
      <c r="E676" t="s">
        <v>35</v>
      </c>
      <c r="F676" t="s">
        <v>28</v>
      </c>
      <c r="G676" s="6">
        <v>15</v>
      </c>
      <c r="H676" s="4">
        <v>64.260000000000005</v>
      </c>
      <c r="I676" t="s">
        <v>18</v>
      </c>
      <c r="J676" s="6">
        <v>8</v>
      </c>
      <c r="K676" s="6">
        <v>2</v>
      </c>
      <c r="L676" t="s">
        <v>24</v>
      </c>
      <c r="M676" s="2">
        <v>44893</v>
      </c>
    </row>
    <row r="677" spans="1:13" x14ac:dyDescent="0.25">
      <c r="A677" t="s">
        <v>706</v>
      </c>
      <c r="B677" t="s">
        <v>26</v>
      </c>
      <c r="C677" s="6">
        <v>67</v>
      </c>
      <c r="D677" t="s">
        <v>21</v>
      </c>
      <c r="E677" t="s">
        <v>22</v>
      </c>
      <c r="F677" t="s">
        <v>28</v>
      </c>
      <c r="G677" s="6">
        <v>20</v>
      </c>
      <c r="H677" s="4">
        <v>67.8</v>
      </c>
      <c r="I677" t="s">
        <v>18</v>
      </c>
      <c r="J677" s="6">
        <v>0</v>
      </c>
      <c r="K677" s="6">
        <v>4</v>
      </c>
      <c r="L677" t="s">
        <v>24</v>
      </c>
      <c r="M677" s="2">
        <v>45920</v>
      </c>
    </row>
    <row r="678" spans="1:13" x14ac:dyDescent="0.25">
      <c r="A678" t="s">
        <v>707</v>
      </c>
      <c r="B678" t="s">
        <v>14</v>
      </c>
      <c r="C678" s="6">
        <v>24</v>
      </c>
      <c r="D678" t="s">
        <v>21</v>
      </c>
      <c r="E678" t="s">
        <v>22</v>
      </c>
      <c r="F678" t="s">
        <v>17</v>
      </c>
      <c r="G678" s="6">
        <v>65</v>
      </c>
      <c r="H678" s="4">
        <v>31.58</v>
      </c>
      <c r="I678" t="s">
        <v>18</v>
      </c>
      <c r="J678" s="6">
        <v>3</v>
      </c>
      <c r="K678" s="6">
        <v>3</v>
      </c>
      <c r="L678" t="s">
        <v>24</v>
      </c>
      <c r="M678" s="2">
        <v>44795</v>
      </c>
    </row>
    <row r="679" spans="1:13" x14ac:dyDescent="0.25">
      <c r="A679" t="s">
        <v>708</v>
      </c>
      <c r="B679" t="s">
        <v>26</v>
      </c>
      <c r="C679" s="6">
        <v>66</v>
      </c>
      <c r="D679" t="s">
        <v>34</v>
      </c>
      <c r="E679" t="s">
        <v>22</v>
      </c>
      <c r="F679" t="s">
        <v>17</v>
      </c>
      <c r="G679" s="6">
        <v>20</v>
      </c>
      <c r="H679" s="4">
        <v>39.71</v>
      </c>
      <c r="I679" t="s">
        <v>31</v>
      </c>
      <c r="J679" s="6">
        <v>2</v>
      </c>
      <c r="K679" s="6">
        <v>1</v>
      </c>
      <c r="L679" t="s">
        <v>24</v>
      </c>
      <c r="M679" s="2">
        <v>45096</v>
      </c>
    </row>
    <row r="680" spans="1:13" x14ac:dyDescent="0.25">
      <c r="A680" t="s">
        <v>709</v>
      </c>
      <c r="B680" t="s">
        <v>26</v>
      </c>
      <c r="C680" s="6">
        <v>67</v>
      </c>
      <c r="D680" t="s">
        <v>21</v>
      </c>
      <c r="E680" t="s">
        <v>16</v>
      </c>
      <c r="F680" t="s">
        <v>28</v>
      </c>
      <c r="G680" s="6">
        <v>44</v>
      </c>
      <c r="H680" s="4">
        <v>59.3</v>
      </c>
      <c r="I680" t="s">
        <v>46</v>
      </c>
      <c r="J680" s="6">
        <v>1</v>
      </c>
      <c r="K680" s="6">
        <v>3</v>
      </c>
      <c r="L680" t="s">
        <v>24</v>
      </c>
      <c r="M680" s="2">
        <v>45742</v>
      </c>
    </row>
    <row r="681" spans="1:13" x14ac:dyDescent="0.25">
      <c r="A681" t="s">
        <v>710</v>
      </c>
      <c r="B681" t="s">
        <v>26</v>
      </c>
      <c r="C681" s="6">
        <v>41</v>
      </c>
      <c r="D681" t="s">
        <v>30</v>
      </c>
      <c r="E681" t="s">
        <v>16</v>
      </c>
      <c r="F681" t="s">
        <v>38</v>
      </c>
      <c r="G681" s="6">
        <v>54</v>
      </c>
      <c r="H681" s="4">
        <v>96.81</v>
      </c>
      <c r="I681" t="s">
        <v>46</v>
      </c>
      <c r="J681" s="6">
        <v>6</v>
      </c>
      <c r="K681" s="6">
        <v>4</v>
      </c>
      <c r="L681" t="s">
        <v>24</v>
      </c>
      <c r="M681" s="2">
        <v>45136</v>
      </c>
    </row>
    <row r="682" spans="1:13" x14ac:dyDescent="0.25">
      <c r="A682" t="s">
        <v>711</v>
      </c>
      <c r="B682" t="s">
        <v>26</v>
      </c>
      <c r="C682" s="6">
        <v>19</v>
      </c>
      <c r="D682" t="s">
        <v>34</v>
      </c>
      <c r="E682" t="s">
        <v>16</v>
      </c>
      <c r="F682" t="s">
        <v>17</v>
      </c>
      <c r="G682" s="6">
        <v>67</v>
      </c>
      <c r="H682" s="4">
        <v>44.15</v>
      </c>
      <c r="I682" t="s">
        <v>18</v>
      </c>
      <c r="J682" s="6">
        <v>5</v>
      </c>
      <c r="K682" s="6">
        <v>3</v>
      </c>
      <c r="L682" t="s">
        <v>24</v>
      </c>
      <c r="M682" s="2">
        <v>45778</v>
      </c>
    </row>
    <row r="683" spans="1:13" x14ac:dyDescent="0.25">
      <c r="A683" t="s">
        <v>712</v>
      </c>
      <c r="B683" t="s">
        <v>14</v>
      </c>
      <c r="C683" s="6">
        <v>45</v>
      </c>
      <c r="D683" t="s">
        <v>21</v>
      </c>
      <c r="E683" t="s">
        <v>35</v>
      </c>
      <c r="F683" t="s">
        <v>17</v>
      </c>
      <c r="G683" s="6">
        <v>20</v>
      </c>
      <c r="H683" s="4">
        <v>43.54</v>
      </c>
      <c r="I683" t="s">
        <v>18</v>
      </c>
      <c r="J683" s="6">
        <v>8</v>
      </c>
      <c r="K683" s="6">
        <v>3</v>
      </c>
      <c r="L683" t="s">
        <v>24</v>
      </c>
      <c r="M683" s="2">
        <v>45591</v>
      </c>
    </row>
    <row r="684" spans="1:13" x14ac:dyDescent="0.25">
      <c r="A684" t="s">
        <v>713</v>
      </c>
      <c r="B684" t="s">
        <v>26</v>
      </c>
      <c r="C684" s="6">
        <v>64</v>
      </c>
      <c r="D684" t="s">
        <v>15</v>
      </c>
      <c r="E684" t="s">
        <v>35</v>
      </c>
      <c r="F684" t="s">
        <v>17</v>
      </c>
      <c r="G684" s="6">
        <v>36</v>
      </c>
      <c r="H684" s="4">
        <v>43.5</v>
      </c>
      <c r="I684" t="s">
        <v>46</v>
      </c>
      <c r="J684" s="6">
        <v>6</v>
      </c>
      <c r="K684" s="6">
        <v>4</v>
      </c>
      <c r="L684" t="s">
        <v>24</v>
      </c>
      <c r="M684" s="2">
        <v>45311</v>
      </c>
    </row>
    <row r="685" spans="1:13" x14ac:dyDescent="0.25">
      <c r="A685" t="s">
        <v>714</v>
      </c>
      <c r="B685" t="s">
        <v>26</v>
      </c>
      <c r="C685" s="6">
        <v>62</v>
      </c>
      <c r="D685" t="s">
        <v>15</v>
      </c>
      <c r="E685" t="s">
        <v>22</v>
      </c>
      <c r="F685" t="s">
        <v>28</v>
      </c>
      <c r="G685" s="6">
        <v>26</v>
      </c>
      <c r="H685" s="4">
        <v>68.209999999999994</v>
      </c>
      <c r="I685" t="s">
        <v>18</v>
      </c>
      <c r="J685" s="6">
        <v>0</v>
      </c>
      <c r="K685" s="6">
        <v>5</v>
      </c>
      <c r="L685" t="s">
        <v>24</v>
      </c>
      <c r="M685" s="2">
        <v>45682</v>
      </c>
    </row>
    <row r="686" spans="1:13" x14ac:dyDescent="0.25">
      <c r="A686" t="s">
        <v>715</v>
      </c>
      <c r="B686" t="s">
        <v>14</v>
      </c>
      <c r="C686" s="6">
        <v>51</v>
      </c>
      <c r="D686" t="s">
        <v>15</v>
      </c>
      <c r="E686" t="s">
        <v>16</v>
      </c>
      <c r="F686" t="s">
        <v>17</v>
      </c>
      <c r="G686" s="6">
        <v>66</v>
      </c>
      <c r="H686" s="4">
        <v>38.28</v>
      </c>
      <c r="I686" t="s">
        <v>31</v>
      </c>
      <c r="J686" s="6">
        <v>2</v>
      </c>
      <c r="K686" s="6">
        <v>1</v>
      </c>
      <c r="L686" t="s">
        <v>19</v>
      </c>
      <c r="M686" s="2">
        <v>45828</v>
      </c>
    </row>
    <row r="687" spans="1:13" x14ac:dyDescent="0.25">
      <c r="A687" t="s">
        <v>716</v>
      </c>
      <c r="B687" t="s">
        <v>26</v>
      </c>
      <c r="C687" s="6">
        <v>33</v>
      </c>
      <c r="D687" t="s">
        <v>15</v>
      </c>
      <c r="E687" t="s">
        <v>22</v>
      </c>
      <c r="F687" t="s">
        <v>28</v>
      </c>
      <c r="G687" s="6">
        <v>65</v>
      </c>
      <c r="H687" s="4">
        <v>56.66</v>
      </c>
      <c r="I687" t="s">
        <v>18</v>
      </c>
      <c r="J687" s="6">
        <v>5</v>
      </c>
      <c r="K687" s="6">
        <v>3</v>
      </c>
      <c r="L687" t="s">
        <v>24</v>
      </c>
      <c r="M687" s="2">
        <v>44922</v>
      </c>
    </row>
    <row r="688" spans="1:13" x14ac:dyDescent="0.25">
      <c r="A688" t="s">
        <v>717</v>
      </c>
      <c r="B688" t="s">
        <v>14</v>
      </c>
      <c r="C688" s="6">
        <v>21</v>
      </c>
      <c r="D688" t="s">
        <v>21</v>
      </c>
      <c r="E688" t="s">
        <v>35</v>
      </c>
      <c r="F688" t="s">
        <v>28</v>
      </c>
      <c r="G688" s="6">
        <v>1</v>
      </c>
      <c r="H688" s="4">
        <v>61.8</v>
      </c>
      <c r="I688" t="s">
        <v>46</v>
      </c>
      <c r="J688" s="6">
        <v>8</v>
      </c>
      <c r="K688" s="6">
        <v>5</v>
      </c>
      <c r="L688" t="s">
        <v>19</v>
      </c>
      <c r="M688" s="2">
        <v>44809</v>
      </c>
    </row>
    <row r="689" spans="1:13" x14ac:dyDescent="0.25">
      <c r="A689" t="s">
        <v>718</v>
      </c>
      <c r="B689" t="s">
        <v>26</v>
      </c>
      <c r="C689" s="6">
        <v>60</v>
      </c>
      <c r="D689" t="s">
        <v>30</v>
      </c>
      <c r="E689" t="s">
        <v>22</v>
      </c>
      <c r="F689" t="s">
        <v>28</v>
      </c>
      <c r="G689" s="6">
        <v>67</v>
      </c>
      <c r="H689" s="4">
        <v>66.06</v>
      </c>
      <c r="I689" t="s">
        <v>18</v>
      </c>
      <c r="J689" s="6">
        <v>5</v>
      </c>
      <c r="K689" s="6">
        <v>5</v>
      </c>
      <c r="L689" t="s">
        <v>24</v>
      </c>
      <c r="M689" s="2">
        <v>45882</v>
      </c>
    </row>
    <row r="690" spans="1:13" x14ac:dyDescent="0.25">
      <c r="A690" t="s">
        <v>719</v>
      </c>
      <c r="B690" t="s">
        <v>26</v>
      </c>
      <c r="C690" s="6">
        <v>47</v>
      </c>
      <c r="D690" t="s">
        <v>21</v>
      </c>
      <c r="E690" t="s">
        <v>16</v>
      </c>
      <c r="F690" t="s">
        <v>38</v>
      </c>
      <c r="G690" s="6">
        <v>55</v>
      </c>
      <c r="H690" s="4">
        <v>97.43</v>
      </c>
      <c r="I690" t="s">
        <v>18</v>
      </c>
      <c r="J690" s="6">
        <v>1</v>
      </c>
      <c r="K690" s="6">
        <v>1</v>
      </c>
      <c r="L690" t="s">
        <v>24</v>
      </c>
      <c r="M690" s="2">
        <v>44463</v>
      </c>
    </row>
    <row r="691" spans="1:13" x14ac:dyDescent="0.25">
      <c r="A691" t="s">
        <v>720</v>
      </c>
      <c r="B691" t="s">
        <v>26</v>
      </c>
      <c r="C691" s="6">
        <v>31</v>
      </c>
      <c r="D691" t="s">
        <v>34</v>
      </c>
      <c r="E691" t="s">
        <v>16</v>
      </c>
      <c r="F691" t="s">
        <v>28</v>
      </c>
      <c r="G691" s="6">
        <v>68</v>
      </c>
      <c r="H691" s="4">
        <v>61.04</v>
      </c>
      <c r="I691" t="s">
        <v>23</v>
      </c>
      <c r="J691" s="6">
        <v>4</v>
      </c>
      <c r="K691" s="6">
        <v>5</v>
      </c>
      <c r="L691" t="s">
        <v>24</v>
      </c>
      <c r="M691" s="2">
        <v>45064</v>
      </c>
    </row>
    <row r="692" spans="1:13" x14ac:dyDescent="0.25">
      <c r="A692" t="s">
        <v>721</v>
      </c>
      <c r="B692" t="s">
        <v>26</v>
      </c>
      <c r="C692" s="6">
        <v>62</v>
      </c>
      <c r="D692" t="s">
        <v>34</v>
      </c>
      <c r="E692" t="s">
        <v>22</v>
      </c>
      <c r="F692" t="s">
        <v>28</v>
      </c>
      <c r="G692" s="6">
        <v>21</v>
      </c>
      <c r="H692" s="4">
        <v>57.17</v>
      </c>
      <c r="I692" t="s">
        <v>46</v>
      </c>
      <c r="J692" s="6">
        <v>7</v>
      </c>
      <c r="K692" s="6">
        <v>4</v>
      </c>
      <c r="L692" t="s">
        <v>19</v>
      </c>
      <c r="M692" s="2">
        <v>45639</v>
      </c>
    </row>
    <row r="693" spans="1:13" x14ac:dyDescent="0.25">
      <c r="A693" t="s">
        <v>722</v>
      </c>
      <c r="B693" t="s">
        <v>14</v>
      </c>
      <c r="C693" s="6">
        <v>62</v>
      </c>
      <c r="D693" t="s">
        <v>30</v>
      </c>
      <c r="E693" t="s">
        <v>35</v>
      </c>
      <c r="F693" t="s">
        <v>28</v>
      </c>
      <c r="G693" s="6">
        <v>5</v>
      </c>
      <c r="H693" s="4">
        <v>66.2</v>
      </c>
      <c r="I693" t="s">
        <v>31</v>
      </c>
      <c r="J693" s="6">
        <v>1</v>
      </c>
      <c r="K693" s="6">
        <v>5</v>
      </c>
      <c r="L693" t="s">
        <v>24</v>
      </c>
      <c r="M693" s="2">
        <v>44422</v>
      </c>
    </row>
    <row r="694" spans="1:13" x14ac:dyDescent="0.25">
      <c r="A694" t="s">
        <v>723</v>
      </c>
      <c r="B694" t="s">
        <v>14</v>
      </c>
      <c r="C694" s="6">
        <v>41</v>
      </c>
      <c r="D694" t="s">
        <v>15</v>
      </c>
      <c r="E694" t="s">
        <v>16</v>
      </c>
      <c r="F694" t="s">
        <v>38</v>
      </c>
      <c r="G694" s="6">
        <v>20</v>
      </c>
      <c r="H694" s="4">
        <v>86.77</v>
      </c>
      <c r="I694" t="s">
        <v>31</v>
      </c>
      <c r="J694" s="6">
        <v>5</v>
      </c>
      <c r="K694" s="6">
        <v>3</v>
      </c>
      <c r="L694" t="s">
        <v>19</v>
      </c>
      <c r="M694" s="2">
        <v>44254</v>
      </c>
    </row>
    <row r="695" spans="1:13" x14ac:dyDescent="0.25">
      <c r="A695" t="s">
        <v>724</v>
      </c>
      <c r="B695" t="s">
        <v>14</v>
      </c>
      <c r="C695" s="6">
        <v>27</v>
      </c>
      <c r="D695" t="s">
        <v>34</v>
      </c>
      <c r="E695" t="s">
        <v>16</v>
      </c>
      <c r="F695" t="s">
        <v>28</v>
      </c>
      <c r="G695" s="6">
        <v>37</v>
      </c>
      <c r="H695" s="4">
        <v>58.23</v>
      </c>
      <c r="I695" t="s">
        <v>23</v>
      </c>
      <c r="J695" s="6">
        <v>0</v>
      </c>
      <c r="K695" s="6">
        <v>1</v>
      </c>
      <c r="L695" t="s">
        <v>24</v>
      </c>
      <c r="M695" s="2">
        <v>44335</v>
      </c>
    </row>
    <row r="696" spans="1:13" x14ac:dyDescent="0.25">
      <c r="A696" t="s">
        <v>725</v>
      </c>
      <c r="B696" t="s">
        <v>14</v>
      </c>
      <c r="C696" s="6">
        <v>44</v>
      </c>
      <c r="D696" t="s">
        <v>34</v>
      </c>
      <c r="E696" t="s">
        <v>22</v>
      </c>
      <c r="F696" t="s">
        <v>28</v>
      </c>
      <c r="G696" s="6">
        <v>58</v>
      </c>
      <c r="H696" s="4">
        <v>68.5</v>
      </c>
      <c r="I696" t="s">
        <v>23</v>
      </c>
      <c r="J696" s="6">
        <v>7</v>
      </c>
      <c r="K696" s="6">
        <v>5</v>
      </c>
      <c r="L696" t="s">
        <v>19</v>
      </c>
      <c r="M696" s="2">
        <v>44480</v>
      </c>
    </row>
    <row r="697" spans="1:13" x14ac:dyDescent="0.25">
      <c r="A697" t="s">
        <v>726</v>
      </c>
      <c r="B697" t="s">
        <v>26</v>
      </c>
      <c r="C697" s="6">
        <v>66</v>
      </c>
      <c r="D697" t="s">
        <v>34</v>
      </c>
      <c r="E697" t="s">
        <v>22</v>
      </c>
      <c r="F697" t="s">
        <v>28</v>
      </c>
      <c r="G697" s="6">
        <v>20</v>
      </c>
      <c r="H697" s="4">
        <v>68</v>
      </c>
      <c r="I697" t="s">
        <v>31</v>
      </c>
      <c r="J697" s="6">
        <v>1</v>
      </c>
      <c r="K697" s="6">
        <v>5</v>
      </c>
      <c r="L697" t="s">
        <v>24</v>
      </c>
      <c r="M697" s="2">
        <v>45035</v>
      </c>
    </row>
    <row r="698" spans="1:13" x14ac:dyDescent="0.25">
      <c r="A698" t="s">
        <v>727</v>
      </c>
      <c r="B698" t="s">
        <v>26</v>
      </c>
      <c r="C698" s="6">
        <v>32</v>
      </c>
      <c r="D698" t="s">
        <v>34</v>
      </c>
      <c r="E698" t="s">
        <v>35</v>
      </c>
      <c r="F698" t="s">
        <v>38</v>
      </c>
      <c r="G698" s="6">
        <v>6</v>
      </c>
      <c r="H698" s="4">
        <v>99.37</v>
      </c>
      <c r="I698" t="s">
        <v>23</v>
      </c>
      <c r="J698" s="6">
        <v>4</v>
      </c>
      <c r="K698" s="6">
        <v>1</v>
      </c>
      <c r="L698" t="s">
        <v>24</v>
      </c>
      <c r="M698" s="2">
        <v>45645</v>
      </c>
    </row>
    <row r="699" spans="1:13" x14ac:dyDescent="0.25">
      <c r="A699" t="s">
        <v>728</v>
      </c>
      <c r="B699" t="s">
        <v>14</v>
      </c>
      <c r="C699" s="6">
        <v>54</v>
      </c>
      <c r="D699" t="s">
        <v>15</v>
      </c>
      <c r="E699" t="s">
        <v>22</v>
      </c>
      <c r="F699" t="s">
        <v>38</v>
      </c>
      <c r="G699" s="6">
        <v>16</v>
      </c>
      <c r="H699" s="4">
        <v>94.66</v>
      </c>
      <c r="I699" t="s">
        <v>18</v>
      </c>
      <c r="J699" s="6">
        <v>3</v>
      </c>
      <c r="K699" s="6">
        <v>5</v>
      </c>
      <c r="L699" t="s">
        <v>24</v>
      </c>
      <c r="M699" s="2">
        <v>45748</v>
      </c>
    </row>
    <row r="700" spans="1:13" x14ac:dyDescent="0.25">
      <c r="A700" t="s">
        <v>729</v>
      </c>
      <c r="B700" t="s">
        <v>14</v>
      </c>
      <c r="C700" s="6">
        <v>54</v>
      </c>
      <c r="D700" t="s">
        <v>30</v>
      </c>
      <c r="E700" t="s">
        <v>35</v>
      </c>
      <c r="F700" t="s">
        <v>38</v>
      </c>
      <c r="G700" s="6">
        <v>3</v>
      </c>
      <c r="H700" s="4">
        <v>86.8</v>
      </c>
      <c r="I700" t="s">
        <v>46</v>
      </c>
      <c r="J700" s="6">
        <v>0</v>
      </c>
      <c r="K700" s="6">
        <v>3</v>
      </c>
      <c r="L700" t="s">
        <v>24</v>
      </c>
      <c r="M700" s="2">
        <v>44699</v>
      </c>
    </row>
    <row r="701" spans="1:13" x14ac:dyDescent="0.25">
      <c r="A701" t="s">
        <v>730</v>
      </c>
      <c r="B701" t="s">
        <v>26</v>
      </c>
      <c r="C701" s="6">
        <v>23</v>
      </c>
      <c r="D701" t="s">
        <v>15</v>
      </c>
      <c r="E701" t="s">
        <v>35</v>
      </c>
      <c r="F701" t="s">
        <v>38</v>
      </c>
      <c r="G701" s="6">
        <v>6</v>
      </c>
      <c r="H701" s="4">
        <v>92.37</v>
      </c>
      <c r="I701" t="s">
        <v>18</v>
      </c>
      <c r="J701" s="6">
        <v>5</v>
      </c>
      <c r="K701" s="6">
        <v>4</v>
      </c>
      <c r="L701" t="s">
        <v>19</v>
      </c>
      <c r="M701" s="2">
        <v>44246</v>
      </c>
    </row>
    <row r="702" spans="1:13" x14ac:dyDescent="0.25">
      <c r="A702" t="s">
        <v>731</v>
      </c>
      <c r="B702" t="s">
        <v>26</v>
      </c>
      <c r="C702" s="6">
        <v>42</v>
      </c>
      <c r="D702" t="s">
        <v>15</v>
      </c>
      <c r="E702" t="s">
        <v>16</v>
      </c>
      <c r="F702" t="s">
        <v>17</v>
      </c>
      <c r="G702" s="6">
        <v>13</v>
      </c>
      <c r="H702" s="4">
        <v>38.130000000000003</v>
      </c>
      <c r="I702" t="s">
        <v>31</v>
      </c>
      <c r="J702" s="6">
        <v>2</v>
      </c>
      <c r="K702" s="6">
        <v>2</v>
      </c>
      <c r="L702" t="s">
        <v>19</v>
      </c>
      <c r="M702" s="2">
        <v>44380</v>
      </c>
    </row>
    <row r="703" spans="1:13" x14ac:dyDescent="0.25">
      <c r="A703" t="s">
        <v>732</v>
      </c>
      <c r="B703" t="s">
        <v>14</v>
      </c>
      <c r="C703" s="6">
        <v>37</v>
      </c>
      <c r="D703" t="s">
        <v>34</v>
      </c>
      <c r="E703" t="s">
        <v>22</v>
      </c>
      <c r="F703" t="s">
        <v>17</v>
      </c>
      <c r="G703" s="6">
        <v>8</v>
      </c>
      <c r="H703" s="4">
        <v>39.22</v>
      </c>
      <c r="I703" t="s">
        <v>31</v>
      </c>
      <c r="J703" s="6">
        <v>2</v>
      </c>
      <c r="K703" s="6">
        <v>1</v>
      </c>
      <c r="L703" t="s">
        <v>24</v>
      </c>
      <c r="M703" s="2">
        <v>44807</v>
      </c>
    </row>
    <row r="704" spans="1:13" x14ac:dyDescent="0.25">
      <c r="A704" t="s">
        <v>733</v>
      </c>
      <c r="B704" t="s">
        <v>26</v>
      </c>
      <c r="C704" s="6">
        <v>24</v>
      </c>
      <c r="D704" t="s">
        <v>15</v>
      </c>
      <c r="E704" t="s">
        <v>16</v>
      </c>
      <c r="F704" t="s">
        <v>28</v>
      </c>
      <c r="G704" s="6">
        <v>42</v>
      </c>
      <c r="H704" s="4">
        <v>58.87</v>
      </c>
      <c r="I704" t="s">
        <v>18</v>
      </c>
      <c r="J704" s="6">
        <v>0</v>
      </c>
      <c r="K704" s="6">
        <v>2</v>
      </c>
      <c r="L704" t="s">
        <v>19</v>
      </c>
      <c r="M704" s="2">
        <v>45419</v>
      </c>
    </row>
    <row r="705" spans="1:13" x14ac:dyDescent="0.25">
      <c r="A705" t="s">
        <v>734</v>
      </c>
      <c r="B705" t="s">
        <v>14</v>
      </c>
      <c r="C705" s="6">
        <v>49</v>
      </c>
      <c r="D705" t="s">
        <v>34</v>
      </c>
      <c r="E705" t="s">
        <v>16</v>
      </c>
      <c r="F705" t="s">
        <v>28</v>
      </c>
      <c r="G705" s="6">
        <v>8</v>
      </c>
      <c r="H705" s="4">
        <v>59.78</v>
      </c>
      <c r="I705" t="s">
        <v>23</v>
      </c>
      <c r="J705" s="6">
        <v>1</v>
      </c>
      <c r="K705" s="6">
        <v>4</v>
      </c>
      <c r="L705" t="s">
        <v>19</v>
      </c>
      <c r="M705" s="2">
        <v>45494</v>
      </c>
    </row>
    <row r="706" spans="1:13" x14ac:dyDescent="0.25">
      <c r="A706" t="s">
        <v>735</v>
      </c>
      <c r="B706" t="s">
        <v>14</v>
      </c>
      <c r="C706" s="6">
        <v>19</v>
      </c>
      <c r="D706" t="s">
        <v>15</v>
      </c>
      <c r="E706" t="s">
        <v>22</v>
      </c>
      <c r="F706" t="s">
        <v>38</v>
      </c>
      <c r="G706" s="6">
        <v>13</v>
      </c>
      <c r="H706" s="4">
        <v>88.69</v>
      </c>
      <c r="I706" t="s">
        <v>46</v>
      </c>
      <c r="J706" s="6">
        <v>4</v>
      </c>
      <c r="K706" s="6">
        <v>5</v>
      </c>
      <c r="L706" t="s">
        <v>24</v>
      </c>
      <c r="M706" s="2">
        <v>44368</v>
      </c>
    </row>
    <row r="707" spans="1:13" x14ac:dyDescent="0.25">
      <c r="A707" t="s">
        <v>736</v>
      </c>
      <c r="B707" t="s">
        <v>14</v>
      </c>
      <c r="C707" s="6">
        <v>68</v>
      </c>
      <c r="D707" t="s">
        <v>30</v>
      </c>
      <c r="E707" t="s">
        <v>35</v>
      </c>
      <c r="F707" t="s">
        <v>38</v>
      </c>
      <c r="G707" s="6">
        <v>22</v>
      </c>
      <c r="H707" s="4">
        <v>96.73</v>
      </c>
      <c r="I707" t="s">
        <v>23</v>
      </c>
      <c r="J707" s="6">
        <v>8</v>
      </c>
      <c r="K707" s="6">
        <v>4</v>
      </c>
      <c r="L707" t="s">
        <v>19</v>
      </c>
      <c r="M707" s="2">
        <v>45861</v>
      </c>
    </row>
    <row r="708" spans="1:13" x14ac:dyDescent="0.25">
      <c r="A708" t="s">
        <v>737</v>
      </c>
      <c r="B708" t="s">
        <v>26</v>
      </c>
      <c r="C708" s="6">
        <v>57</v>
      </c>
      <c r="D708" t="s">
        <v>15</v>
      </c>
      <c r="E708" t="s">
        <v>22</v>
      </c>
      <c r="F708" t="s">
        <v>17</v>
      </c>
      <c r="G708" s="6">
        <v>1</v>
      </c>
      <c r="H708" s="4">
        <v>30.9</v>
      </c>
      <c r="I708" t="s">
        <v>23</v>
      </c>
      <c r="J708" s="6">
        <v>4</v>
      </c>
      <c r="K708" s="6">
        <v>5</v>
      </c>
      <c r="L708" t="s">
        <v>24</v>
      </c>
      <c r="M708" s="2">
        <v>45589</v>
      </c>
    </row>
    <row r="709" spans="1:13" x14ac:dyDescent="0.25">
      <c r="A709" t="s">
        <v>738</v>
      </c>
      <c r="B709" t="s">
        <v>26</v>
      </c>
      <c r="C709" s="6">
        <v>40</v>
      </c>
      <c r="D709" t="s">
        <v>30</v>
      </c>
      <c r="E709" t="s">
        <v>22</v>
      </c>
      <c r="F709" t="s">
        <v>38</v>
      </c>
      <c r="G709" s="6">
        <v>37</v>
      </c>
      <c r="H709" s="4">
        <v>85.68</v>
      </c>
      <c r="I709" t="s">
        <v>18</v>
      </c>
      <c r="J709" s="6">
        <v>4</v>
      </c>
      <c r="K709" s="6">
        <v>1</v>
      </c>
      <c r="L709" t="s">
        <v>24</v>
      </c>
      <c r="M709" s="2">
        <v>44448</v>
      </c>
    </row>
    <row r="710" spans="1:13" x14ac:dyDescent="0.25">
      <c r="A710" t="s">
        <v>739</v>
      </c>
      <c r="B710" t="s">
        <v>14</v>
      </c>
      <c r="C710" s="6">
        <v>64</v>
      </c>
      <c r="D710" t="s">
        <v>15</v>
      </c>
      <c r="E710" t="s">
        <v>35</v>
      </c>
      <c r="F710" t="s">
        <v>17</v>
      </c>
      <c r="G710" s="6">
        <v>65</v>
      </c>
      <c r="H710" s="4">
        <v>44.36</v>
      </c>
      <c r="I710" t="s">
        <v>31</v>
      </c>
      <c r="J710" s="6">
        <v>5</v>
      </c>
      <c r="K710" s="6">
        <v>3</v>
      </c>
      <c r="L710" t="s">
        <v>24</v>
      </c>
      <c r="M710" s="2">
        <v>45646</v>
      </c>
    </row>
    <row r="711" spans="1:13" x14ac:dyDescent="0.25">
      <c r="A711" t="s">
        <v>740</v>
      </c>
      <c r="B711" t="s">
        <v>26</v>
      </c>
      <c r="C711" s="6">
        <v>35</v>
      </c>
      <c r="D711" t="s">
        <v>30</v>
      </c>
      <c r="E711" t="s">
        <v>22</v>
      </c>
      <c r="F711" t="s">
        <v>28</v>
      </c>
      <c r="G711" s="6">
        <v>44</v>
      </c>
      <c r="H711" s="4">
        <v>58.16</v>
      </c>
      <c r="I711" t="s">
        <v>31</v>
      </c>
      <c r="J711" s="6">
        <v>0</v>
      </c>
      <c r="K711" s="6">
        <v>2</v>
      </c>
      <c r="L711" t="s">
        <v>24</v>
      </c>
      <c r="M711" s="2">
        <v>44201</v>
      </c>
    </row>
    <row r="712" spans="1:13" x14ac:dyDescent="0.25">
      <c r="A712" t="s">
        <v>741</v>
      </c>
      <c r="B712" t="s">
        <v>26</v>
      </c>
      <c r="C712" s="6">
        <v>18</v>
      </c>
      <c r="D712" t="s">
        <v>21</v>
      </c>
      <c r="E712" t="s">
        <v>22</v>
      </c>
      <c r="F712" t="s">
        <v>17</v>
      </c>
      <c r="G712" s="6">
        <v>53</v>
      </c>
      <c r="H712" s="4">
        <v>38.340000000000003</v>
      </c>
      <c r="I712" t="s">
        <v>23</v>
      </c>
      <c r="J712" s="6">
        <v>6</v>
      </c>
      <c r="K712" s="6">
        <v>5</v>
      </c>
      <c r="L712" t="s">
        <v>19</v>
      </c>
      <c r="M712" s="2">
        <v>45992</v>
      </c>
    </row>
    <row r="713" spans="1:13" x14ac:dyDescent="0.25">
      <c r="A713" t="s">
        <v>742</v>
      </c>
      <c r="B713" t="s">
        <v>14</v>
      </c>
      <c r="C713" s="6">
        <v>52</v>
      </c>
      <c r="D713" t="s">
        <v>21</v>
      </c>
      <c r="E713" t="s">
        <v>22</v>
      </c>
      <c r="F713" t="s">
        <v>28</v>
      </c>
      <c r="G713" s="6">
        <v>16</v>
      </c>
      <c r="H713" s="4">
        <v>60.29</v>
      </c>
      <c r="I713" t="s">
        <v>23</v>
      </c>
      <c r="J713" s="6">
        <v>5</v>
      </c>
      <c r="K713" s="6">
        <v>4</v>
      </c>
      <c r="L713" t="s">
        <v>24</v>
      </c>
      <c r="M713" s="2">
        <v>45769</v>
      </c>
    </row>
    <row r="714" spans="1:13" x14ac:dyDescent="0.25">
      <c r="A714" t="s">
        <v>743</v>
      </c>
      <c r="B714" t="s">
        <v>14</v>
      </c>
      <c r="C714" s="6">
        <v>25</v>
      </c>
      <c r="D714" t="s">
        <v>34</v>
      </c>
      <c r="E714" t="s">
        <v>35</v>
      </c>
      <c r="F714" t="s">
        <v>17</v>
      </c>
      <c r="G714" s="6">
        <v>57</v>
      </c>
      <c r="H714" s="4">
        <v>30.14</v>
      </c>
      <c r="I714" t="s">
        <v>18</v>
      </c>
      <c r="J714" s="6">
        <v>4</v>
      </c>
      <c r="K714" s="6">
        <v>3</v>
      </c>
      <c r="L714" t="s">
        <v>24</v>
      </c>
      <c r="M714" s="2">
        <v>45868</v>
      </c>
    </row>
    <row r="715" spans="1:13" x14ac:dyDescent="0.25">
      <c r="A715" t="s">
        <v>744</v>
      </c>
      <c r="B715" t="s">
        <v>26</v>
      </c>
      <c r="C715" s="6">
        <v>69</v>
      </c>
      <c r="D715" t="s">
        <v>30</v>
      </c>
      <c r="E715" t="s">
        <v>16</v>
      </c>
      <c r="F715" t="s">
        <v>28</v>
      </c>
      <c r="G715" s="6">
        <v>47</v>
      </c>
      <c r="H715" s="4">
        <v>55.55</v>
      </c>
      <c r="I715" t="s">
        <v>23</v>
      </c>
      <c r="J715" s="6">
        <v>3</v>
      </c>
      <c r="K715" s="6">
        <v>1</v>
      </c>
      <c r="L715" t="s">
        <v>19</v>
      </c>
      <c r="M715" s="2">
        <v>45878</v>
      </c>
    </row>
    <row r="716" spans="1:13" x14ac:dyDescent="0.25">
      <c r="A716" t="s">
        <v>745</v>
      </c>
      <c r="B716" t="s">
        <v>26</v>
      </c>
      <c r="C716" s="6">
        <v>25</v>
      </c>
      <c r="D716" t="s">
        <v>15</v>
      </c>
      <c r="E716" t="s">
        <v>22</v>
      </c>
      <c r="F716" t="s">
        <v>38</v>
      </c>
      <c r="G716" s="6">
        <v>64</v>
      </c>
      <c r="H716" s="4">
        <v>87.56</v>
      </c>
      <c r="I716" t="s">
        <v>46</v>
      </c>
      <c r="J716" s="6">
        <v>2</v>
      </c>
      <c r="K716" s="6">
        <v>1</v>
      </c>
      <c r="L716" t="s">
        <v>24</v>
      </c>
      <c r="M716" s="2">
        <v>45724</v>
      </c>
    </row>
    <row r="717" spans="1:13" x14ac:dyDescent="0.25">
      <c r="A717" t="s">
        <v>746</v>
      </c>
      <c r="B717" t="s">
        <v>14</v>
      </c>
      <c r="C717" s="6">
        <v>26</v>
      </c>
      <c r="D717" t="s">
        <v>15</v>
      </c>
      <c r="E717" t="s">
        <v>22</v>
      </c>
      <c r="F717" t="s">
        <v>17</v>
      </c>
      <c r="G717" s="6">
        <v>67</v>
      </c>
      <c r="H717" s="4">
        <v>40.93</v>
      </c>
      <c r="I717" t="s">
        <v>31</v>
      </c>
      <c r="J717" s="6">
        <v>3</v>
      </c>
      <c r="K717" s="6">
        <v>1</v>
      </c>
      <c r="L717" t="s">
        <v>24</v>
      </c>
      <c r="M717" s="2">
        <v>45616</v>
      </c>
    </row>
    <row r="718" spans="1:13" x14ac:dyDescent="0.25">
      <c r="A718" t="s">
        <v>747</v>
      </c>
      <c r="B718" t="s">
        <v>26</v>
      </c>
      <c r="C718" s="6">
        <v>61</v>
      </c>
      <c r="D718" t="s">
        <v>34</v>
      </c>
      <c r="E718" t="s">
        <v>16</v>
      </c>
      <c r="F718" t="s">
        <v>28</v>
      </c>
      <c r="G718" s="6">
        <v>7</v>
      </c>
      <c r="H718" s="4">
        <v>67.81</v>
      </c>
      <c r="I718" t="s">
        <v>31</v>
      </c>
      <c r="J718" s="6">
        <v>6</v>
      </c>
      <c r="K718" s="6">
        <v>4</v>
      </c>
      <c r="L718" t="s">
        <v>19</v>
      </c>
      <c r="M718" s="2">
        <v>45589</v>
      </c>
    </row>
    <row r="719" spans="1:13" x14ac:dyDescent="0.25">
      <c r="A719" t="s">
        <v>748</v>
      </c>
      <c r="B719" t="s">
        <v>26</v>
      </c>
      <c r="C719" s="6">
        <v>49</v>
      </c>
      <c r="D719" t="s">
        <v>15</v>
      </c>
      <c r="E719" t="s">
        <v>22</v>
      </c>
      <c r="F719" t="s">
        <v>17</v>
      </c>
      <c r="G719" s="6">
        <v>29</v>
      </c>
      <c r="H719" s="4">
        <v>30.7</v>
      </c>
      <c r="I719" t="s">
        <v>23</v>
      </c>
      <c r="J719" s="6">
        <v>8</v>
      </c>
      <c r="K719" s="6">
        <v>4</v>
      </c>
      <c r="L719" t="s">
        <v>24</v>
      </c>
      <c r="M719" s="2">
        <v>44999</v>
      </c>
    </row>
    <row r="720" spans="1:13" x14ac:dyDescent="0.25">
      <c r="A720" t="s">
        <v>749</v>
      </c>
      <c r="B720" t="s">
        <v>14</v>
      </c>
      <c r="C720" s="6">
        <v>39</v>
      </c>
      <c r="D720" t="s">
        <v>21</v>
      </c>
      <c r="E720" t="s">
        <v>22</v>
      </c>
      <c r="F720" t="s">
        <v>17</v>
      </c>
      <c r="G720" s="6">
        <v>29</v>
      </c>
      <c r="H720" s="4">
        <v>44.67</v>
      </c>
      <c r="I720" t="s">
        <v>23</v>
      </c>
      <c r="J720" s="6">
        <v>1</v>
      </c>
      <c r="K720" s="6">
        <v>2</v>
      </c>
      <c r="L720" t="s">
        <v>24</v>
      </c>
      <c r="M720" s="2">
        <v>44871</v>
      </c>
    </row>
    <row r="721" spans="1:13" x14ac:dyDescent="0.25">
      <c r="A721" t="s">
        <v>750</v>
      </c>
      <c r="B721" t="s">
        <v>26</v>
      </c>
      <c r="C721" s="6">
        <v>22</v>
      </c>
      <c r="D721" t="s">
        <v>21</v>
      </c>
      <c r="E721" t="s">
        <v>16</v>
      </c>
      <c r="F721" t="s">
        <v>28</v>
      </c>
      <c r="G721" s="6">
        <v>56</v>
      </c>
      <c r="H721" s="4">
        <v>67.12</v>
      </c>
      <c r="I721" t="s">
        <v>31</v>
      </c>
      <c r="J721" s="6">
        <v>4</v>
      </c>
      <c r="K721" s="6">
        <v>2</v>
      </c>
      <c r="L721" t="s">
        <v>19</v>
      </c>
      <c r="M721" s="2">
        <v>44685</v>
      </c>
    </row>
    <row r="722" spans="1:13" x14ac:dyDescent="0.25">
      <c r="A722" t="s">
        <v>751</v>
      </c>
      <c r="B722" t="s">
        <v>26</v>
      </c>
      <c r="C722" s="6">
        <v>21</v>
      </c>
      <c r="D722" t="s">
        <v>15</v>
      </c>
      <c r="E722" t="s">
        <v>22</v>
      </c>
      <c r="F722" t="s">
        <v>17</v>
      </c>
      <c r="G722" s="6">
        <v>10</v>
      </c>
      <c r="H722" s="4">
        <v>41.64</v>
      </c>
      <c r="I722" t="s">
        <v>23</v>
      </c>
      <c r="J722" s="6">
        <v>1</v>
      </c>
      <c r="K722" s="6">
        <v>4</v>
      </c>
      <c r="L722" t="s">
        <v>24</v>
      </c>
      <c r="M722" s="2">
        <v>44372</v>
      </c>
    </row>
    <row r="723" spans="1:13" x14ac:dyDescent="0.25">
      <c r="A723" t="s">
        <v>752</v>
      </c>
      <c r="B723" t="s">
        <v>14</v>
      </c>
      <c r="C723" s="6">
        <v>20</v>
      </c>
      <c r="D723" t="s">
        <v>34</v>
      </c>
      <c r="E723" t="s">
        <v>35</v>
      </c>
      <c r="F723" t="s">
        <v>38</v>
      </c>
      <c r="G723" s="6">
        <v>9</v>
      </c>
      <c r="H723" s="4">
        <v>96.74</v>
      </c>
      <c r="I723" t="s">
        <v>18</v>
      </c>
      <c r="J723" s="6">
        <v>7</v>
      </c>
      <c r="K723" s="6">
        <v>1</v>
      </c>
      <c r="L723" t="s">
        <v>19</v>
      </c>
      <c r="M723" s="2">
        <v>45479</v>
      </c>
    </row>
    <row r="724" spans="1:13" x14ac:dyDescent="0.25">
      <c r="A724" t="s">
        <v>753</v>
      </c>
      <c r="B724" t="s">
        <v>26</v>
      </c>
      <c r="C724" s="6">
        <v>22</v>
      </c>
      <c r="D724" t="s">
        <v>21</v>
      </c>
      <c r="E724" t="s">
        <v>22</v>
      </c>
      <c r="F724" t="s">
        <v>17</v>
      </c>
      <c r="G724" s="6">
        <v>72</v>
      </c>
      <c r="H724" s="4">
        <v>30.78</v>
      </c>
      <c r="I724" t="s">
        <v>23</v>
      </c>
      <c r="J724" s="6">
        <v>6</v>
      </c>
      <c r="K724" s="6">
        <v>1</v>
      </c>
      <c r="L724" t="s">
        <v>24</v>
      </c>
      <c r="M724" s="2">
        <v>45038</v>
      </c>
    </row>
    <row r="725" spans="1:13" x14ac:dyDescent="0.25">
      <c r="A725" t="s">
        <v>754</v>
      </c>
      <c r="B725" t="s">
        <v>14</v>
      </c>
      <c r="C725" s="6">
        <v>56</v>
      </c>
      <c r="D725" t="s">
        <v>21</v>
      </c>
      <c r="E725" t="s">
        <v>35</v>
      </c>
      <c r="F725" t="s">
        <v>28</v>
      </c>
      <c r="G725" s="6">
        <v>60</v>
      </c>
      <c r="H725" s="4">
        <v>66.930000000000007</v>
      </c>
      <c r="I725" t="s">
        <v>18</v>
      </c>
      <c r="J725" s="6">
        <v>5</v>
      </c>
      <c r="K725" s="6">
        <v>1</v>
      </c>
      <c r="L725" t="s">
        <v>24</v>
      </c>
      <c r="M725" s="2">
        <v>44869</v>
      </c>
    </row>
    <row r="726" spans="1:13" x14ac:dyDescent="0.25">
      <c r="A726" t="s">
        <v>755</v>
      </c>
      <c r="B726" t="s">
        <v>14</v>
      </c>
      <c r="C726" s="6">
        <v>24</v>
      </c>
      <c r="D726" t="s">
        <v>21</v>
      </c>
      <c r="E726" t="s">
        <v>16</v>
      </c>
      <c r="F726" t="s">
        <v>38</v>
      </c>
      <c r="G726" s="6">
        <v>9</v>
      </c>
      <c r="H726" s="4">
        <v>93.89</v>
      </c>
      <c r="I726" t="s">
        <v>46</v>
      </c>
      <c r="J726" s="6">
        <v>2</v>
      </c>
      <c r="K726" s="6">
        <v>5</v>
      </c>
      <c r="L726" t="s">
        <v>19</v>
      </c>
      <c r="M726" s="2">
        <v>45059</v>
      </c>
    </row>
    <row r="727" spans="1:13" x14ac:dyDescent="0.25">
      <c r="A727" t="s">
        <v>756</v>
      </c>
      <c r="B727" t="s">
        <v>26</v>
      </c>
      <c r="C727" s="6">
        <v>64</v>
      </c>
      <c r="D727" t="s">
        <v>34</v>
      </c>
      <c r="E727" t="s">
        <v>16</v>
      </c>
      <c r="F727" t="s">
        <v>17</v>
      </c>
      <c r="G727" s="6">
        <v>18</v>
      </c>
      <c r="H727" s="4">
        <v>41.96</v>
      </c>
      <c r="I727" t="s">
        <v>18</v>
      </c>
      <c r="J727" s="6">
        <v>2</v>
      </c>
      <c r="K727" s="6">
        <v>3</v>
      </c>
      <c r="L727" t="s">
        <v>24</v>
      </c>
      <c r="M727" s="2">
        <v>45247</v>
      </c>
    </row>
    <row r="728" spans="1:13" x14ac:dyDescent="0.25">
      <c r="A728" t="s">
        <v>757</v>
      </c>
      <c r="B728" t="s">
        <v>26</v>
      </c>
      <c r="C728" s="6">
        <v>37</v>
      </c>
      <c r="D728" t="s">
        <v>30</v>
      </c>
      <c r="E728" t="s">
        <v>16</v>
      </c>
      <c r="F728" t="s">
        <v>28</v>
      </c>
      <c r="G728" s="6">
        <v>40</v>
      </c>
      <c r="H728" s="4">
        <v>64.05</v>
      </c>
      <c r="I728" t="s">
        <v>31</v>
      </c>
      <c r="J728" s="6">
        <v>5</v>
      </c>
      <c r="K728" s="6">
        <v>1</v>
      </c>
      <c r="L728" t="s">
        <v>24</v>
      </c>
      <c r="M728" s="2">
        <v>45543</v>
      </c>
    </row>
    <row r="729" spans="1:13" x14ac:dyDescent="0.25">
      <c r="A729" t="s">
        <v>758</v>
      </c>
      <c r="B729" t="s">
        <v>14</v>
      </c>
      <c r="C729" s="6">
        <v>21</v>
      </c>
      <c r="D729" t="s">
        <v>30</v>
      </c>
      <c r="E729" t="s">
        <v>22</v>
      </c>
      <c r="F729" t="s">
        <v>38</v>
      </c>
      <c r="G729" s="6">
        <v>7</v>
      </c>
      <c r="H729" s="4">
        <v>91.33</v>
      </c>
      <c r="I729" t="s">
        <v>46</v>
      </c>
      <c r="J729" s="6">
        <v>3</v>
      </c>
      <c r="K729" s="6">
        <v>2</v>
      </c>
      <c r="L729" t="s">
        <v>24</v>
      </c>
      <c r="M729" s="2">
        <v>44896</v>
      </c>
    </row>
    <row r="730" spans="1:13" x14ac:dyDescent="0.25">
      <c r="A730" t="s">
        <v>759</v>
      </c>
      <c r="B730" t="s">
        <v>14</v>
      </c>
      <c r="C730" s="6">
        <v>60</v>
      </c>
      <c r="D730" t="s">
        <v>34</v>
      </c>
      <c r="E730" t="s">
        <v>22</v>
      </c>
      <c r="F730" t="s">
        <v>38</v>
      </c>
      <c r="G730" s="6">
        <v>60</v>
      </c>
      <c r="H730" s="4">
        <v>94</v>
      </c>
      <c r="I730" t="s">
        <v>31</v>
      </c>
      <c r="J730" s="6">
        <v>5</v>
      </c>
      <c r="K730" s="6">
        <v>5</v>
      </c>
      <c r="L730" t="s">
        <v>24</v>
      </c>
      <c r="M730" s="2">
        <v>44870</v>
      </c>
    </row>
    <row r="731" spans="1:13" x14ac:dyDescent="0.25">
      <c r="A731" t="s">
        <v>760</v>
      </c>
      <c r="B731" t="s">
        <v>14</v>
      </c>
      <c r="C731" s="6">
        <v>24</v>
      </c>
      <c r="D731" t="s">
        <v>34</v>
      </c>
      <c r="E731" t="s">
        <v>16</v>
      </c>
      <c r="F731" t="s">
        <v>28</v>
      </c>
      <c r="G731" s="6">
        <v>29</v>
      </c>
      <c r="H731" s="4">
        <v>68.8</v>
      </c>
      <c r="I731" t="s">
        <v>46</v>
      </c>
      <c r="J731" s="6">
        <v>3</v>
      </c>
      <c r="K731" s="6">
        <v>4</v>
      </c>
      <c r="L731" t="s">
        <v>24</v>
      </c>
      <c r="M731" s="2">
        <v>44686</v>
      </c>
    </row>
    <row r="732" spans="1:13" x14ac:dyDescent="0.25">
      <c r="A732" t="s">
        <v>761</v>
      </c>
      <c r="B732" t="s">
        <v>26</v>
      </c>
      <c r="C732" s="6">
        <v>65</v>
      </c>
      <c r="D732" t="s">
        <v>15</v>
      </c>
      <c r="E732" t="s">
        <v>22</v>
      </c>
      <c r="F732" t="s">
        <v>28</v>
      </c>
      <c r="G732" s="6">
        <v>27</v>
      </c>
      <c r="H732" s="4">
        <v>61</v>
      </c>
      <c r="I732" t="s">
        <v>18</v>
      </c>
      <c r="J732" s="6">
        <v>5</v>
      </c>
      <c r="K732" s="6">
        <v>1</v>
      </c>
      <c r="L732" t="s">
        <v>19</v>
      </c>
      <c r="M732" s="2">
        <v>44258</v>
      </c>
    </row>
    <row r="733" spans="1:13" x14ac:dyDescent="0.25">
      <c r="A733" t="s">
        <v>762</v>
      </c>
      <c r="B733" t="s">
        <v>14</v>
      </c>
      <c r="C733" s="6">
        <v>27</v>
      </c>
      <c r="D733" t="s">
        <v>15</v>
      </c>
      <c r="E733" t="s">
        <v>35</v>
      </c>
      <c r="F733" t="s">
        <v>17</v>
      </c>
      <c r="G733" s="6">
        <v>47</v>
      </c>
      <c r="H733" s="4">
        <v>30.66</v>
      </c>
      <c r="I733" t="s">
        <v>18</v>
      </c>
      <c r="J733" s="6">
        <v>3</v>
      </c>
      <c r="K733" s="6">
        <v>2</v>
      </c>
      <c r="L733" t="s">
        <v>24</v>
      </c>
      <c r="M733" s="2">
        <v>44645</v>
      </c>
    </row>
    <row r="734" spans="1:13" x14ac:dyDescent="0.25">
      <c r="A734" t="s">
        <v>763</v>
      </c>
      <c r="B734" t="s">
        <v>26</v>
      </c>
      <c r="C734" s="6">
        <v>64</v>
      </c>
      <c r="D734" t="s">
        <v>30</v>
      </c>
      <c r="E734" t="s">
        <v>35</v>
      </c>
      <c r="F734" t="s">
        <v>38</v>
      </c>
      <c r="G734" s="6">
        <v>32</v>
      </c>
      <c r="H734" s="4">
        <v>87.68</v>
      </c>
      <c r="I734" t="s">
        <v>18</v>
      </c>
      <c r="J734" s="6">
        <v>2</v>
      </c>
      <c r="K734" s="6">
        <v>3</v>
      </c>
      <c r="L734" t="s">
        <v>24</v>
      </c>
      <c r="M734" s="2">
        <v>44239</v>
      </c>
    </row>
    <row r="735" spans="1:13" x14ac:dyDescent="0.25">
      <c r="A735" t="s">
        <v>764</v>
      </c>
      <c r="B735" t="s">
        <v>14</v>
      </c>
      <c r="C735" s="6">
        <v>42</v>
      </c>
      <c r="D735" t="s">
        <v>21</v>
      </c>
      <c r="E735" t="s">
        <v>35</v>
      </c>
      <c r="F735" t="s">
        <v>17</v>
      </c>
      <c r="G735" s="6">
        <v>40</v>
      </c>
      <c r="H735" s="4">
        <v>36.840000000000003</v>
      </c>
      <c r="I735" t="s">
        <v>31</v>
      </c>
      <c r="J735" s="6">
        <v>5</v>
      </c>
      <c r="K735" s="6">
        <v>2</v>
      </c>
      <c r="L735" t="s">
        <v>24</v>
      </c>
      <c r="M735" s="2">
        <v>45833</v>
      </c>
    </row>
    <row r="736" spans="1:13" x14ac:dyDescent="0.25">
      <c r="A736" t="s">
        <v>765</v>
      </c>
      <c r="B736" t="s">
        <v>26</v>
      </c>
      <c r="C736" s="6">
        <v>63</v>
      </c>
      <c r="D736" t="s">
        <v>21</v>
      </c>
      <c r="E736" t="s">
        <v>16</v>
      </c>
      <c r="F736" t="s">
        <v>17</v>
      </c>
      <c r="G736" s="6">
        <v>17</v>
      </c>
      <c r="H736" s="4">
        <v>41.92</v>
      </c>
      <c r="I736" t="s">
        <v>46</v>
      </c>
      <c r="J736" s="6">
        <v>8</v>
      </c>
      <c r="K736" s="6">
        <v>4</v>
      </c>
      <c r="L736" t="s">
        <v>24</v>
      </c>
      <c r="M736" s="2">
        <v>44848</v>
      </c>
    </row>
    <row r="737" spans="1:13" x14ac:dyDescent="0.25">
      <c r="A737" t="s">
        <v>766</v>
      </c>
      <c r="B737" t="s">
        <v>26</v>
      </c>
      <c r="C737" s="6">
        <v>58</v>
      </c>
      <c r="D737" t="s">
        <v>30</v>
      </c>
      <c r="E737" t="s">
        <v>16</v>
      </c>
      <c r="F737" t="s">
        <v>38</v>
      </c>
      <c r="G737" s="6">
        <v>25</v>
      </c>
      <c r="H737" s="4">
        <v>97.82</v>
      </c>
      <c r="I737" t="s">
        <v>31</v>
      </c>
      <c r="J737" s="6">
        <v>2</v>
      </c>
      <c r="K737" s="6">
        <v>3</v>
      </c>
      <c r="L737" t="s">
        <v>24</v>
      </c>
      <c r="M737" s="2">
        <v>45486</v>
      </c>
    </row>
    <row r="738" spans="1:13" x14ac:dyDescent="0.25">
      <c r="A738" t="s">
        <v>767</v>
      </c>
      <c r="B738" t="s">
        <v>26</v>
      </c>
      <c r="C738" s="6">
        <v>26</v>
      </c>
      <c r="D738" t="s">
        <v>34</v>
      </c>
      <c r="E738" t="s">
        <v>16</v>
      </c>
      <c r="F738" t="s">
        <v>38</v>
      </c>
      <c r="G738" s="6">
        <v>11</v>
      </c>
      <c r="H738" s="4">
        <v>96.77</v>
      </c>
      <c r="I738" t="s">
        <v>18</v>
      </c>
      <c r="J738" s="6">
        <v>2</v>
      </c>
      <c r="K738" s="6">
        <v>5</v>
      </c>
      <c r="L738" t="s">
        <v>24</v>
      </c>
      <c r="M738" s="2">
        <v>45518</v>
      </c>
    </row>
    <row r="739" spans="1:13" x14ac:dyDescent="0.25">
      <c r="A739" t="s">
        <v>768</v>
      </c>
      <c r="B739" t="s">
        <v>26</v>
      </c>
      <c r="C739" s="6">
        <v>49</v>
      </c>
      <c r="D739" t="s">
        <v>34</v>
      </c>
      <c r="E739" t="s">
        <v>16</v>
      </c>
      <c r="F739" t="s">
        <v>28</v>
      </c>
      <c r="G739" s="6">
        <v>48</v>
      </c>
      <c r="H739" s="4">
        <v>62.88</v>
      </c>
      <c r="I739" t="s">
        <v>23</v>
      </c>
      <c r="J739" s="6">
        <v>7</v>
      </c>
      <c r="K739" s="6">
        <v>4</v>
      </c>
      <c r="L739" t="s">
        <v>19</v>
      </c>
      <c r="M739" s="2">
        <v>45018</v>
      </c>
    </row>
    <row r="740" spans="1:13" x14ac:dyDescent="0.25">
      <c r="A740" t="s">
        <v>769</v>
      </c>
      <c r="B740" t="s">
        <v>14</v>
      </c>
      <c r="C740" s="6">
        <v>31</v>
      </c>
      <c r="D740" t="s">
        <v>30</v>
      </c>
      <c r="E740" t="s">
        <v>16</v>
      </c>
      <c r="F740" t="s">
        <v>28</v>
      </c>
      <c r="G740" s="6">
        <v>31</v>
      </c>
      <c r="H740" s="4">
        <v>60.94</v>
      </c>
      <c r="I740" t="s">
        <v>31</v>
      </c>
      <c r="J740" s="6">
        <v>6</v>
      </c>
      <c r="K740" s="6">
        <v>4</v>
      </c>
      <c r="L740" t="s">
        <v>24</v>
      </c>
      <c r="M740" s="2">
        <v>45922</v>
      </c>
    </row>
    <row r="741" spans="1:13" x14ac:dyDescent="0.25">
      <c r="A741" t="s">
        <v>770</v>
      </c>
      <c r="B741" t="s">
        <v>26</v>
      </c>
      <c r="C741" s="6">
        <v>34</v>
      </c>
      <c r="D741" t="s">
        <v>21</v>
      </c>
      <c r="E741" t="s">
        <v>16</v>
      </c>
      <c r="F741" t="s">
        <v>17</v>
      </c>
      <c r="G741" s="6">
        <v>38</v>
      </c>
      <c r="H741" s="4">
        <v>36.67</v>
      </c>
      <c r="I741" t="s">
        <v>31</v>
      </c>
      <c r="J741" s="6">
        <v>3</v>
      </c>
      <c r="K741" s="6">
        <v>5</v>
      </c>
      <c r="L741" t="s">
        <v>19</v>
      </c>
      <c r="M741" s="2">
        <v>45246</v>
      </c>
    </row>
    <row r="742" spans="1:13" x14ac:dyDescent="0.25">
      <c r="A742" t="s">
        <v>771</v>
      </c>
      <c r="B742" t="s">
        <v>26</v>
      </c>
      <c r="C742" s="6">
        <v>45</v>
      </c>
      <c r="D742" t="s">
        <v>34</v>
      </c>
      <c r="E742" t="s">
        <v>35</v>
      </c>
      <c r="F742" t="s">
        <v>28</v>
      </c>
      <c r="G742" s="6">
        <v>53</v>
      </c>
      <c r="H742" s="4">
        <v>60.51</v>
      </c>
      <c r="I742" t="s">
        <v>23</v>
      </c>
      <c r="J742" s="6">
        <v>5</v>
      </c>
      <c r="K742" s="6">
        <v>3</v>
      </c>
      <c r="L742" t="s">
        <v>24</v>
      </c>
      <c r="M742" s="2">
        <v>44564</v>
      </c>
    </row>
    <row r="743" spans="1:13" x14ac:dyDescent="0.25">
      <c r="A743" t="s">
        <v>772</v>
      </c>
      <c r="B743" t="s">
        <v>26</v>
      </c>
      <c r="C743" s="6">
        <v>32</v>
      </c>
      <c r="D743" t="s">
        <v>15</v>
      </c>
      <c r="E743" t="s">
        <v>22</v>
      </c>
      <c r="F743" t="s">
        <v>17</v>
      </c>
      <c r="G743" s="6">
        <v>46</v>
      </c>
      <c r="H743" s="4">
        <v>43.52</v>
      </c>
      <c r="I743" t="s">
        <v>31</v>
      </c>
      <c r="J743" s="6">
        <v>8</v>
      </c>
      <c r="K743" s="6">
        <v>5</v>
      </c>
      <c r="L743" t="s">
        <v>24</v>
      </c>
      <c r="M743" s="2">
        <v>44357</v>
      </c>
    </row>
    <row r="744" spans="1:13" x14ac:dyDescent="0.25">
      <c r="A744" t="s">
        <v>773</v>
      </c>
      <c r="B744" t="s">
        <v>26</v>
      </c>
      <c r="C744" s="6">
        <v>32</v>
      </c>
      <c r="D744" t="s">
        <v>21</v>
      </c>
      <c r="E744" t="s">
        <v>16</v>
      </c>
      <c r="F744" t="s">
        <v>17</v>
      </c>
      <c r="G744" s="6">
        <v>47</v>
      </c>
      <c r="H744" s="4">
        <v>30.57</v>
      </c>
      <c r="I744" t="s">
        <v>46</v>
      </c>
      <c r="J744" s="6">
        <v>5</v>
      </c>
      <c r="K744" s="6">
        <v>2</v>
      </c>
      <c r="L744" t="s">
        <v>24</v>
      </c>
      <c r="M744" s="2">
        <v>44709</v>
      </c>
    </row>
    <row r="745" spans="1:13" x14ac:dyDescent="0.25">
      <c r="A745" t="s">
        <v>774</v>
      </c>
      <c r="B745" t="s">
        <v>26</v>
      </c>
      <c r="C745" s="6">
        <v>65</v>
      </c>
      <c r="D745" t="s">
        <v>15</v>
      </c>
      <c r="E745" t="s">
        <v>16</v>
      </c>
      <c r="F745" t="s">
        <v>38</v>
      </c>
      <c r="G745" s="6">
        <v>18</v>
      </c>
      <c r="H745" s="4">
        <v>99.98</v>
      </c>
      <c r="I745" t="s">
        <v>31</v>
      </c>
      <c r="J745" s="6">
        <v>0</v>
      </c>
      <c r="K745" s="6">
        <v>3</v>
      </c>
      <c r="L745" t="s">
        <v>24</v>
      </c>
      <c r="M745" s="2">
        <v>44906</v>
      </c>
    </row>
    <row r="746" spans="1:13" x14ac:dyDescent="0.25">
      <c r="A746" t="s">
        <v>775</v>
      </c>
      <c r="B746" t="s">
        <v>26</v>
      </c>
      <c r="C746" s="6">
        <v>43</v>
      </c>
      <c r="D746" t="s">
        <v>21</v>
      </c>
      <c r="E746" t="s">
        <v>35</v>
      </c>
      <c r="F746" t="s">
        <v>38</v>
      </c>
      <c r="G746" s="6">
        <v>66</v>
      </c>
      <c r="H746" s="4">
        <v>99.84</v>
      </c>
      <c r="I746" t="s">
        <v>46</v>
      </c>
      <c r="J746" s="6">
        <v>6</v>
      </c>
      <c r="K746" s="6">
        <v>2</v>
      </c>
      <c r="L746" t="s">
        <v>19</v>
      </c>
      <c r="M746" s="2">
        <v>45731</v>
      </c>
    </row>
    <row r="747" spans="1:13" x14ac:dyDescent="0.25">
      <c r="A747" t="s">
        <v>776</v>
      </c>
      <c r="B747" t="s">
        <v>14</v>
      </c>
      <c r="C747" s="6">
        <v>48</v>
      </c>
      <c r="D747" t="s">
        <v>30</v>
      </c>
      <c r="E747" t="s">
        <v>22</v>
      </c>
      <c r="F747" t="s">
        <v>38</v>
      </c>
      <c r="G747" s="6">
        <v>71</v>
      </c>
      <c r="H747" s="4">
        <v>96.36</v>
      </c>
      <c r="I747" t="s">
        <v>23</v>
      </c>
      <c r="J747" s="6">
        <v>5</v>
      </c>
      <c r="K747" s="6">
        <v>1</v>
      </c>
      <c r="L747" t="s">
        <v>24</v>
      </c>
      <c r="M747" s="2">
        <v>44581</v>
      </c>
    </row>
    <row r="748" spans="1:13" x14ac:dyDescent="0.25">
      <c r="A748" t="s">
        <v>777</v>
      </c>
      <c r="B748" t="s">
        <v>26</v>
      </c>
      <c r="C748" s="6">
        <v>67</v>
      </c>
      <c r="D748" t="s">
        <v>34</v>
      </c>
      <c r="E748" t="s">
        <v>16</v>
      </c>
      <c r="F748" t="s">
        <v>28</v>
      </c>
      <c r="G748" s="6">
        <v>58</v>
      </c>
      <c r="H748" s="4">
        <v>67.790000000000006</v>
      </c>
      <c r="I748" t="s">
        <v>18</v>
      </c>
      <c r="J748" s="6">
        <v>5</v>
      </c>
      <c r="K748" s="6">
        <v>2</v>
      </c>
      <c r="L748" t="s">
        <v>24</v>
      </c>
      <c r="M748" s="2">
        <v>44459</v>
      </c>
    </row>
    <row r="749" spans="1:13" x14ac:dyDescent="0.25">
      <c r="A749" t="s">
        <v>778</v>
      </c>
      <c r="B749" t="s">
        <v>26</v>
      </c>
      <c r="C749" s="6">
        <v>65</v>
      </c>
      <c r="D749" t="s">
        <v>21</v>
      </c>
      <c r="E749" t="s">
        <v>35</v>
      </c>
      <c r="F749" t="s">
        <v>38</v>
      </c>
      <c r="G749" s="6">
        <v>46</v>
      </c>
      <c r="H749" s="4">
        <v>90.1</v>
      </c>
      <c r="I749" t="s">
        <v>23</v>
      </c>
      <c r="J749" s="6">
        <v>6</v>
      </c>
      <c r="K749" s="6">
        <v>4</v>
      </c>
      <c r="L749" t="s">
        <v>24</v>
      </c>
      <c r="M749" s="2">
        <v>45611</v>
      </c>
    </row>
    <row r="750" spans="1:13" x14ac:dyDescent="0.25">
      <c r="A750" t="s">
        <v>779</v>
      </c>
      <c r="B750" t="s">
        <v>26</v>
      </c>
      <c r="C750" s="6">
        <v>38</v>
      </c>
      <c r="D750" t="s">
        <v>21</v>
      </c>
      <c r="E750" t="s">
        <v>22</v>
      </c>
      <c r="F750" t="s">
        <v>17</v>
      </c>
      <c r="G750" s="6">
        <v>18</v>
      </c>
      <c r="H750" s="4">
        <v>32.31</v>
      </c>
      <c r="I750" t="s">
        <v>31</v>
      </c>
      <c r="J750" s="6">
        <v>6</v>
      </c>
      <c r="K750" s="6">
        <v>4</v>
      </c>
      <c r="L750" t="s">
        <v>24</v>
      </c>
      <c r="M750" s="2">
        <v>44997</v>
      </c>
    </row>
    <row r="751" spans="1:13" x14ac:dyDescent="0.25">
      <c r="A751" t="s">
        <v>780</v>
      </c>
      <c r="B751" t="s">
        <v>14</v>
      </c>
      <c r="C751" s="6">
        <v>52</v>
      </c>
      <c r="D751" t="s">
        <v>34</v>
      </c>
      <c r="E751" t="s">
        <v>16</v>
      </c>
      <c r="F751" t="s">
        <v>28</v>
      </c>
      <c r="G751" s="6">
        <v>14</v>
      </c>
      <c r="H751" s="4">
        <v>59.93</v>
      </c>
      <c r="I751" t="s">
        <v>23</v>
      </c>
      <c r="J751" s="6">
        <v>4</v>
      </c>
      <c r="K751" s="6">
        <v>1</v>
      </c>
      <c r="L751" t="s">
        <v>19</v>
      </c>
      <c r="M751" s="2">
        <v>45579</v>
      </c>
    </row>
    <row r="752" spans="1:13" x14ac:dyDescent="0.25">
      <c r="A752" t="s">
        <v>781</v>
      </c>
      <c r="B752" t="s">
        <v>14</v>
      </c>
      <c r="C752" s="6">
        <v>20</v>
      </c>
      <c r="D752" t="s">
        <v>34</v>
      </c>
      <c r="E752" t="s">
        <v>16</v>
      </c>
      <c r="F752" t="s">
        <v>17</v>
      </c>
      <c r="G752" s="6">
        <v>26</v>
      </c>
      <c r="H752" s="4">
        <v>31.04</v>
      </c>
      <c r="I752" t="s">
        <v>23</v>
      </c>
      <c r="J752" s="6">
        <v>4</v>
      </c>
      <c r="K752" s="6">
        <v>2</v>
      </c>
      <c r="L752" t="s">
        <v>19</v>
      </c>
      <c r="M752" s="2">
        <v>45547</v>
      </c>
    </row>
    <row r="753" spans="1:13" x14ac:dyDescent="0.25">
      <c r="A753" t="s">
        <v>782</v>
      </c>
      <c r="B753" t="s">
        <v>14</v>
      </c>
      <c r="C753" s="6">
        <v>47</v>
      </c>
      <c r="D753" t="s">
        <v>21</v>
      </c>
      <c r="E753" t="s">
        <v>35</v>
      </c>
      <c r="F753" t="s">
        <v>38</v>
      </c>
      <c r="G753" s="6">
        <v>2</v>
      </c>
      <c r="H753" s="4">
        <v>87.58</v>
      </c>
      <c r="I753" t="s">
        <v>23</v>
      </c>
      <c r="J753" s="6">
        <v>6</v>
      </c>
      <c r="K753" s="6">
        <v>2</v>
      </c>
      <c r="L753" t="s">
        <v>24</v>
      </c>
      <c r="M753" s="2">
        <v>44461</v>
      </c>
    </row>
    <row r="754" spans="1:13" x14ac:dyDescent="0.25">
      <c r="A754" t="s">
        <v>783</v>
      </c>
      <c r="B754" t="s">
        <v>26</v>
      </c>
      <c r="C754" s="6">
        <v>48</v>
      </c>
      <c r="D754" t="s">
        <v>21</v>
      </c>
      <c r="E754" t="s">
        <v>35</v>
      </c>
      <c r="F754" t="s">
        <v>17</v>
      </c>
      <c r="G754" s="6">
        <v>17</v>
      </c>
      <c r="H754" s="4">
        <v>43.06</v>
      </c>
      <c r="I754" t="s">
        <v>31</v>
      </c>
      <c r="J754" s="6">
        <v>6</v>
      </c>
      <c r="K754" s="6">
        <v>4</v>
      </c>
      <c r="L754" t="s">
        <v>19</v>
      </c>
      <c r="M754" s="2">
        <v>45374</v>
      </c>
    </row>
    <row r="755" spans="1:13" x14ac:dyDescent="0.25">
      <c r="A755" t="s">
        <v>784</v>
      </c>
      <c r="B755" t="s">
        <v>26</v>
      </c>
      <c r="C755" s="6">
        <v>55</v>
      </c>
      <c r="D755" t="s">
        <v>30</v>
      </c>
      <c r="E755" t="s">
        <v>22</v>
      </c>
      <c r="F755" t="s">
        <v>38</v>
      </c>
      <c r="G755" s="6">
        <v>59</v>
      </c>
      <c r="H755" s="4">
        <v>89.13</v>
      </c>
      <c r="I755" t="s">
        <v>18</v>
      </c>
      <c r="J755" s="6">
        <v>2</v>
      </c>
      <c r="K755" s="6">
        <v>4</v>
      </c>
      <c r="L755" t="s">
        <v>19</v>
      </c>
      <c r="M755" s="2">
        <v>45014</v>
      </c>
    </row>
    <row r="756" spans="1:13" x14ac:dyDescent="0.25">
      <c r="A756" t="s">
        <v>785</v>
      </c>
      <c r="B756" t="s">
        <v>14</v>
      </c>
      <c r="C756" s="6">
        <v>51</v>
      </c>
      <c r="D756" t="s">
        <v>15</v>
      </c>
      <c r="E756" t="s">
        <v>22</v>
      </c>
      <c r="F756" t="s">
        <v>28</v>
      </c>
      <c r="G756" s="6">
        <v>59</v>
      </c>
      <c r="H756" s="4">
        <v>61.94</v>
      </c>
      <c r="I756" t="s">
        <v>18</v>
      </c>
      <c r="J756" s="6">
        <v>1</v>
      </c>
      <c r="K756" s="6">
        <v>3</v>
      </c>
      <c r="L756" t="s">
        <v>24</v>
      </c>
      <c r="M756" s="2">
        <v>45131</v>
      </c>
    </row>
    <row r="757" spans="1:13" x14ac:dyDescent="0.25">
      <c r="A757" t="s">
        <v>786</v>
      </c>
      <c r="B757" t="s">
        <v>26</v>
      </c>
      <c r="C757" s="6">
        <v>62</v>
      </c>
      <c r="D757" t="s">
        <v>15</v>
      </c>
      <c r="E757" t="s">
        <v>35</v>
      </c>
      <c r="F757" t="s">
        <v>38</v>
      </c>
      <c r="G757" s="6">
        <v>23</v>
      </c>
      <c r="H757" s="4">
        <v>91.23</v>
      </c>
      <c r="I757" t="s">
        <v>46</v>
      </c>
      <c r="J757" s="6">
        <v>6</v>
      </c>
      <c r="K757" s="6">
        <v>4</v>
      </c>
      <c r="L757" t="s">
        <v>24</v>
      </c>
      <c r="M757" s="2">
        <v>45546</v>
      </c>
    </row>
    <row r="758" spans="1:13" x14ac:dyDescent="0.25">
      <c r="A758" t="s">
        <v>787</v>
      </c>
      <c r="B758" t="s">
        <v>14</v>
      </c>
      <c r="C758" s="6">
        <v>62</v>
      </c>
      <c r="D758" t="s">
        <v>21</v>
      </c>
      <c r="E758" t="s">
        <v>35</v>
      </c>
      <c r="F758" t="s">
        <v>38</v>
      </c>
      <c r="G758" s="6">
        <v>6</v>
      </c>
      <c r="H758" s="4">
        <v>88.6</v>
      </c>
      <c r="I758" t="s">
        <v>46</v>
      </c>
      <c r="J758" s="6">
        <v>4</v>
      </c>
      <c r="K758" s="6">
        <v>5</v>
      </c>
      <c r="L758" t="s">
        <v>24</v>
      </c>
      <c r="M758" s="2">
        <v>44333</v>
      </c>
    </row>
    <row r="759" spans="1:13" x14ac:dyDescent="0.25">
      <c r="A759" t="s">
        <v>788</v>
      </c>
      <c r="B759" t="s">
        <v>14</v>
      </c>
      <c r="C759" s="6">
        <v>49</v>
      </c>
      <c r="D759" t="s">
        <v>34</v>
      </c>
      <c r="E759" t="s">
        <v>22</v>
      </c>
      <c r="F759" t="s">
        <v>17</v>
      </c>
      <c r="G759" s="6">
        <v>48</v>
      </c>
      <c r="H759" s="4">
        <v>31.15</v>
      </c>
      <c r="I759" t="s">
        <v>18</v>
      </c>
      <c r="J759" s="6">
        <v>8</v>
      </c>
      <c r="K759" s="6">
        <v>3</v>
      </c>
      <c r="L759" t="s">
        <v>24</v>
      </c>
      <c r="M759" s="2">
        <v>44534</v>
      </c>
    </row>
    <row r="760" spans="1:13" x14ac:dyDescent="0.25">
      <c r="A760" t="s">
        <v>789</v>
      </c>
      <c r="B760" t="s">
        <v>26</v>
      </c>
      <c r="C760" s="6">
        <v>31</v>
      </c>
      <c r="D760" t="s">
        <v>21</v>
      </c>
      <c r="E760" t="s">
        <v>35</v>
      </c>
      <c r="F760" t="s">
        <v>17</v>
      </c>
      <c r="G760" s="6">
        <v>10</v>
      </c>
      <c r="H760" s="4">
        <v>39.58</v>
      </c>
      <c r="I760" t="s">
        <v>23</v>
      </c>
      <c r="J760" s="6">
        <v>6</v>
      </c>
      <c r="K760" s="6">
        <v>3</v>
      </c>
      <c r="L760" t="s">
        <v>24</v>
      </c>
      <c r="M760" s="2">
        <v>45949</v>
      </c>
    </row>
    <row r="761" spans="1:13" x14ac:dyDescent="0.25">
      <c r="A761" t="s">
        <v>790</v>
      </c>
      <c r="B761" t="s">
        <v>14</v>
      </c>
      <c r="C761" s="6">
        <v>43</v>
      </c>
      <c r="D761" t="s">
        <v>21</v>
      </c>
      <c r="E761" t="s">
        <v>16</v>
      </c>
      <c r="F761" t="s">
        <v>28</v>
      </c>
      <c r="G761" s="6">
        <v>15</v>
      </c>
      <c r="H761" s="4">
        <v>65.64</v>
      </c>
      <c r="I761" t="s">
        <v>46</v>
      </c>
      <c r="J761" s="6">
        <v>5</v>
      </c>
      <c r="K761" s="6">
        <v>4</v>
      </c>
      <c r="L761" t="s">
        <v>24</v>
      </c>
      <c r="M761" s="2">
        <v>44336</v>
      </c>
    </row>
    <row r="762" spans="1:13" x14ac:dyDescent="0.25">
      <c r="A762" t="s">
        <v>791</v>
      </c>
      <c r="B762" t="s">
        <v>14</v>
      </c>
      <c r="C762" s="6">
        <v>53</v>
      </c>
      <c r="D762" t="s">
        <v>30</v>
      </c>
      <c r="E762" t="s">
        <v>22</v>
      </c>
      <c r="F762" t="s">
        <v>28</v>
      </c>
      <c r="G762" s="6">
        <v>18</v>
      </c>
      <c r="H762" s="4">
        <v>62.06</v>
      </c>
      <c r="I762" t="s">
        <v>31</v>
      </c>
      <c r="J762" s="6">
        <v>2</v>
      </c>
      <c r="K762" s="6">
        <v>2</v>
      </c>
      <c r="L762" t="s">
        <v>24</v>
      </c>
      <c r="M762" s="2">
        <v>45440</v>
      </c>
    </row>
    <row r="763" spans="1:13" x14ac:dyDescent="0.25">
      <c r="A763" t="s">
        <v>792</v>
      </c>
      <c r="B763" t="s">
        <v>14</v>
      </c>
      <c r="C763" s="6">
        <v>29</v>
      </c>
      <c r="D763" t="s">
        <v>15</v>
      </c>
      <c r="E763" t="s">
        <v>16</v>
      </c>
      <c r="F763" t="s">
        <v>38</v>
      </c>
      <c r="G763" s="6">
        <v>51</v>
      </c>
      <c r="H763" s="4">
        <v>87.53</v>
      </c>
      <c r="I763" t="s">
        <v>18</v>
      </c>
      <c r="J763" s="6">
        <v>4</v>
      </c>
      <c r="K763" s="6">
        <v>2</v>
      </c>
      <c r="L763" t="s">
        <v>24</v>
      </c>
      <c r="M763" s="2">
        <v>44561</v>
      </c>
    </row>
    <row r="764" spans="1:13" x14ac:dyDescent="0.25">
      <c r="A764" t="s">
        <v>793</v>
      </c>
      <c r="B764" t="s">
        <v>14</v>
      </c>
      <c r="C764" s="6">
        <v>63</v>
      </c>
      <c r="D764" t="s">
        <v>21</v>
      </c>
      <c r="E764" t="s">
        <v>22</v>
      </c>
      <c r="F764" t="s">
        <v>38</v>
      </c>
      <c r="G764" s="6">
        <v>28</v>
      </c>
      <c r="H764" s="4">
        <v>91.63</v>
      </c>
      <c r="I764" t="s">
        <v>18</v>
      </c>
      <c r="J764" s="6">
        <v>8</v>
      </c>
      <c r="K764" s="6">
        <v>1</v>
      </c>
      <c r="L764" t="s">
        <v>24</v>
      </c>
      <c r="M764" s="2">
        <v>44828</v>
      </c>
    </row>
    <row r="765" spans="1:13" x14ac:dyDescent="0.25">
      <c r="A765" t="s">
        <v>794</v>
      </c>
      <c r="B765" t="s">
        <v>26</v>
      </c>
      <c r="C765" s="6">
        <v>21</v>
      </c>
      <c r="D765" t="s">
        <v>21</v>
      </c>
      <c r="E765" t="s">
        <v>16</v>
      </c>
      <c r="F765" t="s">
        <v>28</v>
      </c>
      <c r="G765" s="6">
        <v>26</v>
      </c>
      <c r="H765" s="4">
        <v>68.930000000000007</v>
      </c>
      <c r="I765" t="s">
        <v>31</v>
      </c>
      <c r="J765" s="6">
        <v>3</v>
      </c>
      <c r="K765" s="6">
        <v>2</v>
      </c>
      <c r="L765" t="s">
        <v>19</v>
      </c>
      <c r="M765" s="2">
        <v>45060</v>
      </c>
    </row>
    <row r="766" spans="1:13" x14ac:dyDescent="0.25">
      <c r="A766" t="s">
        <v>795</v>
      </c>
      <c r="B766" t="s">
        <v>14</v>
      </c>
      <c r="C766" s="6">
        <v>18</v>
      </c>
      <c r="D766" t="s">
        <v>15</v>
      </c>
      <c r="E766" t="s">
        <v>16</v>
      </c>
      <c r="F766" t="s">
        <v>38</v>
      </c>
      <c r="G766" s="6">
        <v>9</v>
      </c>
      <c r="H766" s="4">
        <v>88.31</v>
      </c>
      <c r="I766" t="s">
        <v>18</v>
      </c>
      <c r="J766" s="6">
        <v>2</v>
      </c>
      <c r="K766" s="6">
        <v>2</v>
      </c>
      <c r="L766" t="s">
        <v>19</v>
      </c>
      <c r="M766" s="2">
        <v>45246</v>
      </c>
    </row>
    <row r="767" spans="1:13" x14ac:dyDescent="0.25">
      <c r="A767" t="s">
        <v>796</v>
      </c>
      <c r="B767" t="s">
        <v>14</v>
      </c>
      <c r="C767" s="6">
        <v>70</v>
      </c>
      <c r="D767" t="s">
        <v>15</v>
      </c>
      <c r="E767" t="s">
        <v>35</v>
      </c>
      <c r="F767" t="s">
        <v>38</v>
      </c>
      <c r="G767" s="6">
        <v>25</v>
      </c>
      <c r="H767" s="4">
        <v>94.37</v>
      </c>
      <c r="I767" t="s">
        <v>23</v>
      </c>
      <c r="J767" s="6">
        <v>6</v>
      </c>
      <c r="K767" s="6">
        <v>1</v>
      </c>
      <c r="L767" t="s">
        <v>19</v>
      </c>
      <c r="M767" s="2">
        <v>44413</v>
      </c>
    </row>
    <row r="768" spans="1:13" x14ac:dyDescent="0.25">
      <c r="A768" t="s">
        <v>797</v>
      </c>
      <c r="B768" t="s">
        <v>26</v>
      </c>
      <c r="C768" s="6">
        <v>38</v>
      </c>
      <c r="D768" t="s">
        <v>30</v>
      </c>
      <c r="E768" t="s">
        <v>16</v>
      </c>
      <c r="F768" t="s">
        <v>28</v>
      </c>
      <c r="G768" s="6">
        <v>41</v>
      </c>
      <c r="H768" s="4">
        <v>55.18</v>
      </c>
      <c r="I768" t="s">
        <v>46</v>
      </c>
      <c r="J768" s="6">
        <v>7</v>
      </c>
      <c r="K768" s="6">
        <v>2</v>
      </c>
      <c r="L768" t="s">
        <v>19</v>
      </c>
      <c r="M768" s="2">
        <v>45866</v>
      </c>
    </row>
    <row r="769" spans="1:13" x14ac:dyDescent="0.25">
      <c r="A769" t="s">
        <v>798</v>
      </c>
      <c r="B769" t="s">
        <v>26</v>
      </c>
      <c r="C769" s="6">
        <v>59</v>
      </c>
      <c r="D769" t="s">
        <v>15</v>
      </c>
      <c r="E769" t="s">
        <v>16</v>
      </c>
      <c r="F769" t="s">
        <v>17</v>
      </c>
      <c r="G769" s="6">
        <v>28</v>
      </c>
      <c r="H769" s="4">
        <v>36.17</v>
      </c>
      <c r="I769" t="s">
        <v>23</v>
      </c>
      <c r="J769" s="6">
        <v>1</v>
      </c>
      <c r="K769" s="6">
        <v>5</v>
      </c>
      <c r="L769" t="s">
        <v>24</v>
      </c>
      <c r="M769" s="2">
        <v>45938</v>
      </c>
    </row>
    <row r="770" spans="1:13" x14ac:dyDescent="0.25">
      <c r="A770" t="s">
        <v>799</v>
      </c>
      <c r="B770" t="s">
        <v>14</v>
      </c>
      <c r="C770" s="6">
        <v>34</v>
      </c>
      <c r="D770" t="s">
        <v>21</v>
      </c>
      <c r="E770" t="s">
        <v>22</v>
      </c>
      <c r="F770" t="s">
        <v>28</v>
      </c>
      <c r="G770" s="6">
        <v>50</v>
      </c>
      <c r="H770" s="4">
        <v>65.17</v>
      </c>
      <c r="I770" t="s">
        <v>46</v>
      </c>
      <c r="J770" s="6">
        <v>5</v>
      </c>
      <c r="K770" s="6">
        <v>2</v>
      </c>
      <c r="L770" t="s">
        <v>24</v>
      </c>
      <c r="M770" s="2">
        <v>45605</v>
      </c>
    </row>
    <row r="771" spans="1:13" x14ac:dyDescent="0.25">
      <c r="A771" t="s">
        <v>800</v>
      </c>
      <c r="B771" t="s">
        <v>26</v>
      </c>
      <c r="C771" s="6">
        <v>60</v>
      </c>
      <c r="D771" t="s">
        <v>34</v>
      </c>
      <c r="E771" t="s">
        <v>16</v>
      </c>
      <c r="F771" t="s">
        <v>28</v>
      </c>
      <c r="G771" s="6">
        <v>3</v>
      </c>
      <c r="H771" s="4">
        <v>64.13</v>
      </c>
      <c r="I771" t="s">
        <v>23</v>
      </c>
      <c r="J771" s="6">
        <v>6</v>
      </c>
      <c r="K771" s="6">
        <v>5</v>
      </c>
      <c r="L771" t="s">
        <v>24</v>
      </c>
      <c r="M771" s="2">
        <v>44673</v>
      </c>
    </row>
    <row r="772" spans="1:13" x14ac:dyDescent="0.25">
      <c r="A772" t="s">
        <v>801</v>
      </c>
      <c r="B772" t="s">
        <v>14</v>
      </c>
      <c r="C772" s="6">
        <v>32</v>
      </c>
      <c r="D772" t="s">
        <v>21</v>
      </c>
      <c r="E772" t="s">
        <v>22</v>
      </c>
      <c r="F772" t="s">
        <v>17</v>
      </c>
      <c r="G772" s="6">
        <v>40</v>
      </c>
      <c r="H772" s="4">
        <v>33.549999999999997</v>
      </c>
      <c r="I772" t="s">
        <v>23</v>
      </c>
      <c r="J772" s="6">
        <v>3</v>
      </c>
      <c r="K772" s="6">
        <v>5</v>
      </c>
      <c r="L772" t="s">
        <v>19</v>
      </c>
      <c r="M772" s="2">
        <v>44478</v>
      </c>
    </row>
    <row r="773" spans="1:13" x14ac:dyDescent="0.25">
      <c r="A773" t="s">
        <v>802</v>
      </c>
      <c r="B773" t="s">
        <v>26</v>
      </c>
      <c r="C773" s="6">
        <v>49</v>
      </c>
      <c r="D773" t="s">
        <v>15</v>
      </c>
      <c r="E773" t="s">
        <v>16</v>
      </c>
      <c r="F773" t="s">
        <v>17</v>
      </c>
      <c r="G773" s="6">
        <v>49</v>
      </c>
      <c r="H773" s="4">
        <v>33.07</v>
      </c>
      <c r="I773" t="s">
        <v>18</v>
      </c>
      <c r="J773" s="6">
        <v>3</v>
      </c>
      <c r="K773" s="6">
        <v>5</v>
      </c>
      <c r="L773" t="s">
        <v>24</v>
      </c>
      <c r="M773" s="2">
        <v>45105</v>
      </c>
    </row>
    <row r="774" spans="1:13" x14ac:dyDescent="0.25">
      <c r="A774" t="s">
        <v>803</v>
      </c>
      <c r="B774" t="s">
        <v>26</v>
      </c>
      <c r="C774" s="6">
        <v>26</v>
      </c>
      <c r="D774" t="s">
        <v>15</v>
      </c>
      <c r="E774" t="s">
        <v>35</v>
      </c>
      <c r="F774" t="s">
        <v>38</v>
      </c>
      <c r="G774" s="6">
        <v>6</v>
      </c>
      <c r="H774" s="4">
        <v>92.81</v>
      </c>
      <c r="I774" t="s">
        <v>23</v>
      </c>
      <c r="J774" s="6">
        <v>4</v>
      </c>
      <c r="K774" s="6">
        <v>1</v>
      </c>
      <c r="L774" t="s">
        <v>19</v>
      </c>
      <c r="M774" s="2">
        <v>45697</v>
      </c>
    </row>
    <row r="775" spans="1:13" x14ac:dyDescent="0.25">
      <c r="A775" t="s">
        <v>804</v>
      </c>
      <c r="B775" t="s">
        <v>26</v>
      </c>
      <c r="C775" s="6">
        <v>39</v>
      </c>
      <c r="D775" t="s">
        <v>30</v>
      </c>
      <c r="E775" t="s">
        <v>16</v>
      </c>
      <c r="F775" t="s">
        <v>38</v>
      </c>
      <c r="G775" s="6">
        <v>7</v>
      </c>
      <c r="H775" s="4">
        <v>98.6</v>
      </c>
      <c r="I775" t="s">
        <v>46</v>
      </c>
      <c r="J775" s="6">
        <v>3</v>
      </c>
      <c r="K775" s="6">
        <v>5</v>
      </c>
      <c r="L775" t="s">
        <v>24</v>
      </c>
      <c r="M775" s="2">
        <v>45264</v>
      </c>
    </row>
    <row r="776" spans="1:13" x14ac:dyDescent="0.25">
      <c r="A776" t="s">
        <v>805</v>
      </c>
      <c r="B776" t="s">
        <v>26</v>
      </c>
      <c r="C776" s="6">
        <v>29</v>
      </c>
      <c r="D776" t="s">
        <v>34</v>
      </c>
      <c r="E776" t="s">
        <v>22</v>
      </c>
      <c r="F776" t="s">
        <v>17</v>
      </c>
      <c r="G776" s="6">
        <v>9</v>
      </c>
      <c r="H776" s="4">
        <v>43.05</v>
      </c>
      <c r="I776" t="s">
        <v>18</v>
      </c>
      <c r="J776" s="6">
        <v>3</v>
      </c>
      <c r="K776" s="6">
        <v>1</v>
      </c>
      <c r="L776" t="s">
        <v>24</v>
      </c>
      <c r="M776" s="2">
        <v>44486</v>
      </c>
    </row>
    <row r="777" spans="1:13" x14ac:dyDescent="0.25">
      <c r="A777" t="s">
        <v>806</v>
      </c>
      <c r="B777" t="s">
        <v>14</v>
      </c>
      <c r="C777" s="6">
        <v>26</v>
      </c>
      <c r="D777" t="s">
        <v>21</v>
      </c>
      <c r="E777" t="s">
        <v>16</v>
      </c>
      <c r="F777" t="s">
        <v>38</v>
      </c>
      <c r="G777" s="6">
        <v>71</v>
      </c>
      <c r="H777" s="4">
        <v>97.47</v>
      </c>
      <c r="I777" t="s">
        <v>46</v>
      </c>
      <c r="J777" s="6">
        <v>3</v>
      </c>
      <c r="K777" s="6">
        <v>5</v>
      </c>
      <c r="L777" t="s">
        <v>19</v>
      </c>
      <c r="M777" s="2">
        <v>45681</v>
      </c>
    </row>
    <row r="778" spans="1:13" x14ac:dyDescent="0.25">
      <c r="A778" t="s">
        <v>807</v>
      </c>
      <c r="B778" t="s">
        <v>26</v>
      </c>
      <c r="C778" s="6">
        <v>37</v>
      </c>
      <c r="D778" t="s">
        <v>30</v>
      </c>
      <c r="E778" t="s">
        <v>22</v>
      </c>
      <c r="F778" t="s">
        <v>17</v>
      </c>
      <c r="G778" s="6">
        <v>32</v>
      </c>
      <c r="H778" s="4">
        <v>36.36</v>
      </c>
      <c r="I778" t="s">
        <v>46</v>
      </c>
      <c r="J778" s="6">
        <v>4</v>
      </c>
      <c r="K778" s="6">
        <v>3</v>
      </c>
      <c r="L778" t="s">
        <v>24</v>
      </c>
      <c r="M778" s="2">
        <v>45498</v>
      </c>
    </row>
    <row r="779" spans="1:13" x14ac:dyDescent="0.25">
      <c r="A779" t="s">
        <v>808</v>
      </c>
      <c r="B779" t="s">
        <v>14</v>
      </c>
      <c r="C779" s="6">
        <v>35</v>
      </c>
      <c r="D779" t="s">
        <v>34</v>
      </c>
      <c r="E779" t="s">
        <v>16</v>
      </c>
      <c r="F779" t="s">
        <v>28</v>
      </c>
      <c r="G779" s="6">
        <v>51</v>
      </c>
      <c r="H779" s="4">
        <v>60.67</v>
      </c>
      <c r="I779" t="s">
        <v>23</v>
      </c>
      <c r="J779" s="6">
        <v>7</v>
      </c>
      <c r="K779" s="6">
        <v>4</v>
      </c>
      <c r="L779" t="s">
        <v>24</v>
      </c>
      <c r="M779" s="2">
        <v>45702</v>
      </c>
    </row>
    <row r="780" spans="1:13" x14ac:dyDescent="0.25">
      <c r="A780" t="s">
        <v>809</v>
      </c>
      <c r="B780" t="s">
        <v>26</v>
      </c>
      <c r="C780" s="6">
        <v>66</v>
      </c>
      <c r="D780" t="s">
        <v>30</v>
      </c>
      <c r="E780" t="s">
        <v>35</v>
      </c>
      <c r="F780" t="s">
        <v>17</v>
      </c>
      <c r="G780" s="6">
        <v>49</v>
      </c>
      <c r="H780" s="4">
        <v>36.409999999999997</v>
      </c>
      <c r="I780" t="s">
        <v>18</v>
      </c>
      <c r="J780" s="6">
        <v>4</v>
      </c>
      <c r="K780" s="6">
        <v>5</v>
      </c>
      <c r="L780" t="s">
        <v>24</v>
      </c>
      <c r="M780" s="2">
        <v>45329</v>
      </c>
    </row>
    <row r="781" spans="1:13" x14ac:dyDescent="0.25">
      <c r="A781" t="s">
        <v>810</v>
      </c>
      <c r="B781" t="s">
        <v>14</v>
      </c>
      <c r="C781" s="6">
        <v>34</v>
      </c>
      <c r="D781" t="s">
        <v>34</v>
      </c>
      <c r="E781" t="s">
        <v>35</v>
      </c>
      <c r="F781" t="s">
        <v>28</v>
      </c>
      <c r="G781" s="6">
        <v>59</v>
      </c>
      <c r="H781" s="4">
        <v>59.25</v>
      </c>
      <c r="I781" t="s">
        <v>23</v>
      </c>
      <c r="J781" s="6">
        <v>1</v>
      </c>
      <c r="K781" s="6">
        <v>3</v>
      </c>
      <c r="L781" t="s">
        <v>24</v>
      </c>
      <c r="M781" s="2">
        <v>45158</v>
      </c>
    </row>
    <row r="782" spans="1:13" x14ac:dyDescent="0.25">
      <c r="A782" t="s">
        <v>811</v>
      </c>
      <c r="B782" t="s">
        <v>14</v>
      </c>
      <c r="C782" s="6">
        <v>27</v>
      </c>
      <c r="D782" t="s">
        <v>30</v>
      </c>
      <c r="E782" t="s">
        <v>16</v>
      </c>
      <c r="F782" t="s">
        <v>17</v>
      </c>
      <c r="G782" s="6">
        <v>65</v>
      </c>
      <c r="H782" s="4">
        <v>40.96</v>
      </c>
      <c r="I782" t="s">
        <v>31</v>
      </c>
      <c r="J782" s="6">
        <v>7</v>
      </c>
      <c r="K782" s="6">
        <v>4</v>
      </c>
      <c r="L782" t="s">
        <v>24</v>
      </c>
      <c r="M782" s="2">
        <v>45005</v>
      </c>
    </row>
    <row r="783" spans="1:13" x14ac:dyDescent="0.25">
      <c r="A783" t="s">
        <v>812</v>
      </c>
      <c r="B783" t="s">
        <v>26</v>
      </c>
      <c r="C783" s="6">
        <v>42</v>
      </c>
      <c r="D783" t="s">
        <v>34</v>
      </c>
      <c r="E783" t="s">
        <v>35</v>
      </c>
      <c r="F783" t="s">
        <v>38</v>
      </c>
      <c r="G783" s="6">
        <v>10</v>
      </c>
      <c r="H783" s="4">
        <v>91.13</v>
      </c>
      <c r="I783" t="s">
        <v>18</v>
      </c>
      <c r="J783" s="6">
        <v>1</v>
      </c>
      <c r="K783" s="6">
        <v>4</v>
      </c>
      <c r="L783" t="s">
        <v>24</v>
      </c>
      <c r="M783" s="2">
        <v>44529</v>
      </c>
    </row>
    <row r="784" spans="1:13" x14ac:dyDescent="0.25">
      <c r="A784" t="s">
        <v>813</v>
      </c>
      <c r="B784" t="s">
        <v>14</v>
      </c>
      <c r="C784" s="6">
        <v>66</v>
      </c>
      <c r="D784" t="s">
        <v>34</v>
      </c>
      <c r="E784" t="s">
        <v>35</v>
      </c>
      <c r="F784" t="s">
        <v>38</v>
      </c>
      <c r="G784" s="6">
        <v>45</v>
      </c>
      <c r="H784" s="4">
        <v>92.64</v>
      </c>
      <c r="I784" t="s">
        <v>23</v>
      </c>
      <c r="J784" s="6">
        <v>5</v>
      </c>
      <c r="K784" s="6">
        <v>1</v>
      </c>
      <c r="L784" t="s">
        <v>24</v>
      </c>
      <c r="M784" s="2">
        <v>45065</v>
      </c>
    </row>
    <row r="785" spans="1:13" x14ac:dyDescent="0.25">
      <c r="A785" t="s">
        <v>814</v>
      </c>
      <c r="B785" t="s">
        <v>14</v>
      </c>
      <c r="C785" s="6">
        <v>33</v>
      </c>
      <c r="D785" t="s">
        <v>34</v>
      </c>
      <c r="E785" t="s">
        <v>16</v>
      </c>
      <c r="F785" t="s">
        <v>28</v>
      </c>
      <c r="G785" s="6">
        <v>4</v>
      </c>
      <c r="H785" s="4">
        <v>65.459999999999994</v>
      </c>
      <c r="I785" t="s">
        <v>46</v>
      </c>
      <c r="J785" s="6">
        <v>4</v>
      </c>
      <c r="K785" s="6">
        <v>5</v>
      </c>
      <c r="L785" t="s">
        <v>24</v>
      </c>
      <c r="M785" s="2">
        <v>45591</v>
      </c>
    </row>
    <row r="786" spans="1:13" x14ac:dyDescent="0.25">
      <c r="A786" t="s">
        <v>815</v>
      </c>
      <c r="B786" t="s">
        <v>14</v>
      </c>
      <c r="C786" s="6">
        <v>34</v>
      </c>
      <c r="D786" t="s">
        <v>30</v>
      </c>
      <c r="E786" t="s">
        <v>22</v>
      </c>
      <c r="F786" t="s">
        <v>38</v>
      </c>
      <c r="G786" s="6">
        <v>21</v>
      </c>
      <c r="H786" s="4">
        <v>85.19</v>
      </c>
      <c r="I786" t="s">
        <v>18</v>
      </c>
      <c r="J786" s="6">
        <v>6</v>
      </c>
      <c r="K786" s="6">
        <v>4</v>
      </c>
      <c r="L786" t="s">
        <v>24</v>
      </c>
      <c r="M786" s="2">
        <v>44361</v>
      </c>
    </row>
    <row r="787" spans="1:13" x14ac:dyDescent="0.25">
      <c r="A787" t="s">
        <v>816</v>
      </c>
      <c r="B787" t="s">
        <v>14</v>
      </c>
      <c r="C787" s="6">
        <v>45</v>
      </c>
      <c r="D787" t="s">
        <v>30</v>
      </c>
      <c r="E787" t="s">
        <v>35</v>
      </c>
      <c r="F787" t="s">
        <v>28</v>
      </c>
      <c r="G787" s="6">
        <v>39</v>
      </c>
      <c r="H787" s="4">
        <v>62.51</v>
      </c>
      <c r="I787" t="s">
        <v>23</v>
      </c>
      <c r="J787" s="6">
        <v>4</v>
      </c>
      <c r="K787" s="6">
        <v>4</v>
      </c>
      <c r="L787" t="s">
        <v>24</v>
      </c>
      <c r="M787" s="2">
        <v>45687</v>
      </c>
    </row>
    <row r="788" spans="1:13" x14ac:dyDescent="0.25">
      <c r="A788" t="s">
        <v>817</v>
      </c>
      <c r="B788" t="s">
        <v>14</v>
      </c>
      <c r="C788" s="6">
        <v>24</v>
      </c>
      <c r="D788" t="s">
        <v>15</v>
      </c>
      <c r="E788" t="s">
        <v>16</v>
      </c>
      <c r="F788" t="s">
        <v>28</v>
      </c>
      <c r="G788" s="6">
        <v>27</v>
      </c>
      <c r="H788" s="4">
        <v>68.95</v>
      </c>
      <c r="I788" t="s">
        <v>23</v>
      </c>
      <c r="J788" s="6">
        <v>4</v>
      </c>
      <c r="K788" s="6">
        <v>1</v>
      </c>
      <c r="L788" t="s">
        <v>24</v>
      </c>
      <c r="M788" s="2">
        <v>45868</v>
      </c>
    </row>
    <row r="789" spans="1:13" x14ac:dyDescent="0.25">
      <c r="A789" t="s">
        <v>818</v>
      </c>
      <c r="B789" t="s">
        <v>26</v>
      </c>
      <c r="C789" s="6">
        <v>18</v>
      </c>
      <c r="D789" t="s">
        <v>21</v>
      </c>
      <c r="E789" t="s">
        <v>16</v>
      </c>
      <c r="F789" t="s">
        <v>38</v>
      </c>
      <c r="G789" s="6">
        <v>54</v>
      </c>
      <c r="H789" s="4">
        <v>92.87</v>
      </c>
      <c r="I789" t="s">
        <v>31</v>
      </c>
      <c r="J789" s="6">
        <v>6</v>
      </c>
      <c r="K789" s="6">
        <v>2</v>
      </c>
      <c r="L789" t="s">
        <v>19</v>
      </c>
      <c r="M789" s="2">
        <v>44578</v>
      </c>
    </row>
    <row r="790" spans="1:13" x14ac:dyDescent="0.25">
      <c r="A790" t="s">
        <v>819</v>
      </c>
      <c r="B790" t="s">
        <v>14</v>
      </c>
      <c r="C790" s="6">
        <v>30</v>
      </c>
      <c r="D790" t="s">
        <v>34</v>
      </c>
      <c r="E790" t="s">
        <v>16</v>
      </c>
      <c r="F790" t="s">
        <v>38</v>
      </c>
      <c r="G790" s="6">
        <v>15</v>
      </c>
      <c r="H790" s="4">
        <v>91.76</v>
      </c>
      <c r="I790" t="s">
        <v>46</v>
      </c>
      <c r="J790" s="6">
        <v>2</v>
      </c>
      <c r="K790" s="6">
        <v>2</v>
      </c>
      <c r="L790" t="s">
        <v>19</v>
      </c>
      <c r="M790" s="2">
        <v>44571</v>
      </c>
    </row>
    <row r="791" spans="1:13" x14ac:dyDescent="0.25">
      <c r="A791" t="s">
        <v>820</v>
      </c>
      <c r="B791" t="s">
        <v>14</v>
      </c>
      <c r="C791" s="6">
        <v>34</v>
      </c>
      <c r="D791" t="s">
        <v>34</v>
      </c>
      <c r="E791" t="s">
        <v>35</v>
      </c>
      <c r="F791" t="s">
        <v>38</v>
      </c>
      <c r="G791" s="6">
        <v>14</v>
      </c>
      <c r="H791" s="4">
        <v>98.03</v>
      </c>
      <c r="I791" t="s">
        <v>46</v>
      </c>
      <c r="J791" s="6">
        <v>1</v>
      </c>
      <c r="K791" s="6">
        <v>3</v>
      </c>
      <c r="L791" t="s">
        <v>19</v>
      </c>
      <c r="M791" s="2">
        <v>44452</v>
      </c>
    </row>
    <row r="792" spans="1:13" x14ac:dyDescent="0.25">
      <c r="A792" t="s">
        <v>821</v>
      </c>
      <c r="B792" t="s">
        <v>26</v>
      </c>
      <c r="C792" s="6">
        <v>22</v>
      </c>
      <c r="D792" t="s">
        <v>15</v>
      </c>
      <c r="E792" t="s">
        <v>16</v>
      </c>
      <c r="F792" t="s">
        <v>38</v>
      </c>
      <c r="G792" s="6">
        <v>31</v>
      </c>
      <c r="H792" s="4">
        <v>92.17</v>
      </c>
      <c r="I792" t="s">
        <v>18</v>
      </c>
      <c r="J792" s="6">
        <v>0</v>
      </c>
      <c r="K792" s="6">
        <v>1</v>
      </c>
      <c r="L792" t="s">
        <v>19</v>
      </c>
      <c r="M792" s="2">
        <v>44211</v>
      </c>
    </row>
    <row r="793" spans="1:13" x14ac:dyDescent="0.25">
      <c r="A793" t="s">
        <v>822</v>
      </c>
      <c r="B793" t="s">
        <v>14</v>
      </c>
      <c r="C793" s="6">
        <v>24</v>
      </c>
      <c r="D793" t="s">
        <v>30</v>
      </c>
      <c r="E793" t="s">
        <v>22</v>
      </c>
      <c r="F793" t="s">
        <v>17</v>
      </c>
      <c r="G793" s="6">
        <v>49</v>
      </c>
      <c r="H793" s="4">
        <v>39.04</v>
      </c>
      <c r="I793" t="s">
        <v>31</v>
      </c>
      <c r="J793" s="6">
        <v>7</v>
      </c>
      <c r="K793" s="6">
        <v>4</v>
      </c>
      <c r="L793" t="s">
        <v>24</v>
      </c>
      <c r="M793" s="2">
        <v>45434</v>
      </c>
    </row>
    <row r="794" spans="1:13" x14ac:dyDescent="0.25">
      <c r="A794" t="s">
        <v>823</v>
      </c>
      <c r="B794" t="s">
        <v>26</v>
      </c>
      <c r="C794" s="6">
        <v>39</v>
      </c>
      <c r="D794" t="s">
        <v>15</v>
      </c>
      <c r="E794" t="s">
        <v>22</v>
      </c>
      <c r="F794" t="s">
        <v>28</v>
      </c>
      <c r="G794" s="6">
        <v>41</v>
      </c>
      <c r="H794" s="4">
        <v>67.25</v>
      </c>
      <c r="I794" t="s">
        <v>31</v>
      </c>
      <c r="J794" s="6">
        <v>6</v>
      </c>
      <c r="K794" s="6">
        <v>4</v>
      </c>
      <c r="L794" t="s">
        <v>24</v>
      </c>
      <c r="M794" s="2">
        <v>44926</v>
      </c>
    </row>
    <row r="795" spans="1:13" x14ac:dyDescent="0.25">
      <c r="A795" t="s">
        <v>824</v>
      </c>
      <c r="B795" t="s">
        <v>26</v>
      </c>
      <c r="C795" s="6">
        <v>69</v>
      </c>
      <c r="D795" t="s">
        <v>21</v>
      </c>
      <c r="E795" t="s">
        <v>16</v>
      </c>
      <c r="F795" t="s">
        <v>28</v>
      </c>
      <c r="G795" s="6">
        <v>52</v>
      </c>
      <c r="H795" s="4">
        <v>65.88</v>
      </c>
      <c r="I795" t="s">
        <v>46</v>
      </c>
      <c r="J795" s="6">
        <v>0</v>
      </c>
      <c r="K795" s="6">
        <v>5</v>
      </c>
      <c r="L795" t="s">
        <v>19</v>
      </c>
      <c r="M795" s="2">
        <v>45283</v>
      </c>
    </row>
    <row r="796" spans="1:13" x14ac:dyDescent="0.25">
      <c r="A796" t="s">
        <v>825</v>
      </c>
      <c r="B796" t="s">
        <v>26</v>
      </c>
      <c r="C796" s="6">
        <v>62</v>
      </c>
      <c r="D796" t="s">
        <v>30</v>
      </c>
      <c r="E796" t="s">
        <v>35</v>
      </c>
      <c r="F796" t="s">
        <v>28</v>
      </c>
      <c r="G796" s="6">
        <v>61</v>
      </c>
      <c r="H796" s="4">
        <v>62.72</v>
      </c>
      <c r="I796" t="s">
        <v>46</v>
      </c>
      <c r="J796" s="6">
        <v>0</v>
      </c>
      <c r="K796" s="6">
        <v>3</v>
      </c>
      <c r="L796" t="s">
        <v>19</v>
      </c>
      <c r="M796" s="2">
        <v>44934</v>
      </c>
    </row>
    <row r="797" spans="1:13" x14ac:dyDescent="0.25">
      <c r="A797" t="s">
        <v>826</v>
      </c>
      <c r="B797" t="s">
        <v>14</v>
      </c>
      <c r="C797" s="6">
        <v>69</v>
      </c>
      <c r="D797" t="s">
        <v>15</v>
      </c>
      <c r="E797" t="s">
        <v>22</v>
      </c>
      <c r="F797" t="s">
        <v>28</v>
      </c>
      <c r="G797" s="6">
        <v>30</v>
      </c>
      <c r="H797" s="4">
        <v>64.099999999999994</v>
      </c>
      <c r="I797" t="s">
        <v>23</v>
      </c>
      <c r="J797" s="6">
        <v>1</v>
      </c>
      <c r="K797" s="6">
        <v>3</v>
      </c>
      <c r="L797" t="s">
        <v>24</v>
      </c>
      <c r="M797" s="2">
        <v>45172</v>
      </c>
    </row>
    <row r="798" spans="1:13" x14ac:dyDescent="0.25">
      <c r="A798" t="s">
        <v>827</v>
      </c>
      <c r="B798" t="s">
        <v>14</v>
      </c>
      <c r="C798" s="6">
        <v>64</v>
      </c>
      <c r="D798" t="s">
        <v>34</v>
      </c>
      <c r="E798" t="s">
        <v>35</v>
      </c>
      <c r="F798" t="s">
        <v>38</v>
      </c>
      <c r="G798" s="6">
        <v>25</v>
      </c>
      <c r="H798" s="4">
        <v>95.68</v>
      </c>
      <c r="I798" t="s">
        <v>18</v>
      </c>
      <c r="J798" s="6">
        <v>2</v>
      </c>
      <c r="K798" s="6">
        <v>4</v>
      </c>
      <c r="L798" t="s">
        <v>24</v>
      </c>
      <c r="M798" s="2">
        <v>44814</v>
      </c>
    </row>
    <row r="799" spans="1:13" x14ac:dyDescent="0.25">
      <c r="A799" t="s">
        <v>828</v>
      </c>
      <c r="B799" t="s">
        <v>26</v>
      </c>
      <c r="C799" s="6">
        <v>28</v>
      </c>
      <c r="D799" t="s">
        <v>34</v>
      </c>
      <c r="E799" t="s">
        <v>16</v>
      </c>
      <c r="F799" t="s">
        <v>28</v>
      </c>
      <c r="G799" s="6">
        <v>70</v>
      </c>
      <c r="H799" s="4">
        <v>58.61</v>
      </c>
      <c r="I799" t="s">
        <v>46</v>
      </c>
      <c r="J799" s="6">
        <v>2</v>
      </c>
      <c r="K799" s="6">
        <v>1</v>
      </c>
      <c r="L799" t="s">
        <v>19</v>
      </c>
      <c r="M799" s="2">
        <v>45662</v>
      </c>
    </row>
    <row r="800" spans="1:13" x14ac:dyDescent="0.25">
      <c r="A800" t="s">
        <v>829</v>
      </c>
      <c r="B800" t="s">
        <v>14</v>
      </c>
      <c r="C800" s="6">
        <v>28</v>
      </c>
      <c r="D800" t="s">
        <v>15</v>
      </c>
      <c r="E800" t="s">
        <v>35</v>
      </c>
      <c r="F800" t="s">
        <v>28</v>
      </c>
      <c r="G800" s="6">
        <v>29</v>
      </c>
      <c r="H800" s="4">
        <v>65.790000000000006</v>
      </c>
      <c r="I800" t="s">
        <v>23</v>
      </c>
      <c r="J800" s="6">
        <v>1</v>
      </c>
      <c r="K800" s="6">
        <v>2</v>
      </c>
      <c r="L800" t="s">
        <v>24</v>
      </c>
      <c r="M800" s="2">
        <v>45494</v>
      </c>
    </row>
    <row r="801" spans="1:13" x14ac:dyDescent="0.25">
      <c r="A801" t="s">
        <v>830</v>
      </c>
      <c r="B801" t="s">
        <v>26</v>
      </c>
      <c r="C801" s="6">
        <v>23</v>
      </c>
      <c r="D801" t="s">
        <v>15</v>
      </c>
      <c r="E801" t="s">
        <v>16</v>
      </c>
      <c r="F801" t="s">
        <v>38</v>
      </c>
      <c r="G801" s="6">
        <v>9</v>
      </c>
      <c r="H801" s="4">
        <v>94.66</v>
      </c>
      <c r="I801" t="s">
        <v>23</v>
      </c>
      <c r="J801" s="6">
        <v>6</v>
      </c>
      <c r="K801" s="6">
        <v>5</v>
      </c>
      <c r="L801" t="s">
        <v>24</v>
      </c>
      <c r="M801" s="2">
        <v>45091</v>
      </c>
    </row>
    <row r="802" spans="1:13" x14ac:dyDescent="0.25">
      <c r="A802" t="s">
        <v>831</v>
      </c>
      <c r="B802" t="s">
        <v>14</v>
      </c>
      <c r="C802" s="6">
        <v>32</v>
      </c>
      <c r="D802" t="s">
        <v>15</v>
      </c>
      <c r="E802" t="s">
        <v>16</v>
      </c>
      <c r="F802" t="s">
        <v>28</v>
      </c>
      <c r="G802" s="6">
        <v>12</v>
      </c>
      <c r="H802" s="4">
        <v>56.67</v>
      </c>
      <c r="I802" t="s">
        <v>31</v>
      </c>
      <c r="J802" s="6">
        <v>3</v>
      </c>
      <c r="K802" s="6">
        <v>1</v>
      </c>
      <c r="L802" t="s">
        <v>24</v>
      </c>
      <c r="M802" s="2">
        <v>44457</v>
      </c>
    </row>
    <row r="803" spans="1:13" x14ac:dyDescent="0.25">
      <c r="A803" t="s">
        <v>832</v>
      </c>
      <c r="B803" t="s">
        <v>26</v>
      </c>
      <c r="C803" s="6">
        <v>42</v>
      </c>
      <c r="D803" t="s">
        <v>21</v>
      </c>
      <c r="E803" t="s">
        <v>35</v>
      </c>
      <c r="F803" t="s">
        <v>17</v>
      </c>
      <c r="G803" s="6">
        <v>69</v>
      </c>
      <c r="H803" s="4">
        <v>32.85</v>
      </c>
      <c r="I803" t="s">
        <v>23</v>
      </c>
      <c r="J803" s="6">
        <v>6</v>
      </c>
      <c r="K803" s="6">
        <v>3</v>
      </c>
      <c r="L803" t="s">
        <v>24</v>
      </c>
      <c r="M803" s="2">
        <v>45830</v>
      </c>
    </row>
    <row r="804" spans="1:13" x14ac:dyDescent="0.25">
      <c r="A804" t="s">
        <v>833</v>
      </c>
      <c r="B804" t="s">
        <v>14</v>
      </c>
      <c r="C804" s="6">
        <v>51</v>
      </c>
      <c r="D804" t="s">
        <v>30</v>
      </c>
      <c r="E804" t="s">
        <v>16</v>
      </c>
      <c r="F804" t="s">
        <v>28</v>
      </c>
      <c r="G804" s="6">
        <v>2</v>
      </c>
      <c r="H804" s="4">
        <v>63.07</v>
      </c>
      <c r="I804" t="s">
        <v>23</v>
      </c>
      <c r="J804" s="6">
        <v>5</v>
      </c>
      <c r="K804" s="6">
        <v>2</v>
      </c>
      <c r="L804" t="s">
        <v>24</v>
      </c>
      <c r="M804" s="2">
        <v>44804</v>
      </c>
    </row>
    <row r="805" spans="1:13" x14ac:dyDescent="0.25">
      <c r="A805" t="s">
        <v>834</v>
      </c>
      <c r="B805" t="s">
        <v>14</v>
      </c>
      <c r="C805" s="6">
        <v>49</v>
      </c>
      <c r="D805" t="s">
        <v>34</v>
      </c>
      <c r="E805" t="s">
        <v>16</v>
      </c>
      <c r="F805" t="s">
        <v>38</v>
      </c>
      <c r="G805" s="6">
        <v>37</v>
      </c>
      <c r="H805" s="4">
        <v>87.19</v>
      </c>
      <c r="I805" t="s">
        <v>18</v>
      </c>
      <c r="J805" s="6">
        <v>5</v>
      </c>
      <c r="K805" s="6">
        <v>3</v>
      </c>
      <c r="L805" t="s">
        <v>24</v>
      </c>
      <c r="M805" s="2">
        <v>45607</v>
      </c>
    </row>
    <row r="806" spans="1:13" x14ac:dyDescent="0.25">
      <c r="A806" t="s">
        <v>835</v>
      </c>
      <c r="B806" t="s">
        <v>14</v>
      </c>
      <c r="C806" s="6">
        <v>35</v>
      </c>
      <c r="D806" t="s">
        <v>34</v>
      </c>
      <c r="E806" t="s">
        <v>22</v>
      </c>
      <c r="F806" t="s">
        <v>17</v>
      </c>
      <c r="G806" s="6">
        <v>64</v>
      </c>
      <c r="H806" s="4">
        <v>34.369999999999997</v>
      </c>
      <c r="I806" t="s">
        <v>23</v>
      </c>
      <c r="J806" s="6">
        <v>0</v>
      </c>
      <c r="K806" s="6">
        <v>3</v>
      </c>
      <c r="L806" t="s">
        <v>24</v>
      </c>
      <c r="M806" s="2">
        <v>45664</v>
      </c>
    </row>
    <row r="807" spans="1:13" x14ac:dyDescent="0.25">
      <c r="A807" t="s">
        <v>836</v>
      </c>
      <c r="B807" t="s">
        <v>14</v>
      </c>
      <c r="C807" s="6">
        <v>64</v>
      </c>
      <c r="D807" t="s">
        <v>30</v>
      </c>
      <c r="E807" t="s">
        <v>22</v>
      </c>
      <c r="F807" t="s">
        <v>38</v>
      </c>
      <c r="G807" s="6">
        <v>7</v>
      </c>
      <c r="H807" s="4">
        <v>98.85</v>
      </c>
      <c r="I807" t="s">
        <v>46</v>
      </c>
      <c r="J807" s="6">
        <v>7</v>
      </c>
      <c r="K807" s="6">
        <v>4</v>
      </c>
      <c r="L807" t="s">
        <v>24</v>
      </c>
      <c r="M807" s="2">
        <v>45866</v>
      </c>
    </row>
    <row r="808" spans="1:13" x14ac:dyDescent="0.25">
      <c r="A808" t="s">
        <v>837</v>
      </c>
      <c r="B808" t="s">
        <v>14</v>
      </c>
      <c r="C808" s="6">
        <v>19</v>
      </c>
      <c r="D808" t="s">
        <v>34</v>
      </c>
      <c r="E808" t="s">
        <v>35</v>
      </c>
      <c r="F808" t="s">
        <v>28</v>
      </c>
      <c r="G808" s="6">
        <v>61</v>
      </c>
      <c r="H808" s="4">
        <v>69.849999999999994</v>
      </c>
      <c r="I808" t="s">
        <v>23</v>
      </c>
      <c r="J808" s="6">
        <v>6</v>
      </c>
      <c r="K808" s="6">
        <v>1</v>
      </c>
      <c r="L808" t="s">
        <v>24</v>
      </c>
      <c r="M808" s="2">
        <v>44776</v>
      </c>
    </row>
    <row r="809" spans="1:13" x14ac:dyDescent="0.25">
      <c r="A809" t="s">
        <v>838</v>
      </c>
      <c r="B809" t="s">
        <v>26</v>
      </c>
      <c r="C809" s="6">
        <v>62</v>
      </c>
      <c r="D809" t="s">
        <v>30</v>
      </c>
      <c r="E809" t="s">
        <v>22</v>
      </c>
      <c r="F809" t="s">
        <v>38</v>
      </c>
      <c r="G809" s="6">
        <v>51</v>
      </c>
      <c r="H809" s="4">
        <v>86.46</v>
      </c>
      <c r="I809" t="s">
        <v>31</v>
      </c>
      <c r="J809" s="6">
        <v>0</v>
      </c>
      <c r="K809" s="6">
        <v>3</v>
      </c>
      <c r="L809" t="s">
        <v>24</v>
      </c>
      <c r="M809" s="2">
        <v>44532</v>
      </c>
    </row>
    <row r="810" spans="1:13" x14ac:dyDescent="0.25">
      <c r="A810" t="s">
        <v>839</v>
      </c>
      <c r="B810" t="s">
        <v>14</v>
      </c>
      <c r="C810" s="6">
        <v>46</v>
      </c>
      <c r="D810" t="s">
        <v>34</v>
      </c>
      <c r="E810" t="s">
        <v>35</v>
      </c>
      <c r="F810" t="s">
        <v>17</v>
      </c>
      <c r="G810" s="6">
        <v>27</v>
      </c>
      <c r="H810" s="4">
        <v>33.270000000000003</v>
      </c>
      <c r="I810" t="s">
        <v>46</v>
      </c>
      <c r="J810" s="6">
        <v>0</v>
      </c>
      <c r="K810" s="6">
        <v>3</v>
      </c>
      <c r="L810" t="s">
        <v>24</v>
      </c>
      <c r="M810" s="2">
        <v>45375</v>
      </c>
    </row>
    <row r="811" spans="1:13" x14ac:dyDescent="0.25">
      <c r="A811" t="s">
        <v>840</v>
      </c>
      <c r="B811" t="s">
        <v>14</v>
      </c>
      <c r="C811" s="6">
        <v>61</v>
      </c>
      <c r="D811" t="s">
        <v>30</v>
      </c>
      <c r="E811" t="s">
        <v>35</v>
      </c>
      <c r="F811" t="s">
        <v>28</v>
      </c>
      <c r="G811" s="6">
        <v>22</v>
      </c>
      <c r="H811" s="4">
        <v>68.89</v>
      </c>
      <c r="I811" t="s">
        <v>18</v>
      </c>
      <c r="J811" s="6">
        <v>5</v>
      </c>
      <c r="K811" s="6">
        <v>4</v>
      </c>
      <c r="L811" t="s">
        <v>19</v>
      </c>
      <c r="M811" s="2">
        <v>44304</v>
      </c>
    </row>
    <row r="812" spans="1:13" x14ac:dyDescent="0.25">
      <c r="A812" t="s">
        <v>841</v>
      </c>
      <c r="B812" t="s">
        <v>14</v>
      </c>
      <c r="C812" s="6">
        <v>50</v>
      </c>
      <c r="D812" t="s">
        <v>15</v>
      </c>
      <c r="E812" t="s">
        <v>22</v>
      </c>
      <c r="F812" t="s">
        <v>28</v>
      </c>
      <c r="G812" s="6">
        <v>20</v>
      </c>
      <c r="H812" s="4">
        <v>64.400000000000006</v>
      </c>
      <c r="I812" t="s">
        <v>23</v>
      </c>
      <c r="J812" s="6">
        <v>3</v>
      </c>
      <c r="K812" s="6">
        <v>1</v>
      </c>
      <c r="L812" t="s">
        <v>19</v>
      </c>
      <c r="M812" s="2">
        <v>45009</v>
      </c>
    </row>
    <row r="813" spans="1:13" x14ac:dyDescent="0.25">
      <c r="A813" t="s">
        <v>842</v>
      </c>
      <c r="B813" t="s">
        <v>26</v>
      </c>
      <c r="C813" s="6">
        <v>37</v>
      </c>
      <c r="D813" t="s">
        <v>30</v>
      </c>
      <c r="E813" t="s">
        <v>22</v>
      </c>
      <c r="F813" t="s">
        <v>38</v>
      </c>
      <c r="G813" s="6">
        <v>49</v>
      </c>
      <c r="H813" s="4">
        <v>96.64</v>
      </c>
      <c r="I813" t="s">
        <v>18</v>
      </c>
      <c r="J813" s="6">
        <v>7</v>
      </c>
      <c r="K813" s="6">
        <v>4</v>
      </c>
      <c r="L813" t="s">
        <v>24</v>
      </c>
      <c r="M813" s="2">
        <v>45534</v>
      </c>
    </row>
    <row r="814" spans="1:13" x14ac:dyDescent="0.25">
      <c r="A814" t="s">
        <v>843</v>
      </c>
      <c r="B814" t="s">
        <v>26</v>
      </c>
      <c r="C814" s="6">
        <v>41</v>
      </c>
      <c r="D814" t="s">
        <v>21</v>
      </c>
      <c r="E814" t="s">
        <v>16</v>
      </c>
      <c r="F814" t="s">
        <v>17</v>
      </c>
      <c r="G814" s="6">
        <v>11</v>
      </c>
      <c r="H814" s="4">
        <v>31.83</v>
      </c>
      <c r="I814" t="s">
        <v>46</v>
      </c>
      <c r="J814" s="6">
        <v>0</v>
      </c>
      <c r="K814" s="6">
        <v>5</v>
      </c>
      <c r="L814" t="s">
        <v>24</v>
      </c>
      <c r="M814" s="2">
        <v>45369</v>
      </c>
    </row>
    <row r="815" spans="1:13" x14ac:dyDescent="0.25">
      <c r="A815" t="s">
        <v>844</v>
      </c>
      <c r="B815" t="s">
        <v>26</v>
      </c>
      <c r="C815" s="6">
        <v>35</v>
      </c>
      <c r="D815" t="s">
        <v>21</v>
      </c>
      <c r="E815" t="s">
        <v>22</v>
      </c>
      <c r="F815" t="s">
        <v>17</v>
      </c>
      <c r="G815" s="6">
        <v>50</v>
      </c>
      <c r="H815" s="4">
        <v>37.26</v>
      </c>
      <c r="I815" t="s">
        <v>23</v>
      </c>
      <c r="J815" s="6">
        <v>4</v>
      </c>
      <c r="K815" s="6">
        <v>5</v>
      </c>
      <c r="L815" t="s">
        <v>24</v>
      </c>
      <c r="M815" s="2">
        <v>44863</v>
      </c>
    </row>
    <row r="816" spans="1:13" x14ac:dyDescent="0.25">
      <c r="A816" t="s">
        <v>845</v>
      </c>
      <c r="B816" t="s">
        <v>14</v>
      </c>
      <c r="C816" s="6">
        <v>63</v>
      </c>
      <c r="D816" t="s">
        <v>30</v>
      </c>
      <c r="E816" t="s">
        <v>35</v>
      </c>
      <c r="F816" t="s">
        <v>38</v>
      </c>
      <c r="G816" s="6">
        <v>3</v>
      </c>
      <c r="H816" s="4">
        <v>90.91</v>
      </c>
      <c r="I816" t="s">
        <v>23</v>
      </c>
      <c r="J816" s="6">
        <v>1</v>
      </c>
      <c r="K816" s="6">
        <v>5</v>
      </c>
      <c r="L816" t="s">
        <v>24</v>
      </c>
      <c r="M816" s="2">
        <v>45300</v>
      </c>
    </row>
    <row r="817" spans="1:13" x14ac:dyDescent="0.25">
      <c r="A817" t="s">
        <v>846</v>
      </c>
      <c r="B817" t="s">
        <v>14</v>
      </c>
      <c r="C817" s="6">
        <v>66</v>
      </c>
      <c r="D817" t="s">
        <v>30</v>
      </c>
      <c r="E817" t="s">
        <v>22</v>
      </c>
      <c r="F817" t="s">
        <v>17</v>
      </c>
      <c r="G817" s="6">
        <v>24</v>
      </c>
      <c r="H817" s="4">
        <v>42.93</v>
      </c>
      <c r="I817" t="s">
        <v>46</v>
      </c>
      <c r="J817" s="6">
        <v>0</v>
      </c>
      <c r="K817" s="6">
        <v>5</v>
      </c>
      <c r="L817" t="s">
        <v>24</v>
      </c>
      <c r="M817" s="2">
        <v>44840</v>
      </c>
    </row>
    <row r="818" spans="1:13" x14ac:dyDescent="0.25">
      <c r="A818" t="s">
        <v>847</v>
      </c>
      <c r="B818" t="s">
        <v>14</v>
      </c>
      <c r="C818" s="6">
        <v>20</v>
      </c>
      <c r="D818" t="s">
        <v>30</v>
      </c>
      <c r="E818" t="s">
        <v>22</v>
      </c>
      <c r="F818" t="s">
        <v>17</v>
      </c>
      <c r="G818" s="6">
        <v>21</v>
      </c>
      <c r="H818" s="4">
        <v>31.32</v>
      </c>
      <c r="I818" t="s">
        <v>31</v>
      </c>
      <c r="J818" s="6">
        <v>0</v>
      </c>
      <c r="K818" s="6">
        <v>1</v>
      </c>
      <c r="L818" t="s">
        <v>24</v>
      </c>
      <c r="M818" s="2">
        <v>45233</v>
      </c>
    </row>
    <row r="819" spans="1:13" x14ac:dyDescent="0.25">
      <c r="A819" t="s">
        <v>848</v>
      </c>
      <c r="B819" t="s">
        <v>26</v>
      </c>
      <c r="C819" s="6">
        <v>41</v>
      </c>
      <c r="D819" t="s">
        <v>30</v>
      </c>
      <c r="E819" t="s">
        <v>35</v>
      </c>
      <c r="F819" t="s">
        <v>38</v>
      </c>
      <c r="G819" s="6">
        <v>1</v>
      </c>
      <c r="H819" s="4">
        <v>88.73</v>
      </c>
      <c r="I819" t="s">
        <v>18</v>
      </c>
      <c r="J819" s="6">
        <v>8</v>
      </c>
      <c r="K819" s="6">
        <v>3</v>
      </c>
      <c r="L819" t="s">
        <v>24</v>
      </c>
      <c r="M819" s="2">
        <v>45108</v>
      </c>
    </row>
    <row r="820" spans="1:13" x14ac:dyDescent="0.25">
      <c r="A820" t="s">
        <v>849</v>
      </c>
      <c r="B820" t="s">
        <v>14</v>
      </c>
      <c r="C820" s="6">
        <v>54</v>
      </c>
      <c r="D820" t="s">
        <v>34</v>
      </c>
      <c r="E820" t="s">
        <v>22</v>
      </c>
      <c r="F820" t="s">
        <v>28</v>
      </c>
      <c r="G820" s="6">
        <v>67</v>
      </c>
      <c r="H820" s="4">
        <v>68.66</v>
      </c>
      <c r="I820" t="s">
        <v>31</v>
      </c>
      <c r="J820" s="6">
        <v>8</v>
      </c>
      <c r="K820" s="6">
        <v>5</v>
      </c>
      <c r="L820" t="s">
        <v>24</v>
      </c>
      <c r="M820" s="2">
        <v>44399</v>
      </c>
    </row>
    <row r="821" spans="1:13" x14ac:dyDescent="0.25">
      <c r="A821" t="s">
        <v>850</v>
      </c>
      <c r="B821" t="s">
        <v>14</v>
      </c>
      <c r="C821" s="6">
        <v>33</v>
      </c>
      <c r="D821" t="s">
        <v>21</v>
      </c>
      <c r="E821" t="s">
        <v>16</v>
      </c>
      <c r="F821" t="s">
        <v>17</v>
      </c>
      <c r="G821" s="6">
        <v>39</v>
      </c>
      <c r="H821" s="4">
        <v>42.84</v>
      </c>
      <c r="I821" t="s">
        <v>46</v>
      </c>
      <c r="J821" s="6">
        <v>2</v>
      </c>
      <c r="K821" s="6">
        <v>5</v>
      </c>
      <c r="L821" t="s">
        <v>24</v>
      </c>
      <c r="M821" s="2">
        <v>45408</v>
      </c>
    </row>
    <row r="822" spans="1:13" x14ac:dyDescent="0.25">
      <c r="A822" t="s">
        <v>851</v>
      </c>
      <c r="B822" t="s">
        <v>26</v>
      </c>
      <c r="C822" s="6">
        <v>35</v>
      </c>
      <c r="D822" t="s">
        <v>30</v>
      </c>
      <c r="E822" t="s">
        <v>22</v>
      </c>
      <c r="F822" t="s">
        <v>38</v>
      </c>
      <c r="G822" s="6">
        <v>55</v>
      </c>
      <c r="H822" s="4">
        <v>86.12</v>
      </c>
      <c r="I822" t="s">
        <v>31</v>
      </c>
      <c r="J822" s="6">
        <v>4</v>
      </c>
      <c r="K822" s="6">
        <v>4</v>
      </c>
      <c r="L822" t="s">
        <v>24</v>
      </c>
      <c r="M822" s="2">
        <v>44531</v>
      </c>
    </row>
    <row r="823" spans="1:13" x14ac:dyDescent="0.25">
      <c r="A823" t="s">
        <v>852</v>
      </c>
      <c r="B823" t="s">
        <v>26</v>
      </c>
      <c r="C823" s="6">
        <v>47</v>
      </c>
      <c r="D823" t="s">
        <v>21</v>
      </c>
      <c r="E823" t="s">
        <v>35</v>
      </c>
      <c r="F823" t="s">
        <v>38</v>
      </c>
      <c r="G823" s="6">
        <v>55</v>
      </c>
      <c r="H823" s="4">
        <v>99.1</v>
      </c>
      <c r="I823" t="s">
        <v>46</v>
      </c>
      <c r="J823" s="6">
        <v>8</v>
      </c>
      <c r="K823" s="6">
        <v>2</v>
      </c>
      <c r="L823" t="s">
        <v>19</v>
      </c>
      <c r="M823" s="2">
        <v>45697</v>
      </c>
    </row>
    <row r="824" spans="1:13" x14ac:dyDescent="0.25">
      <c r="A824" t="s">
        <v>853</v>
      </c>
      <c r="B824" t="s">
        <v>26</v>
      </c>
      <c r="C824" s="6">
        <v>58</v>
      </c>
      <c r="D824" t="s">
        <v>30</v>
      </c>
      <c r="E824" t="s">
        <v>22</v>
      </c>
      <c r="F824" t="s">
        <v>28</v>
      </c>
      <c r="G824" s="6">
        <v>66</v>
      </c>
      <c r="H824" s="4">
        <v>64.069999999999993</v>
      </c>
      <c r="I824" t="s">
        <v>23</v>
      </c>
      <c r="J824" s="6">
        <v>2</v>
      </c>
      <c r="K824" s="6">
        <v>3</v>
      </c>
      <c r="L824" t="s">
        <v>24</v>
      </c>
      <c r="M824" s="2">
        <v>45085</v>
      </c>
    </row>
    <row r="825" spans="1:13" x14ac:dyDescent="0.25">
      <c r="A825" t="s">
        <v>854</v>
      </c>
      <c r="B825" t="s">
        <v>26</v>
      </c>
      <c r="C825" s="6">
        <v>19</v>
      </c>
      <c r="D825" t="s">
        <v>30</v>
      </c>
      <c r="E825" t="s">
        <v>16</v>
      </c>
      <c r="F825" t="s">
        <v>28</v>
      </c>
      <c r="G825" s="6">
        <v>16</v>
      </c>
      <c r="H825" s="4">
        <v>62.97</v>
      </c>
      <c r="I825" t="s">
        <v>23</v>
      </c>
      <c r="J825" s="6">
        <v>1</v>
      </c>
      <c r="K825" s="6">
        <v>3</v>
      </c>
      <c r="L825" t="s">
        <v>24</v>
      </c>
      <c r="M825" s="2">
        <v>44940</v>
      </c>
    </row>
    <row r="826" spans="1:13" x14ac:dyDescent="0.25">
      <c r="A826" t="s">
        <v>855</v>
      </c>
      <c r="B826" t="s">
        <v>26</v>
      </c>
      <c r="C826" s="6">
        <v>67</v>
      </c>
      <c r="D826" t="s">
        <v>15</v>
      </c>
      <c r="E826" t="s">
        <v>16</v>
      </c>
      <c r="F826" t="s">
        <v>17</v>
      </c>
      <c r="G826" s="6">
        <v>36</v>
      </c>
      <c r="H826" s="4">
        <v>30.15</v>
      </c>
      <c r="I826" t="s">
        <v>23</v>
      </c>
      <c r="J826" s="6">
        <v>3</v>
      </c>
      <c r="K826" s="6">
        <v>4</v>
      </c>
      <c r="L826" t="s">
        <v>24</v>
      </c>
      <c r="M826" s="2">
        <v>45800</v>
      </c>
    </row>
    <row r="827" spans="1:13" x14ac:dyDescent="0.25">
      <c r="A827" t="s">
        <v>856</v>
      </c>
      <c r="B827" t="s">
        <v>14</v>
      </c>
      <c r="C827" s="6">
        <v>29</v>
      </c>
      <c r="D827" t="s">
        <v>15</v>
      </c>
      <c r="E827" t="s">
        <v>22</v>
      </c>
      <c r="F827" t="s">
        <v>28</v>
      </c>
      <c r="G827" s="6">
        <v>13</v>
      </c>
      <c r="H827" s="4">
        <v>62.93</v>
      </c>
      <c r="I827" t="s">
        <v>31</v>
      </c>
      <c r="J827" s="6">
        <v>8</v>
      </c>
      <c r="K827" s="6">
        <v>3</v>
      </c>
      <c r="L827" t="s">
        <v>24</v>
      </c>
      <c r="M827" s="2">
        <v>44295</v>
      </c>
    </row>
    <row r="828" spans="1:13" x14ac:dyDescent="0.25">
      <c r="A828" t="s">
        <v>857</v>
      </c>
      <c r="B828" t="s">
        <v>14</v>
      </c>
      <c r="C828" s="6">
        <v>38</v>
      </c>
      <c r="D828" t="s">
        <v>34</v>
      </c>
      <c r="E828" t="s">
        <v>16</v>
      </c>
      <c r="F828" t="s">
        <v>28</v>
      </c>
      <c r="G828" s="6">
        <v>69</v>
      </c>
      <c r="H828" s="4">
        <v>63.28</v>
      </c>
      <c r="I828" t="s">
        <v>23</v>
      </c>
      <c r="J828" s="6">
        <v>7</v>
      </c>
      <c r="K828" s="6">
        <v>5</v>
      </c>
      <c r="L828" t="s">
        <v>19</v>
      </c>
      <c r="M828" s="2">
        <v>44216</v>
      </c>
    </row>
    <row r="829" spans="1:13" x14ac:dyDescent="0.25">
      <c r="A829" t="s">
        <v>858</v>
      </c>
      <c r="B829" t="s">
        <v>14</v>
      </c>
      <c r="C829" s="6">
        <v>60</v>
      </c>
      <c r="D829" t="s">
        <v>30</v>
      </c>
      <c r="E829" t="s">
        <v>16</v>
      </c>
      <c r="F829" t="s">
        <v>28</v>
      </c>
      <c r="G829" s="6">
        <v>35</v>
      </c>
      <c r="H829" s="4">
        <v>55.79</v>
      </c>
      <c r="I829" t="s">
        <v>31</v>
      </c>
      <c r="J829" s="6">
        <v>3</v>
      </c>
      <c r="K829" s="6">
        <v>5</v>
      </c>
      <c r="L829" t="s">
        <v>24</v>
      </c>
      <c r="M829" s="2">
        <v>45134</v>
      </c>
    </row>
    <row r="830" spans="1:13" x14ac:dyDescent="0.25">
      <c r="A830" t="s">
        <v>859</v>
      </c>
      <c r="B830" t="s">
        <v>14</v>
      </c>
      <c r="C830" s="6">
        <v>46</v>
      </c>
      <c r="D830" t="s">
        <v>15</v>
      </c>
      <c r="E830" t="s">
        <v>35</v>
      </c>
      <c r="F830" t="s">
        <v>38</v>
      </c>
      <c r="G830" s="6">
        <v>37</v>
      </c>
      <c r="H830" s="4">
        <v>89.14</v>
      </c>
      <c r="I830" t="s">
        <v>23</v>
      </c>
      <c r="J830" s="6">
        <v>8</v>
      </c>
      <c r="K830" s="6">
        <v>2</v>
      </c>
      <c r="L830" t="s">
        <v>24</v>
      </c>
      <c r="M830" s="2">
        <v>45954</v>
      </c>
    </row>
    <row r="831" spans="1:13" x14ac:dyDescent="0.25">
      <c r="A831" t="s">
        <v>860</v>
      </c>
      <c r="B831" t="s">
        <v>14</v>
      </c>
      <c r="C831" s="6">
        <v>37</v>
      </c>
      <c r="D831" t="s">
        <v>34</v>
      </c>
      <c r="E831" t="s">
        <v>35</v>
      </c>
      <c r="F831" t="s">
        <v>17</v>
      </c>
      <c r="G831" s="6">
        <v>11</v>
      </c>
      <c r="H831" s="4">
        <v>31.15</v>
      </c>
      <c r="I831" t="s">
        <v>46</v>
      </c>
      <c r="J831" s="6">
        <v>1</v>
      </c>
      <c r="K831" s="6">
        <v>2</v>
      </c>
      <c r="L831" t="s">
        <v>24</v>
      </c>
      <c r="M831" s="2">
        <v>44370</v>
      </c>
    </row>
    <row r="832" spans="1:13" x14ac:dyDescent="0.25">
      <c r="A832" t="s">
        <v>861</v>
      </c>
      <c r="B832" t="s">
        <v>26</v>
      </c>
      <c r="C832" s="6">
        <v>53</v>
      </c>
      <c r="D832" t="s">
        <v>34</v>
      </c>
      <c r="E832" t="s">
        <v>16</v>
      </c>
      <c r="F832" t="s">
        <v>28</v>
      </c>
      <c r="G832" s="6">
        <v>66</v>
      </c>
      <c r="H832" s="4">
        <v>68.989999999999995</v>
      </c>
      <c r="I832" t="s">
        <v>46</v>
      </c>
      <c r="J832" s="6">
        <v>7</v>
      </c>
      <c r="K832" s="6">
        <v>4</v>
      </c>
      <c r="L832" t="s">
        <v>24</v>
      </c>
      <c r="M832" s="2">
        <v>45583</v>
      </c>
    </row>
    <row r="833" spans="1:13" x14ac:dyDescent="0.25">
      <c r="A833" t="s">
        <v>862</v>
      </c>
      <c r="B833" t="s">
        <v>14</v>
      </c>
      <c r="C833" s="6">
        <v>43</v>
      </c>
      <c r="D833" t="s">
        <v>21</v>
      </c>
      <c r="E833" t="s">
        <v>22</v>
      </c>
      <c r="F833" t="s">
        <v>17</v>
      </c>
      <c r="G833" s="6">
        <v>1</v>
      </c>
      <c r="H833" s="4">
        <v>40.71</v>
      </c>
      <c r="I833" t="s">
        <v>31</v>
      </c>
      <c r="J833" s="6">
        <v>3</v>
      </c>
      <c r="K833" s="6">
        <v>5</v>
      </c>
      <c r="L833" t="s">
        <v>24</v>
      </c>
      <c r="M833" s="2">
        <v>44283</v>
      </c>
    </row>
    <row r="834" spans="1:13" x14ac:dyDescent="0.25">
      <c r="A834" t="s">
        <v>863</v>
      </c>
      <c r="B834" t="s">
        <v>26</v>
      </c>
      <c r="C834" s="6">
        <v>28</v>
      </c>
      <c r="D834" t="s">
        <v>30</v>
      </c>
      <c r="E834" t="s">
        <v>16</v>
      </c>
      <c r="F834" t="s">
        <v>17</v>
      </c>
      <c r="G834" s="6">
        <v>47</v>
      </c>
      <c r="H834" s="4">
        <v>42.59</v>
      </c>
      <c r="I834" t="s">
        <v>31</v>
      </c>
      <c r="J834" s="6">
        <v>0</v>
      </c>
      <c r="K834" s="6">
        <v>4</v>
      </c>
      <c r="L834" t="s">
        <v>24</v>
      </c>
      <c r="M834" s="2">
        <v>44546</v>
      </c>
    </row>
    <row r="835" spans="1:13" x14ac:dyDescent="0.25">
      <c r="A835" t="s">
        <v>864</v>
      </c>
      <c r="B835" t="s">
        <v>26</v>
      </c>
      <c r="C835" s="6">
        <v>25</v>
      </c>
      <c r="D835" t="s">
        <v>15</v>
      </c>
      <c r="E835" t="s">
        <v>22</v>
      </c>
      <c r="F835" t="s">
        <v>17</v>
      </c>
      <c r="G835" s="6">
        <v>70</v>
      </c>
      <c r="H835" s="4">
        <v>42.76</v>
      </c>
      <c r="I835" t="s">
        <v>18</v>
      </c>
      <c r="J835" s="6">
        <v>4</v>
      </c>
      <c r="K835" s="6">
        <v>3</v>
      </c>
      <c r="L835" t="s">
        <v>24</v>
      </c>
      <c r="M835" s="2">
        <v>44739</v>
      </c>
    </row>
    <row r="836" spans="1:13" x14ac:dyDescent="0.25">
      <c r="A836" t="s">
        <v>865</v>
      </c>
      <c r="B836" t="s">
        <v>14</v>
      </c>
      <c r="C836" s="6">
        <v>18</v>
      </c>
      <c r="D836" t="s">
        <v>34</v>
      </c>
      <c r="E836" t="s">
        <v>16</v>
      </c>
      <c r="F836" t="s">
        <v>28</v>
      </c>
      <c r="G836" s="6">
        <v>66</v>
      </c>
      <c r="H836" s="4">
        <v>67.39</v>
      </c>
      <c r="I836" t="s">
        <v>18</v>
      </c>
      <c r="J836" s="6">
        <v>7</v>
      </c>
      <c r="K836" s="6">
        <v>5</v>
      </c>
      <c r="L836" t="s">
        <v>24</v>
      </c>
      <c r="M836" s="2">
        <v>44314</v>
      </c>
    </row>
    <row r="837" spans="1:13" x14ac:dyDescent="0.25">
      <c r="A837" t="s">
        <v>866</v>
      </c>
      <c r="B837" t="s">
        <v>26</v>
      </c>
      <c r="C837" s="6">
        <v>18</v>
      </c>
      <c r="D837" t="s">
        <v>34</v>
      </c>
      <c r="E837" t="s">
        <v>35</v>
      </c>
      <c r="F837" t="s">
        <v>28</v>
      </c>
      <c r="G837" s="6">
        <v>46</v>
      </c>
      <c r="H837" s="4">
        <v>56.61</v>
      </c>
      <c r="I837" t="s">
        <v>31</v>
      </c>
      <c r="J837" s="6">
        <v>2</v>
      </c>
      <c r="K837" s="6">
        <v>4</v>
      </c>
      <c r="L837" t="s">
        <v>24</v>
      </c>
      <c r="M837" s="2">
        <v>44404</v>
      </c>
    </row>
    <row r="838" spans="1:13" x14ac:dyDescent="0.25">
      <c r="A838" t="s">
        <v>867</v>
      </c>
      <c r="B838" t="s">
        <v>26</v>
      </c>
      <c r="C838" s="6">
        <v>49</v>
      </c>
      <c r="D838" t="s">
        <v>30</v>
      </c>
      <c r="E838" t="s">
        <v>16</v>
      </c>
      <c r="F838" t="s">
        <v>38</v>
      </c>
      <c r="G838" s="6">
        <v>66</v>
      </c>
      <c r="H838" s="4">
        <v>98.48</v>
      </c>
      <c r="I838" t="s">
        <v>23</v>
      </c>
      <c r="J838" s="6">
        <v>1</v>
      </c>
      <c r="K838" s="6">
        <v>4</v>
      </c>
      <c r="L838" t="s">
        <v>19</v>
      </c>
      <c r="M838" s="2">
        <v>45772</v>
      </c>
    </row>
    <row r="839" spans="1:13" x14ac:dyDescent="0.25">
      <c r="A839" t="s">
        <v>868</v>
      </c>
      <c r="B839" t="s">
        <v>26</v>
      </c>
      <c r="C839" s="6">
        <v>32</v>
      </c>
      <c r="D839" t="s">
        <v>34</v>
      </c>
      <c r="E839" t="s">
        <v>35</v>
      </c>
      <c r="F839" t="s">
        <v>28</v>
      </c>
      <c r="G839" s="6">
        <v>39</v>
      </c>
      <c r="H839" s="4">
        <v>60.47</v>
      </c>
      <c r="I839" t="s">
        <v>46</v>
      </c>
      <c r="J839" s="6">
        <v>8</v>
      </c>
      <c r="K839" s="6">
        <v>3</v>
      </c>
      <c r="L839" t="s">
        <v>19</v>
      </c>
      <c r="M839" s="2">
        <v>45095</v>
      </c>
    </row>
    <row r="840" spans="1:13" x14ac:dyDescent="0.25">
      <c r="A840" t="s">
        <v>869</v>
      </c>
      <c r="B840" t="s">
        <v>26</v>
      </c>
      <c r="C840" s="6">
        <v>28</v>
      </c>
      <c r="D840" t="s">
        <v>30</v>
      </c>
      <c r="E840" t="s">
        <v>35</v>
      </c>
      <c r="F840" t="s">
        <v>38</v>
      </c>
      <c r="G840" s="6">
        <v>56</v>
      </c>
      <c r="H840" s="4">
        <v>85.09</v>
      </c>
      <c r="I840" t="s">
        <v>46</v>
      </c>
      <c r="J840" s="6">
        <v>1</v>
      </c>
      <c r="K840" s="6">
        <v>2</v>
      </c>
      <c r="L840" t="s">
        <v>24</v>
      </c>
      <c r="M840" s="2">
        <v>44470</v>
      </c>
    </row>
    <row r="841" spans="1:13" x14ac:dyDescent="0.25">
      <c r="A841" t="s">
        <v>870</v>
      </c>
      <c r="B841" t="s">
        <v>26</v>
      </c>
      <c r="C841" s="6">
        <v>44</v>
      </c>
      <c r="D841" t="s">
        <v>15</v>
      </c>
      <c r="E841" t="s">
        <v>16</v>
      </c>
      <c r="F841" t="s">
        <v>17</v>
      </c>
      <c r="G841" s="6">
        <v>26</v>
      </c>
      <c r="H841" s="4">
        <v>44.23</v>
      </c>
      <c r="I841" t="s">
        <v>31</v>
      </c>
      <c r="J841" s="6">
        <v>1</v>
      </c>
      <c r="K841" s="6">
        <v>4</v>
      </c>
      <c r="L841" t="s">
        <v>24</v>
      </c>
      <c r="M841" s="2">
        <v>45211</v>
      </c>
    </row>
    <row r="842" spans="1:13" x14ac:dyDescent="0.25">
      <c r="A842" t="s">
        <v>871</v>
      </c>
      <c r="B842" t="s">
        <v>14</v>
      </c>
      <c r="C842" s="6">
        <v>38</v>
      </c>
      <c r="D842" t="s">
        <v>34</v>
      </c>
      <c r="E842" t="s">
        <v>22</v>
      </c>
      <c r="F842" t="s">
        <v>38</v>
      </c>
      <c r="G842" s="6">
        <v>50</v>
      </c>
      <c r="H842" s="4">
        <v>86.97</v>
      </c>
      <c r="I842" t="s">
        <v>18</v>
      </c>
      <c r="J842" s="6">
        <v>0</v>
      </c>
      <c r="K842" s="6">
        <v>2</v>
      </c>
      <c r="L842" t="s">
        <v>19</v>
      </c>
      <c r="M842" s="2">
        <v>45221</v>
      </c>
    </row>
    <row r="843" spans="1:13" x14ac:dyDescent="0.25">
      <c r="A843" t="s">
        <v>872</v>
      </c>
      <c r="B843" t="s">
        <v>14</v>
      </c>
      <c r="C843" s="6">
        <v>67</v>
      </c>
      <c r="D843" t="s">
        <v>30</v>
      </c>
      <c r="E843" t="s">
        <v>16</v>
      </c>
      <c r="F843" t="s">
        <v>38</v>
      </c>
      <c r="G843" s="6">
        <v>44</v>
      </c>
      <c r="H843" s="4">
        <v>91.44</v>
      </c>
      <c r="I843" t="s">
        <v>18</v>
      </c>
      <c r="J843" s="6">
        <v>6</v>
      </c>
      <c r="K843" s="6">
        <v>4</v>
      </c>
      <c r="L843" t="s">
        <v>24</v>
      </c>
      <c r="M843" s="2">
        <v>45192</v>
      </c>
    </row>
    <row r="844" spans="1:13" x14ac:dyDescent="0.25">
      <c r="A844" t="s">
        <v>873</v>
      </c>
      <c r="B844" t="s">
        <v>14</v>
      </c>
      <c r="C844" s="6">
        <v>66</v>
      </c>
      <c r="D844" t="s">
        <v>34</v>
      </c>
      <c r="E844" t="s">
        <v>16</v>
      </c>
      <c r="F844" t="s">
        <v>38</v>
      </c>
      <c r="G844" s="6">
        <v>20</v>
      </c>
      <c r="H844" s="4">
        <v>95.94</v>
      </c>
      <c r="I844" t="s">
        <v>46</v>
      </c>
      <c r="J844" s="6">
        <v>3</v>
      </c>
      <c r="K844" s="6">
        <v>3</v>
      </c>
      <c r="L844" t="s">
        <v>24</v>
      </c>
      <c r="M844" s="2">
        <v>45966</v>
      </c>
    </row>
    <row r="845" spans="1:13" x14ac:dyDescent="0.25">
      <c r="A845" t="s">
        <v>874</v>
      </c>
      <c r="B845" t="s">
        <v>26</v>
      </c>
      <c r="C845" s="6">
        <v>62</v>
      </c>
      <c r="D845" t="s">
        <v>30</v>
      </c>
      <c r="E845" t="s">
        <v>22</v>
      </c>
      <c r="F845" t="s">
        <v>28</v>
      </c>
      <c r="G845" s="6">
        <v>26</v>
      </c>
      <c r="H845" s="4">
        <v>62.11</v>
      </c>
      <c r="I845" t="s">
        <v>18</v>
      </c>
      <c r="J845" s="6">
        <v>8</v>
      </c>
      <c r="K845" s="6">
        <v>5</v>
      </c>
      <c r="L845" t="s">
        <v>24</v>
      </c>
      <c r="M845" s="2">
        <v>45947</v>
      </c>
    </row>
    <row r="846" spans="1:13" x14ac:dyDescent="0.25">
      <c r="A846" t="s">
        <v>875</v>
      </c>
      <c r="B846" t="s">
        <v>14</v>
      </c>
      <c r="C846" s="6">
        <v>32</v>
      </c>
      <c r="D846" t="s">
        <v>21</v>
      </c>
      <c r="E846" t="s">
        <v>16</v>
      </c>
      <c r="F846" t="s">
        <v>28</v>
      </c>
      <c r="G846" s="6">
        <v>5</v>
      </c>
      <c r="H846" s="4">
        <v>59.11</v>
      </c>
      <c r="I846" t="s">
        <v>46</v>
      </c>
      <c r="J846" s="6">
        <v>2</v>
      </c>
      <c r="K846" s="6">
        <v>4</v>
      </c>
      <c r="L846" t="s">
        <v>19</v>
      </c>
      <c r="M846" s="2">
        <v>44605</v>
      </c>
    </row>
    <row r="847" spans="1:13" x14ac:dyDescent="0.25">
      <c r="A847" t="s">
        <v>876</v>
      </c>
      <c r="B847" t="s">
        <v>14</v>
      </c>
      <c r="C847" s="6">
        <v>21</v>
      </c>
      <c r="D847" t="s">
        <v>34</v>
      </c>
      <c r="E847" t="s">
        <v>35</v>
      </c>
      <c r="F847" t="s">
        <v>38</v>
      </c>
      <c r="G847" s="6">
        <v>40</v>
      </c>
      <c r="H847" s="4">
        <v>95.5</v>
      </c>
      <c r="I847" t="s">
        <v>46</v>
      </c>
      <c r="J847" s="6">
        <v>3</v>
      </c>
      <c r="K847" s="6">
        <v>3</v>
      </c>
      <c r="L847" t="s">
        <v>24</v>
      </c>
      <c r="M847" s="2">
        <v>44322</v>
      </c>
    </row>
    <row r="848" spans="1:13" x14ac:dyDescent="0.25">
      <c r="A848" t="s">
        <v>877</v>
      </c>
      <c r="B848" t="s">
        <v>26</v>
      </c>
      <c r="C848" s="6">
        <v>59</v>
      </c>
      <c r="D848" t="s">
        <v>21</v>
      </c>
      <c r="E848" t="s">
        <v>35</v>
      </c>
      <c r="F848" t="s">
        <v>17</v>
      </c>
      <c r="G848" s="6">
        <v>35</v>
      </c>
      <c r="H848" s="4">
        <v>35.450000000000003</v>
      </c>
      <c r="I848" t="s">
        <v>31</v>
      </c>
      <c r="J848" s="6">
        <v>6</v>
      </c>
      <c r="K848" s="6">
        <v>2</v>
      </c>
      <c r="L848" t="s">
        <v>19</v>
      </c>
      <c r="M848" s="2">
        <v>44294</v>
      </c>
    </row>
    <row r="849" spans="1:13" x14ac:dyDescent="0.25">
      <c r="A849" t="s">
        <v>878</v>
      </c>
      <c r="B849" t="s">
        <v>14</v>
      </c>
      <c r="C849" s="6">
        <v>20</v>
      </c>
      <c r="D849" t="s">
        <v>21</v>
      </c>
      <c r="E849" t="s">
        <v>16</v>
      </c>
      <c r="F849" t="s">
        <v>38</v>
      </c>
      <c r="G849" s="6">
        <v>42</v>
      </c>
      <c r="H849" s="4">
        <v>88.18</v>
      </c>
      <c r="I849" t="s">
        <v>23</v>
      </c>
      <c r="J849" s="6">
        <v>4</v>
      </c>
      <c r="K849" s="6">
        <v>5</v>
      </c>
      <c r="L849" t="s">
        <v>19</v>
      </c>
      <c r="M849" s="2">
        <v>44575</v>
      </c>
    </row>
    <row r="850" spans="1:13" x14ac:dyDescent="0.25">
      <c r="A850" t="s">
        <v>879</v>
      </c>
      <c r="B850" t="s">
        <v>26</v>
      </c>
      <c r="C850" s="6">
        <v>49</v>
      </c>
      <c r="D850" t="s">
        <v>15</v>
      </c>
      <c r="E850" t="s">
        <v>35</v>
      </c>
      <c r="F850" t="s">
        <v>28</v>
      </c>
      <c r="G850" s="6">
        <v>15</v>
      </c>
      <c r="H850" s="4">
        <v>56.45</v>
      </c>
      <c r="I850" t="s">
        <v>18</v>
      </c>
      <c r="J850" s="6">
        <v>8</v>
      </c>
      <c r="K850" s="6">
        <v>2</v>
      </c>
      <c r="L850" t="s">
        <v>24</v>
      </c>
      <c r="M850" s="2">
        <v>45715</v>
      </c>
    </row>
    <row r="851" spans="1:13" x14ac:dyDescent="0.25">
      <c r="A851" t="s">
        <v>880</v>
      </c>
      <c r="B851" t="s">
        <v>26</v>
      </c>
      <c r="C851" s="6">
        <v>65</v>
      </c>
      <c r="D851" t="s">
        <v>15</v>
      </c>
      <c r="E851" t="s">
        <v>16</v>
      </c>
      <c r="F851" t="s">
        <v>38</v>
      </c>
      <c r="G851" s="6">
        <v>36</v>
      </c>
      <c r="H851" s="4">
        <v>88.15</v>
      </c>
      <c r="I851" t="s">
        <v>23</v>
      </c>
      <c r="J851" s="6">
        <v>1</v>
      </c>
      <c r="K851" s="6">
        <v>1</v>
      </c>
      <c r="L851" t="s">
        <v>19</v>
      </c>
      <c r="M851" s="2">
        <v>45717</v>
      </c>
    </row>
    <row r="852" spans="1:13" x14ac:dyDescent="0.25">
      <c r="A852" t="s">
        <v>881</v>
      </c>
      <c r="B852" t="s">
        <v>14</v>
      </c>
      <c r="C852" s="6">
        <v>20</v>
      </c>
      <c r="D852" t="s">
        <v>30</v>
      </c>
      <c r="E852" t="s">
        <v>16</v>
      </c>
      <c r="F852" t="s">
        <v>38</v>
      </c>
      <c r="G852" s="6">
        <v>58</v>
      </c>
      <c r="H852" s="4">
        <v>98.88</v>
      </c>
      <c r="I852" t="s">
        <v>18</v>
      </c>
      <c r="J852" s="6">
        <v>8</v>
      </c>
      <c r="K852" s="6">
        <v>5</v>
      </c>
      <c r="L852" t="s">
        <v>24</v>
      </c>
      <c r="M852" s="2">
        <v>45682</v>
      </c>
    </row>
    <row r="853" spans="1:13" x14ac:dyDescent="0.25">
      <c r="A853" t="s">
        <v>882</v>
      </c>
      <c r="B853" t="s">
        <v>26</v>
      </c>
      <c r="C853" s="6">
        <v>66</v>
      </c>
      <c r="D853" t="s">
        <v>30</v>
      </c>
      <c r="E853" t="s">
        <v>22</v>
      </c>
      <c r="F853" t="s">
        <v>38</v>
      </c>
      <c r="G853" s="6">
        <v>20</v>
      </c>
      <c r="H853" s="4">
        <v>85.66</v>
      </c>
      <c r="I853" t="s">
        <v>46</v>
      </c>
      <c r="J853" s="6">
        <v>6</v>
      </c>
      <c r="K853" s="6">
        <v>5</v>
      </c>
      <c r="L853" t="s">
        <v>24</v>
      </c>
      <c r="M853" s="2">
        <v>45993</v>
      </c>
    </row>
    <row r="854" spans="1:13" x14ac:dyDescent="0.25">
      <c r="A854" t="s">
        <v>883</v>
      </c>
      <c r="B854" t="s">
        <v>26</v>
      </c>
      <c r="C854" s="6">
        <v>41</v>
      </c>
      <c r="D854" t="s">
        <v>34</v>
      </c>
      <c r="E854" t="s">
        <v>22</v>
      </c>
      <c r="F854" t="s">
        <v>38</v>
      </c>
      <c r="G854" s="6">
        <v>16</v>
      </c>
      <c r="H854" s="4">
        <v>98.66</v>
      </c>
      <c r="I854" t="s">
        <v>18</v>
      </c>
      <c r="J854" s="6">
        <v>7</v>
      </c>
      <c r="K854" s="6">
        <v>4</v>
      </c>
      <c r="L854" t="s">
        <v>24</v>
      </c>
      <c r="M854" s="2">
        <v>45228</v>
      </c>
    </row>
    <row r="855" spans="1:13" x14ac:dyDescent="0.25">
      <c r="A855" t="s">
        <v>884</v>
      </c>
      <c r="B855" t="s">
        <v>14</v>
      </c>
      <c r="C855" s="6">
        <v>28</v>
      </c>
      <c r="D855" t="s">
        <v>15</v>
      </c>
      <c r="E855" t="s">
        <v>22</v>
      </c>
      <c r="F855" t="s">
        <v>17</v>
      </c>
      <c r="G855" s="6">
        <v>38</v>
      </c>
      <c r="H855" s="4">
        <v>30.68</v>
      </c>
      <c r="I855" t="s">
        <v>18</v>
      </c>
      <c r="J855" s="6">
        <v>3</v>
      </c>
      <c r="K855" s="6">
        <v>4</v>
      </c>
      <c r="L855" t="s">
        <v>24</v>
      </c>
      <c r="M855" s="2">
        <v>45287</v>
      </c>
    </row>
    <row r="856" spans="1:13" x14ac:dyDescent="0.25">
      <c r="A856" t="s">
        <v>885</v>
      </c>
      <c r="B856" t="s">
        <v>14</v>
      </c>
      <c r="C856" s="6">
        <v>28</v>
      </c>
      <c r="D856" t="s">
        <v>34</v>
      </c>
      <c r="E856" t="s">
        <v>22</v>
      </c>
      <c r="F856" t="s">
        <v>28</v>
      </c>
      <c r="G856" s="6">
        <v>72</v>
      </c>
      <c r="H856" s="4">
        <v>66.69</v>
      </c>
      <c r="I856" t="s">
        <v>23</v>
      </c>
      <c r="J856" s="6">
        <v>4</v>
      </c>
      <c r="K856" s="6">
        <v>2</v>
      </c>
      <c r="L856" t="s">
        <v>24</v>
      </c>
      <c r="M856" s="2">
        <v>44524</v>
      </c>
    </row>
    <row r="857" spans="1:13" x14ac:dyDescent="0.25">
      <c r="A857" t="s">
        <v>886</v>
      </c>
      <c r="B857" t="s">
        <v>14</v>
      </c>
      <c r="C857" s="6">
        <v>55</v>
      </c>
      <c r="D857" t="s">
        <v>21</v>
      </c>
      <c r="E857" t="s">
        <v>22</v>
      </c>
      <c r="F857" t="s">
        <v>28</v>
      </c>
      <c r="G857" s="6">
        <v>65</v>
      </c>
      <c r="H857" s="4">
        <v>65.62</v>
      </c>
      <c r="I857" t="s">
        <v>31</v>
      </c>
      <c r="J857" s="6">
        <v>4</v>
      </c>
      <c r="K857" s="6">
        <v>2</v>
      </c>
      <c r="L857" t="s">
        <v>24</v>
      </c>
      <c r="M857" s="2">
        <v>44746</v>
      </c>
    </row>
    <row r="858" spans="1:13" x14ac:dyDescent="0.25">
      <c r="A858" t="s">
        <v>887</v>
      </c>
      <c r="B858" t="s">
        <v>14</v>
      </c>
      <c r="C858" s="6">
        <v>28</v>
      </c>
      <c r="D858" t="s">
        <v>30</v>
      </c>
      <c r="E858" t="s">
        <v>16</v>
      </c>
      <c r="F858" t="s">
        <v>38</v>
      </c>
      <c r="G858" s="6">
        <v>31</v>
      </c>
      <c r="H858" s="4">
        <v>89.38</v>
      </c>
      <c r="I858" t="s">
        <v>46</v>
      </c>
      <c r="J858" s="6">
        <v>4</v>
      </c>
      <c r="K858" s="6">
        <v>2</v>
      </c>
      <c r="L858" t="s">
        <v>19</v>
      </c>
      <c r="M858" s="2">
        <v>45816</v>
      </c>
    </row>
    <row r="859" spans="1:13" x14ac:dyDescent="0.25">
      <c r="A859" t="s">
        <v>888</v>
      </c>
      <c r="B859" t="s">
        <v>14</v>
      </c>
      <c r="C859" s="6">
        <v>59</v>
      </c>
      <c r="D859" t="s">
        <v>30</v>
      </c>
      <c r="E859" t="s">
        <v>16</v>
      </c>
      <c r="F859" t="s">
        <v>38</v>
      </c>
      <c r="G859" s="6">
        <v>15</v>
      </c>
      <c r="H859" s="4">
        <v>85.02</v>
      </c>
      <c r="I859" t="s">
        <v>31</v>
      </c>
      <c r="J859" s="6">
        <v>5</v>
      </c>
      <c r="K859" s="6">
        <v>3</v>
      </c>
      <c r="L859" t="s">
        <v>19</v>
      </c>
      <c r="M859" s="2">
        <v>45641</v>
      </c>
    </row>
    <row r="860" spans="1:13" x14ac:dyDescent="0.25">
      <c r="A860" t="s">
        <v>889</v>
      </c>
      <c r="B860" t="s">
        <v>26</v>
      </c>
      <c r="C860" s="6">
        <v>64</v>
      </c>
      <c r="D860" t="s">
        <v>30</v>
      </c>
      <c r="E860" t="s">
        <v>35</v>
      </c>
      <c r="F860" t="s">
        <v>38</v>
      </c>
      <c r="G860" s="6">
        <v>38</v>
      </c>
      <c r="H860" s="4">
        <v>89.87</v>
      </c>
      <c r="I860" t="s">
        <v>18</v>
      </c>
      <c r="J860" s="6">
        <v>0</v>
      </c>
      <c r="K860" s="6">
        <v>3</v>
      </c>
      <c r="L860" t="s">
        <v>24</v>
      </c>
      <c r="M860" s="2">
        <v>44769</v>
      </c>
    </row>
    <row r="861" spans="1:13" x14ac:dyDescent="0.25">
      <c r="A861" t="s">
        <v>890</v>
      </c>
      <c r="B861" t="s">
        <v>14</v>
      </c>
      <c r="C861" s="6">
        <v>34</v>
      </c>
      <c r="D861" t="s">
        <v>21</v>
      </c>
      <c r="E861" t="s">
        <v>22</v>
      </c>
      <c r="F861" t="s">
        <v>38</v>
      </c>
      <c r="G861" s="6">
        <v>14</v>
      </c>
      <c r="H861" s="4">
        <v>95.84</v>
      </c>
      <c r="I861" t="s">
        <v>23</v>
      </c>
      <c r="J861" s="6">
        <v>4</v>
      </c>
      <c r="K861" s="6">
        <v>5</v>
      </c>
      <c r="L861" t="s">
        <v>24</v>
      </c>
      <c r="M861" s="2">
        <v>45869</v>
      </c>
    </row>
    <row r="862" spans="1:13" x14ac:dyDescent="0.25">
      <c r="A862" t="s">
        <v>891</v>
      </c>
      <c r="B862" t="s">
        <v>26</v>
      </c>
      <c r="C862" s="6">
        <v>32</v>
      </c>
      <c r="D862" t="s">
        <v>15</v>
      </c>
      <c r="E862" t="s">
        <v>35</v>
      </c>
      <c r="F862" t="s">
        <v>17</v>
      </c>
      <c r="G862" s="6">
        <v>51</v>
      </c>
      <c r="H862" s="4">
        <v>32.33</v>
      </c>
      <c r="I862" t="s">
        <v>46</v>
      </c>
      <c r="J862" s="6">
        <v>6</v>
      </c>
      <c r="K862" s="6">
        <v>3</v>
      </c>
      <c r="L862" t="s">
        <v>19</v>
      </c>
      <c r="M862" s="2">
        <v>45178</v>
      </c>
    </row>
    <row r="863" spans="1:13" x14ac:dyDescent="0.25">
      <c r="A863" t="s">
        <v>892</v>
      </c>
      <c r="B863" t="s">
        <v>14</v>
      </c>
      <c r="C863" s="6">
        <v>49</v>
      </c>
      <c r="D863" t="s">
        <v>30</v>
      </c>
      <c r="E863" t="s">
        <v>35</v>
      </c>
      <c r="F863" t="s">
        <v>17</v>
      </c>
      <c r="G863" s="6">
        <v>23</v>
      </c>
      <c r="H863" s="4">
        <v>32.83</v>
      </c>
      <c r="I863" t="s">
        <v>23</v>
      </c>
      <c r="J863" s="6">
        <v>2</v>
      </c>
      <c r="K863" s="6">
        <v>3</v>
      </c>
      <c r="L863" t="s">
        <v>19</v>
      </c>
      <c r="M863" s="2">
        <v>44530</v>
      </c>
    </row>
    <row r="864" spans="1:13" x14ac:dyDescent="0.25">
      <c r="A864" t="s">
        <v>893</v>
      </c>
      <c r="B864" t="s">
        <v>14</v>
      </c>
      <c r="C864" s="6">
        <v>70</v>
      </c>
      <c r="D864" t="s">
        <v>34</v>
      </c>
      <c r="E864" t="s">
        <v>22</v>
      </c>
      <c r="F864" t="s">
        <v>38</v>
      </c>
      <c r="G864" s="6">
        <v>25</v>
      </c>
      <c r="H864" s="4">
        <v>86.04</v>
      </c>
      <c r="I864" t="s">
        <v>18</v>
      </c>
      <c r="J864" s="6">
        <v>6</v>
      </c>
      <c r="K864" s="6">
        <v>2</v>
      </c>
      <c r="L864" t="s">
        <v>24</v>
      </c>
      <c r="M864" s="2">
        <v>45518</v>
      </c>
    </row>
    <row r="865" spans="1:13" x14ac:dyDescent="0.25">
      <c r="A865" t="s">
        <v>894</v>
      </c>
      <c r="B865" t="s">
        <v>26</v>
      </c>
      <c r="C865" s="6">
        <v>24</v>
      </c>
      <c r="D865" t="s">
        <v>30</v>
      </c>
      <c r="E865" t="s">
        <v>22</v>
      </c>
      <c r="F865" t="s">
        <v>17</v>
      </c>
      <c r="G865" s="6">
        <v>13</v>
      </c>
      <c r="H865" s="4">
        <v>35.67</v>
      </c>
      <c r="I865" t="s">
        <v>18</v>
      </c>
      <c r="J865" s="6">
        <v>1</v>
      </c>
      <c r="K865" s="6">
        <v>1</v>
      </c>
      <c r="L865" t="s">
        <v>24</v>
      </c>
      <c r="M865" s="2">
        <v>45516</v>
      </c>
    </row>
    <row r="866" spans="1:13" x14ac:dyDescent="0.25">
      <c r="A866" t="s">
        <v>895</v>
      </c>
      <c r="B866" t="s">
        <v>14</v>
      </c>
      <c r="C866" s="6">
        <v>26</v>
      </c>
      <c r="D866" t="s">
        <v>30</v>
      </c>
      <c r="E866" t="s">
        <v>16</v>
      </c>
      <c r="F866" t="s">
        <v>28</v>
      </c>
      <c r="G866" s="6">
        <v>19</v>
      </c>
      <c r="H866" s="4">
        <v>69.08</v>
      </c>
      <c r="I866" t="s">
        <v>18</v>
      </c>
      <c r="J866" s="6">
        <v>0</v>
      </c>
      <c r="K866" s="6">
        <v>1</v>
      </c>
      <c r="L866" t="s">
        <v>24</v>
      </c>
      <c r="M866" s="2">
        <v>45872</v>
      </c>
    </row>
    <row r="867" spans="1:13" x14ac:dyDescent="0.25">
      <c r="A867" t="s">
        <v>896</v>
      </c>
      <c r="B867" t="s">
        <v>26</v>
      </c>
      <c r="C867" s="6">
        <v>63</v>
      </c>
      <c r="D867" t="s">
        <v>21</v>
      </c>
      <c r="E867" t="s">
        <v>16</v>
      </c>
      <c r="F867" t="s">
        <v>17</v>
      </c>
      <c r="G867" s="6">
        <v>62</v>
      </c>
      <c r="H867" s="4">
        <v>41.4</v>
      </c>
      <c r="I867" t="s">
        <v>23</v>
      </c>
      <c r="J867" s="6">
        <v>2</v>
      </c>
      <c r="K867" s="6">
        <v>3</v>
      </c>
      <c r="L867" t="s">
        <v>24</v>
      </c>
      <c r="M867" s="2">
        <v>44513</v>
      </c>
    </row>
    <row r="868" spans="1:13" x14ac:dyDescent="0.25">
      <c r="A868" t="s">
        <v>897</v>
      </c>
      <c r="B868" t="s">
        <v>14</v>
      </c>
      <c r="C868" s="6">
        <v>21</v>
      </c>
      <c r="D868" t="s">
        <v>15</v>
      </c>
      <c r="E868" t="s">
        <v>22</v>
      </c>
      <c r="F868" t="s">
        <v>38</v>
      </c>
      <c r="G868" s="6">
        <v>16</v>
      </c>
      <c r="H868" s="4">
        <v>85.32</v>
      </c>
      <c r="I868" t="s">
        <v>18</v>
      </c>
      <c r="J868" s="6">
        <v>1</v>
      </c>
      <c r="K868" s="6">
        <v>5</v>
      </c>
      <c r="L868" t="s">
        <v>24</v>
      </c>
      <c r="M868" s="2">
        <v>45244</v>
      </c>
    </row>
    <row r="869" spans="1:13" x14ac:dyDescent="0.25">
      <c r="A869" t="s">
        <v>898</v>
      </c>
      <c r="B869" t="s">
        <v>26</v>
      </c>
      <c r="C869" s="6">
        <v>27</v>
      </c>
      <c r="D869" t="s">
        <v>21</v>
      </c>
      <c r="E869" t="s">
        <v>16</v>
      </c>
      <c r="F869" t="s">
        <v>17</v>
      </c>
      <c r="G869" s="6">
        <v>30</v>
      </c>
      <c r="H869" s="4">
        <v>36.409999999999997</v>
      </c>
      <c r="I869" t="s">
        <v>46</v>
      </c>
      <c r="J869" s="6">
        <v>5</v>
      </c>
      <c r="K869" s="6">
        <v>3</v>
      </c>
      <c r="L869" t="s">
        <v>19</v>
      </c>
      <c r="M869" s="2">
        <v>45997</v>
      </c>
    </row>
    <row r="870" spans="1:13" x14ac:dyDescent="0.25">
      <c r="A870" t="s">
        <v>899</v>
      </c>
      <c r="B870" t="s">
        <v>26</v>
      </c>
      <c r="C870" s="6">
        <v>61</v>
      </c>
      <c r="D870" t="s">
        <v>21</v>
      </c>
      <c r="E870" t="s">
        <v>35</v>
      </c>
      <c r="F870" t="s">
        <v>17</v>
      </c>
      <c r="G870" s="6">
        <v>15</v>
      </c>
      <c r="H870" s="4">
        <v>33.369999999999997</v>
      </c>
      <c r="I870" t="s">
        <v>31</v>
      </c>
      <c r="J870" s="6">
        <v>5</v>
      </c>
      <c r="K870" s="6">
        <v>1</v>
      </c>
      <c r="L870" t="s">
        <v>24</v>
      </c>
      <c r="M870" s="2">
        <v>44439</v>
      </c>
    </row>
    <row r="871" spans="1:13" x14ac:dyDescent="0.25">
      <c r="A871" t="s">
        <v>900</v>
      </c>
      <c r="B871" t="s">
        <v>26</v>
      </c>
      <c r="C871" s="6">
        <v>23</v>
      </c>
      <c r="D871" t="s">
        <v>21</v>
      </c>
      <c r="E871" t="s">
        <v>22</v>
      </c>
      <c r="F871" t="s">
        <v>17</v>
      </c>
      <c r="G871" s="6">
        <v>23</v>
      </c>
      <c r="H871" s="4">
        <v>36.43</v>
      </c>
      <c r="I871" t="s">
        <v>31</v>
      </c>
      <c r="J871" s="6">
        <v>2</v>
      </c>
      <c r="K871" s="6">
        <v>4</v>
      </c>
      <c r="L871" t="s">
        <v>24</v>
      </c>
      <c r="M871" s="2">
        <v>45563</v>
      </c>
    </row>
    <row r="872" spans="1:13" x14ac:dyDescent="0.25">
      <c r="A872" t="s">
        <v>901</v>
      </c>
      <c r="B872" t="s">
        <v>26</v>
      </c>
      <c r="C872" s="6">
        <v>57</v>
      </c>
      <c r="D872" t="s">
        <v>15</v>
      </c>
      <c r="E872" t="s">
        <v>35</v>
      </c>
      <c r="F872" t="s">
        <v>17</v>
      </c>
      <c r="G872" s="6">
        <v>35</v>
      </c>
      <c r="H872" s="4">
        <v>43.74</v>
      </c>
      <c r="I872" t="s">
        <v>31</v>
      </c>
      <c r="J872" s="6">
        <v>4</v>
      </c>
      <c r="K872" s="6">
        <v>1</v>
      </c>
      <c r="L872" t="s">
        <v>24</v>
      </c>
      <c r="M872" s="2">
        <v>45961</v>
      </c>
    </row>
    <row r="873" spans="1:13" x14ac:dyDescent="0.25">
      <c r="A873" t="s">
        <v>902</v>
      </c>
      <c r="B873" t="s">
        <v>14</v>
      </c>
      <c r="C873" s="6">
        <v>67</v>
      </c>
      <c r="D873" t="s">
        <v>30</v>
      </c>
      <c r="E873" t="s">
        <v>35</v>
      </c>
      <c r="F873" t="s">
        <v>17</v>
      </c>
      <c r="G873" s="6">
        <v>50</v>
      </c>
      <c r="H873" s="4">
        <v>36.700000000000003</v>
      </c>
      <c r="I873" t="s">
        <v>23</v>
      </c>
      <c r="J873" s="6">
        <v>1</v>
      </c>
      <c r="K873" s="6">
        <v>1</v>
      </c>
      <c r="L873" t="s">
        <v>24</v>
      </c>
      <c r="M873" s="2">
        <v>45685</v>
      </c>
    </row>
    <row r="874" spans="1:13" x14ac:dyDescent="0.25">
      <c r="A874" t="s">
        <v>903</v>
      </c>
      <c r="B874" t="s">
        <v>26</v>
      </c>
      <c r="C874" s="6">
        <v>27</v>
      </c>
      <c r="D874" t="s">
        <v>21</v>
      </c>
      <c r="E874" t="s">
        <v>35</v>
      </c>
      <c r="F874" t="s">
        <v>17</v>
      </c>
      <c r="G874" s="6">
        <v>24</v>
      </c>
      <c r="H874" s="4">
        <v>41.51</v>
      </c>
      <c r="I874" t="s">
        <v>31</v>
      </c>
      <c r="J874" s="6">
        <v>5</v>
      </c>
      <c r="K874" s="6">
        <v>4</v>
      </c>
      <c r="L874" t="s">
        <v>24</v>
      </c>
      <c r="M874" s="2">
        <v>45617</v>
      </c>
    </row>
    <row r="875" spans="1:13" x14ac:dyDescent="0.25">
      <c r="A875" t="s">
        <v>904</v>
      </c>
      <c r="B875" t="s">
        <v>26</v>
      </c>
      <c r="C875" s="6">
        <v>56</v>
      </c>
      <c r="D875" t="s">
        <v>15</v>
      </c>
      <c r="E875" t="s">
        <v>16</v>
      </c>
      <c r="F875" t="s">
        <v>38</v>
      </c>
      <c r="G875" s="6">
        <v>32</v>
      </c>
      <c r="H875" s="4">
        <v>90.75</v>
      </c>
      <c r="I875" t="s">
        <v>23</v>
      </c>
      <c r="J875" s="6">
        <v>8</v>
      </c>
      <c r="K875" s="6">
        <v>5</v>
      </c>
      <c r="L875" t="s">
        <v>24</v>
      </c>
      <c r="M875" s="2">
        <v>45295</v>
      </c>
    </row>
    <row r="876" spans="1:13" x14ac:dyDescent="0.25">
      <c r="A876" t="s">
        <v>905</v>
      </c>
      <c r="B876" t="s">
        <v>14</v>
      </c>
      <c r="C876" s="6">
        <v>42</v>
      </c>
      <c r="D876" t="s">
        <v>21</v>
      </c>
      <c r="E876" t="s">
        <v>22</v>
      </c>
      <c r="F876" t="s">
        <v>38</v>
      </c>
      <c r="G876" s="6">
        <v>54</v>
      </c>
      <c r="H876" s="4">
        <v>92.9</v>
      </c>
      <c r="I876" t="s">
        <v>46</v>
      </c>
      <c r="J876" s="6">
        <v>1</v>
      </c>
      <c r="K876" s="6">
        <v>2</v>
      </c>
      <c r="L876" t="s">
        <v>24</v>
      </c>
      <c r="M876" s="2">
        <v>44613</v>
      </c>
    </row>
    <row r="877" spans="1:13" x14ac:dyDescent="0.25">
      <c r="A877" t="s">
        <v>906</v>
      </c>
      <c r="B877" t="s">
        <v>14</v>
      </c>
      <c r="C877" s="6">
        <v>41</v>
      </c>
      <c r="D877" t="s">
        <v>34</v>
      </c>
      <c r="E877" t="s">
        <v>16</v>
      </c>
      <c r="F877" t="s">
        <v>17</v>
      </c>
      <c r="G877" s="6">
        <v>8</v>
      </c>
      <c r="H877" s="4">
        <v>43.67</v>
      </c>
      <c r="I877" t="s">
        <v>31</v>
      </c>
      <c r="J877" s="6">
        <v>2</v>
      </c>
      <c r="K877" s="6">
        <v>3</v>
      </c>
      <c r="L877" t="s">
        <v>24</v>
      </c>
      <c r="M877" s="2">
        <v>45907</v>
      </c>
    </row>
    <row r="878" spans="1:13" x14ac:dyDescent="0.25">
      <c r="A878" t="s">
        <v>907</v>
      </c>
      <c r="B878" t="s">
        <v>26</v>
      </c>
      <c r="C878" s="6">
        <v>33</v>
      </c>
      <c r="D878" t="s">
        <v>30</v>
      </c>
      <c r="E878" t="s">
        <v>16</v>
      </c>
      <c r="F878" t="s">
        <v>17</v>
      </c>
      <c r="G878" s="6">
        <v>18</v>
      </c>
      <c r="H878" s="4">
        <v>31.76</v>
      </c>
      <c r="I878" t="s">
        <v>46</v>
      </c>
      <c r="J878" s="6">
        <v>6</v>
      </c>
      <c r="K878" s="6">
        <v>1</v>
      </c>
      <c r="L878" t="s">
        <v>24</v>
      </c>
      <c r="M878" s="2">
        <v>45066</v>
      </c>
    </row>
    <row r="879" spans="1:13" x14ac:dyDescent="0.25">
      <c r="A879" t="s">
        <v>908</v>
      </c>
      <c r="B879" t="s">
        <v>26</v>
      </c>
      <c r="C879" s="6">
        <v>21</v>
      </c>
      <c r="D879" t="s">
        <v>21</v>
      </c>
      <c r="E879" t="s">
        <v>22</v>
      </c>
      <c r="F879" t="s">
        <v>38</v>
      </c>
      <c r="G879" s="6">
        <v>10</v>
      </c>
      <c r="H879" s="4">
        <v>92.15</v>
      </c>
      <c r="I879" t="s">
        <v>46</v>
      </c>
      <c r="J879" s="6">
        <v>0</v>
      </c>
      <c r="K879" s="6">
        <v>2</v>
      </c>
      <c r="L879" t="s">
        <v>24</v>
      </c>
      <c r="M879" s="2">
        <v>44358</v>
      </c>
    </row>
    <row r="880" spans="1:13" x14ac:dyDescent="0.25">
      <c r="A880" t="s">
        <v>909</v>
      </c>
      <c r="B880" t="s">
        <v>14</v>
      </c>
      <c r="C880" s="6">
        <v>22</v>
      </c>
      <c r="D880" t="s">
        <v>21</v>
      </c>
      <c r="E880" t="s">
        <v>22</v>
      </c>
      <c r="F880" t="s">
        <v>28</v>
      </c>
      <c r="G880" s="6">
        <v>20</v>
      </c>
      <c r="H880" s="4">
        <v>66.48</v>
      </c>
      <c r="I880" t="s">
        <v>23</v>
      </c>
      <c r="J880" s="6">
        <v>2</v>
      </c>
      <c r="K880" s="6">
        <v>5</v>
      </c>
      <c r="L880" t="s">
        <v>24</v>
      </c>
      <c r="M880" s="2">
        <v>44810</v>
      </c>
    </row>
    <row r="881" spans="1:13" x14ac:dyDescent="0.25">
      <c r="A881" t="s">
        <v>910</v>
      </c>
      <c r="B881" t="s">
        <v>26</v>
      </c>
      <c r="C881" s="6">
        <v>44</v>
      </c>
      <c r="D881" t="s">
        <v>15</v>
      </c>
      <c r="E881" t="s">
        <v>35</v>
      </c>
      <c r="F881" t="s">
        <v>38</v>
      </c>
      <c r="G881" s="6">
        <v>2</v>
      </c>
      <c r="H881" s="4">
        <v>89.3</v>
      </c>
      <c r="I881" t="s">
        <v>46</v>
      </c>
      <c r="J881" s="6">
        <v>0</v>
      </c>
      <c r="K881" s="6">
        <v>1</v>
      </c>
      <c r="L881" t="s">
        <v>24</v>
      </c>
      <c r="M881" s="2">
        <v>44552</v>
      </c>
    </row>
    <row r="882" spans="1:13" x14ac:dyDescent="0.25">
      <c r="A882" t="s">
        <v>911</v>
      </c>
      <c r="B882" t="s">
        <v>14</v>
      </c>
      <c r="C882" s="6">
        <v>18</v>
      </c>
      <c r="D882" t="s">
        <v>34</v>
      </c>
      <c r="E882" t="s">
        <v>35</v>
      </c>
      <c r="F882" t="s">
        <v>38</v>
      </c>
      <c r="G882" s="6">
        <v>59</v>
      </c>
      <c r="H882" s="4">
        <v>93.31</v>
      </c>
      <c r="I882" t="s">
        <v>31</v>
      </c>
      <c r="J882" s="6">
        <v>8</v>
      </c>
      <c r="K882" s="6">
        <v>3</v>
      </c>
      <c r="L882" t="s">
        <v>24</v>
      </c>
      <c r="M882" s="2">
        <v>45064</v>
      </c>
    </row>
    <row r="883" spans="1:13" x14ac:dyDescent="0.25">
      <c r="A883" t="s">
        <v>912</v>
      </c>
      <c r="B883" t="s">
        <v>14</v>
      </c>
      <c r="C883" s="6">
        <v>35</v>
      </c>
      <c r="D883" t="s">
        <v>21</v>
      </c>
      <c r="E883" t="s">
        <v>22</v>
      </c>
      <c r="F883" t="s">
        <v>28</v>
      </c>
      <c r="G883" s="6">
        <v>17</v>
      </c>
      <c r="H883" s="4">
        <v>66.150000000000006</v>
      </c>
      <c r="I883" t="s">
        <v>23</v>
      </c>
      <c r="J883" s="6">
        <v>0</v>
      </c>
      <c r="K883" s="6">
        <v>2</v>
      </c>
      <c r="L883" t="s">
        <v>24</v>
      </c>
      <c r="M883" s="2">
        <v>45881</v>
      </c>
    </row>
    <row r="884" spans="1:13" x14ac:dyDescent="0.25">
      <c r="A884" t="s">
        <v>913</v>
      </c>
      <c r="B884" t="s">
        <v>14</v>
      </c>
      <c r="C884" s="6">
        <v>70</v>
      </c>
      <c r="D884" t="s">
        <v>34</v>
      </c>
      <c r="E884" t="s">
        <v>35</v>
      </c>
      <c r="F884" t="s">
        <v>28</v>
      </c>
      <c r="G884" s="6">
        <v>52</v>
      </c>
      <c r="H884" s="4">
        <v>67.41</v>
      </c>
      <c r="I884" t="s">
        <v>46</v>
      </c>
      <c r="J884" s="6">
        <v>0</v>
      </c>
      <c r="K884" s="6">
        <v>3</v>
      </c>
      <c r="L884" t="s">
        <v>24</v>
      </c>
      <c r="M884" s="2">
        <v>44595</v>
      </c>
    </row>
    <row r="885" spans="1:13" x14ac:dyDescent="0.25">
      <c r="A885" t="s">
        <v>914</v>
      </c>
      <c r="B885" t="s">
        <v>26</v>
      </c>
      <c r="C885" s="6">
        <v>24</v>
      </c>
      <c r="D885" t="s">
        <v>21</v>
      </c>
      <c r="E885" t="s">
        <v>16</v>
      </c>
      <c r="F885" t="s">
        <v>28</v>
      </c>
      <c r="G885" s="6">
        <v>43</v>
      </c>
      <c r="H885" s="4">
        <v>55.42</v>
      </c>
      <c r="I885" t="s">
        <v>31</v>
      </c>
      <c r="J885" s="6">
        <v>2</v>
      </c>
      <c r="K885" s="6">
        <v>5</v>
      </c>
      <c r="L885" t="s">
        <v>19</v>
      </c>
      <c r="M885" s="2">
        <v>44630</v>
      </c>
    </row>
    <row r="886" spans="1:13" x14ac:dyDescent="0.25">
      <c r="A886" t="s">
        <v>915</v>
      </c>
      <c r="B886" t="s">
        <v>14</v>
      </c>
      <c r="C886" s="6">
        <v>66</v>
      </c>
      <c r="D886" t="s">
        <v>15</v>
      </c>
      <c r="E886" t="s">
        <v>16</v>
      </c>
      <c r="F886" t="s">
        <v>38</v>
      </c>
      <c r="G886" s="6">
        <v>26</v>
      </c>
      <c r="H886" s="4">
        <v>94.58</v>
      </c>
      <c r="I886" t="s">
        <v>18</v>
      </c>
      <c r="J886" s="6">
        <v>3</v>
      </c>
      <c r="K886" s="6">
        <v>3</v>
      </c>
      <c r="L886" t="s">
        <v>19</v>
      </c>
      <c r="M886" s="2">
        <v>45364</v>
      </c>
    </row>
    <row r="887" spans="1:13" x14ac:dyDescent="0.25">
      <c r="A887" t="s">
        <v>916</v>
      </c>
      <c r="B887" t="s">
        <v>14</v>
      </c>
      <c r="C887" s="6">
        <v>54</v>
      </c>
      <c r="D887" t="s">
        <v>34</v>
      </c>
      <c r="E887" t="s">
        <v>16</v>
      </c>
      <c r="F887" t="s">
        <v>17</v>
      </c>
      <c r="G887" s="6">
        <v>41</v>
      </c>
      <c r="H887" s="4">
        <v>31.4</v>
      </c>
      <c r="I887" t="s">
        <v>31</v>
      </c>
      <c r="J887" s="6">
        <v>0</v>
      </c>
      <c r="K887" s="6">
        <v>3</v>
      </c>
      <c r="L887" t="s">
        <v>24</v>
      </c>
      <c r="M887" s="2">
        <v>45012</v>
      </c>
    </row>
    <row r="888" spans="1:13" x14ac:dyDescent="0.25">
      <c r="A888" t="s">
        <v>917</v>
      </c>
      <c r="B888" t="s">
        <v>14</v>
      </c>
      <c r="C888" s="6">
        <v>38</v>
      </c>
      <c r="D888" t="s">
        <v>34</v>
      </c>
      <c r="E888" t="s">
        <v>22</v>
      </c>
      <c r="F888" t="s">
        <v>28</v>
      </c>
      <c r="G888" s="6">
        <v>17</v>
      </c>
      <c r="H888" s="4">
        <v>65.540000000000006</v>
      </c>
      <c r="I888" t="s">
        <v>18</v>
      </c>
      <c r="J888" s="6">
        <v>5</v>
      </c>
      <c r="K888" s="6">
        <v>4</v>
      </c>
      <c r="L888" t="s">
        <v>24</v>
      </c>
      <c r="M888" s="2">
        <v>45228</v>
      </c>
    </row>
    <row r="889" spans="1:13" x14ac:dyDescent="0.25">
      <c r="A889" t="s">
        <v>918</v>
      </c>
      <c r="B889" t="s">
        <v>14</v>
      </c>
      <c r="C889" s="6">
        <v>50</v>
      </c>
      <c r="D889" t="s">
        <v>30</v>
      </c>
      <c r="E889" t="s">
        <v>16</v>
      </c>
      <c r="F889" t="s">
        <v>38</v>
      </c>
      <c r="G889" s="6">
        <v>49</v>
      </c>
      <c r="H889" s="4">
        <v>92.15</v>
      </c>
      <c r="I889" t="s">
        <v>18</v>
      </c>
      <c r="J889" s="6">
        <v>4</v>
      </c>
      <c r="K889" s="6">
        <v>2</v>
      </c>
      <c r="L889" t="s">
        <v>19</v>
      </c>
      <c r="M889" s="2">
        <v>45145</v>
      </c>
    </row>
    <row r="890" spans="1:13" x14ac:dyDescent="0.25">
      <c r="A890" t="s">
        <v>919</v>
      </c>
      <c r="B890" t="s">
        <v>14</v>
      </c>
      <c r="C890" s="6">
        <v>58</v>
      </c>
      <c r="D890" t="s">
        <v>21</v>
      </c>
      <c r="E890" t="s">
        <v>22</v>
      </c>
      <c r="F890" t="s">
        <v>17</v>
      </c>
      <c r="G890" s="6">
        <v>28</v>
      </c>
      <c r="H890" s="4">
        <v>42.11</v>
      </c>
      <c r="I890" t="s">
        <v>46</v>
      </c>
      <c r="J890" s="6">
        <v>2</v>
      </c>
      <c r="K890" s="6">
        <v>5</v>
      </c>
      <c r="L890" t="s">
        <v>24</v>
      </c>
      <c r="M890" s="2">
        <v>45689</v>
      </c>
    </row>
    <row r="891" spans="1:13" x14ac:dyDescent="0.25">
      <c r="A891" t="s">
        <v>920</v>
      </c>
      <c r="B891" t="s">
        <v>26</v>
      </c>
      <c r="C891" s="6">
        <v>46</v>
      </c>
      <c r="D891" t="s">
        <v>30</v>
      </c>
      <c r="E891" t="s">
        <v>35</v>
      </c>
      <c r="F891" t="s">
        <v>28</v>
      </c>
      <c r="G891" s="6">
        <v>47</v>
      </c>
      <c r="H891" s="4">
        <v>64.349999999999994</v>
      </c>
      <c r="I891" t="s">
        <v>23</v>
      </c>
      <c r="J891" s="6">
        <v>0</v>
      </c>
      <c r="K891" s="6">
        <v>4</v>
      </c>
      <c r="L891" t="s">
        <v>24</v>
      </c>
      <c r="M891" s="2">
        <v>45447</v>
      </c>
    </row>
    <row r="892" spans="1:13" x14ac:dyDescent="0.25">
      <c r="A892" t="s">
        <v>921</v>
      </c>
      <c r="B892" t="s">
        <v>14</v>
      </c>
      <c r="C892" s="6">
        <v>27</v>
      </c>
      <c r="D892" t="s">
        <v>34</v>
      </c>
      <c r="E892" t="s">
        <v>16</v>
      </c>
      <c r="F892" t="s">
        <v>17</v>
      </c>
      <c r="G892" s="6">
        <v>19</v>
      </c>
      <c r="H892" s="4">
        <v>41.49</v>
      </c>
      <c r="I892" t="s">
        <v>31</v>
      </c>
      <c r="J892" s="6">
        <v>8</v>
      </c>
      <c r="K892" s="6">
        <v>1</v>
      </c>
      <c r="L892" t="s">
        <v>24</v>
      </c>
      <c r="M892" s="2">
        <v>45128</v>
      </c>
    </row>
    <row r="893" spans="1:13" x14ac:dyDescent="0.25">
      <c r="A893" t="s">
        <v>922</v>
      </c>
      <c r="B893" t="s">
        <v>26</v>
      </c>
      <c r="C893" s="6">
        <v>28</v>
      </c>
      <c r="D893" t="s">
        <v>15</v>
      </c>
      <c r="E893" t="s">
        <v>16</v>
      </c>
      <c r="F893" t="s">
        <v>17</v>
      </c>
      <c r="G893" s="6">
        <v>36</v>
      </c>
      <c r="H893" s="4">
        <v>38.65</v>
      </c>
      <c r="I893" t="s">
        <v>31</v>
      </c>
      <c r="J893" s="6">
        <v>1</v>
      </c>
      <c r="K893" s="6">
        <v>1</v>
      </c>
      <c r="L893" t="s">
        <v>19</v>
      </c>
      <c r="M893" s="2">
        <v>45777</v>
      </c>
    </row>
    <row r="894" spans="1:13" x14ac:dyDescent="0.25">
      <c r="A894" t="s">
        <v>923</v>
      </c>
      <c r="B894" t="s">
        <v>26</v>
      </c>
      <c r="C894" s="6">
        <v>34</v>
      </c>
      <c r="D894" t="s">
        <v>34</v>
      </c>
      <c r="E894" t="s">
        <v>35</v>
      </c>
      <c r="F894" t="s">
        <v>28</v>
      </c>
      <c r="G894" s="6">
        <v>18</v>
      </c>
      <c r="H894" s="4">
        <v>69.099999999999994</v>
      </c>
      <c r="I894" t="s">
        <v>23</v>
      </c>
      <c r="J894" s="6">
        <v>0</v>
      </c>
      <c r="K894" s="6">
        <v>3</v>
      </c>
      <c r="L894" t="s">
        <v>24</v>
      </c>
      <c r="M894" s="2">
        <v>45018</v>
      </c>
    </row>
    <row r="895" spans="1:13" x14ac:dyDescent="0.25">
      <c r="A895" t="s">
        <v>924</v>
      </c>
      <c r="B895" t="s">
        <v>26</v>
      </c>
      <c r="C895" s="6">
        <v>57</v>
      </c>
      <c r="D895" t="s">
        <v>30</v>
      </c>
      <c r="E895" t="s">
        <v>35</v>
      </c>
      <c r="F895" t="s">
        <v>28</v>
      </c>
      <c r="G895" s="6">
        <v>66</v>
      </c>
      <c r="H895" s="4">
        <v>67.67</v>
      </c>
      <c r="I895" t="s">
        <v>31</v>
      </c>
      <c r="J895" s="6">
        <v>5</v>
      </c>
      <c r="K895" s="6">
        <v>1</v>
      </c>
      <c r="L895" t="s">
        <v>24</v>
      </c>
      <c r="M895" s="2">
        <v>45233</v>
      </c>
    </row>
    <row r="896" spans="1:13" x14ac:dyDescent="0.25">
      <c r="A896" t="s">
        <v>925</v>
      </c>
      <c r="B896" t="s">
        <v>26</v>
      </c>
      <c r="C896" s="6">
        <v>34</v>
      </c>
      <c r="D896" t="s">
        <v>21</v>
      </c>
      <c r="E896" t="s">
        <v>22</v>
      </c>
      <c r="F896" t="s">
        <v>38</v>
      </c>
      <c r="G896" s="6">
        <v>8</v>
      </c>
      <c r="H896" s="4">
        <v>96.12</v>
      </c>
      <c r="I896" t="s">
        <v>46</v>
      </c>
      <c r="J896" s="6">
        <v>8</v>
      </c>
      <c r="K896" s="6">
        <v>1</v>
      </c>
      <c r="L896" t="s">
        <v>19</v>
      </c>
      <c r="M896" s="2">
        <v>44412</v>
      </c>
    </row>
    <row r="897" spans="1:13" x14ac:dyDescent="0.25">
      <c r="A897" t="s">
        <v>926</v>
      </c>
      <c r="B897" t="s">
        <v>26</v>
      </c>
      <c r="C897" s="6">
        <v>42</v>
      </c>
      <c r="D897" t="s">
        <v>30</v>
      </c>
      <c r="E897" t="s">
        <v>22</v>
      </c>
      <c r="F897" t="s">
        <v>28</v>
      </c>
      <c r="G897" s="6">
        <v>10</v>
      </c>
      <c r="H897" s="4">
        <v>58.35</v>
      </c>
      <c r="I897" t="s">
        <v>23</v>
      </c>
      <c r="J897" s="6">
        <v>1</v>
      </c>
      <c r="K897" s="6">
        <v>3</v>
      </c>
      <c r="L897" t="s">
        <v>24</v>
      </c>
      <c r="M897" s="2">
        <v>45512</v>
      </c>
    </row>
    <row r="898" spans="1:13" x14ac:dyDescent="0.25">
      <c r="A898" t="s">
        <v>927</v>
      </c>
      <c r="B898" t="s">
        <v>26</v>
      </c>
      <c r="C898" s="6">
        <v>24</v>
      </c>
      <c r="D898" t="s">
        <v>21</v>
      </c>
      <c r="E898" t="s">
        <v>16</v>
      </c>
      <c r="F898" t="s">
        <v>38</v>
      </c>
      <c r="G898" s="6">
        <v>14</v>
      </c>
      <c r="H898" s="4">
        <v>98.76</v>
      </c>
      <c r="I898" t="s">
        <v>23</v>
      </c>
      <c r="J898" s="6">
        <v>6</v>
      </c>
      <c r="K898" s="6">
        <v>2</v>
      </c>
      <c r="L898" t="s">
        <v>24</v>
      </c>
      <c r="M898" s="2">
        <v>44329</v>
      </c>
    </row>
    <row r="899" spans="1:13" x14ac:dyDescent="0.25">
      <c r="A899" t="s">
        <v>928</v>
      </c>
      <c r="B899" t="s">
        <v>26</v>
      </c>
      <c r="C899" s="6">
        <v>39</v>
      </c>
      <c r="D899" t="s">
        <v>34</v>
      </c>
      <c r="E899" t="s">
        <v>16</v>
      </c>
      <c r="F899" t="s">
        <v>38</v>
      </c>
      <c r="G899" s="6">
        <v>61</v>
      </c>
      <c r="H899" s="4">
        <v>86.71</v>
      </c>
      <c r="I899" t="s">
        <v>23</v>
      </c>
      <c r="J899" s="6">
        <v>0</v>
      </c>
      <c r="K899" s="6">
        <v>5</v>
      </c>
      <c r="L899" t="s">
        <v>19</v>
      </c>
      <c r="M899" s="2">
        <v>45159</v>
      </c>
    </row>
    <row r="900" spans="1:13" x14ac:dyDescent="0.25">
      <c r="A900" t="s">
        <v>929</v>
      </c>
      <c r="B900" t="s">
        <v>14</v>
      </c>
      <c r="C900" s="6">
        <v>58</v>
      </c>
      <c r="D900" t="s">
        <v>30</v>
      </c>
      <c r="E900" t="s">
        <v>35</v>
      </c>
      <c r="F900" t="s">
        <v>38</v>
      </c>
      <c r="G900" s="6">
        <v>5</v>
      </c>
      <c r="H900" s="4">
        <v>99.82</v>
      </c>
      <c r="I900" t="s">
        <v>23</v>
      </c>
      <c r="J900" s="6">
        <v>0</v>
      </c>
      <c r="K900" s="6">
        <v>3</v>
      </c>
      <c r="L900" t="s">
        <v>24</v>
      </c>
      <c r="M900" s="2">
        <v>45166</v>
      </c>
    </row>
    <row r="901" spans="1:13" x14ac:dyDescent="0.25">
      <c r="A901" t="s">
        <v>930</v>
      </c>
      <c r="B901" t="s">
        <v>14</v>
      </c>
      <c r="C901" s="6">
        <v>21</v>
      </c>
      <c r="D901" t="s">
        <v>30</v>
      </c>
      <c r="E901" t="s">
        <v>16</v>
      </c>
      <c r="F901" t="s">
        <v>38</v>
      </c>
      <c r="G901" s="6">
        <v>55</v>
      </c>
      <c r="H901" s="4">
        <v>89.05</v>
      </c>
      <c r="I901" t="s">
        <v>46</v>
      </c>
      <c r="J901" s="6">
        <v>1</v>
      </c>
      <c r="K901" s="6">
        <v>2</v>
      </c>
      <c r="L901" t="s">
        <v>19</v>
      </c>
      <c r="M901" s="2">
        <v>45026</v>
      </c>
    </row>
    <row r="902" spans="1:13" x14ac:dyDescent="0.25">
      <c r="A902" t="s">
        <v>931</v>
      </c>
      <c r="B902" t="s">
        <v>14</v>
      </c>
      <c r="C902" s="6">
        <v>37</v>
      </c>
      <c r="D902" t="s">
        <v>34</v>
      </c>
      <c r="E902" t="s">
        <v>35</v>
      </c>
      <c r="F902" t="s">
        <v>38</v>
      </c>
      <c r="G902" s="6">
        <v>28</v>
      </c>
      <c r="H902" s="4">
        <v>95.04</v>
      </c>
      <c r="I902" t="s">
        <v>31</v>
      </c>
      <c r="J902" s="6">
        <v>2</v>
      </c>
      <c r="K902" s="6">
        <v>1</v>
      </c>
      <c r="L902" t="s">
        <v>19</v>
      </c>
      <c r="M902" s="2">
        <v>45074</v>
      </c>
    </row>
    <row r="903" spans="1:13" x14ac:dyDescent="0.25">
      <c r="A903" t="s">
        <v>932</v>
      </c>
      <c r="B903" t="s">
        <v>26</v>
      </c>
      <c r="C903" s="6">
        <v>66</v>
      </c>
      <c r="D903" t="s">
        <v>15</v>
      </c>
      <c r="E903" t="s">
        <v>16</v>
      </c>
      <c r="F903" t="s">
        <v>17</v>
      </c>
      <c r="G903" s="6">
        <v>45</v>
      </c>
      <c r="H903" s="4">
        <v>44.13</v>
      </c>
      <c r="I903" t="s">
        <v>23</v>
      </c>
      <c r="J903" s="6">
        <v>7</v>
      </c>
      <c r="K903" s="6">
        <v>5</v>
      </c>
      <c r="L903" t="s">
        <v>24</v>
      </c>
      <c r="M903" s="2">
        <v>44526</v>
      </c>
    </row>
    <row r="904" spans="1:13" x14ac:dyDescent="0.25">
      <c r="A904" t="s">
        <v>933</v>
      </c>
      <c r="B904" t="s">
        <v>26</v>
      </c>
      <c r="C904" s="6">
        <v>40</v>
      </c>
      <c r="D904" t="s">
        <v>34</v>
      </c>
      <c r="E904" t="s">
        <v>16</v>
      </c>
      <c r="F904" t="s">
        <v>38</v>
      </c>
      <c r="G904" s="6">
        <v>26</v>
      </c>
      <c r="H904" s="4">
        <v>86.17</v>
      </c>
      <c r="I904" t="s">
        <v>46</v>
      </c>
      <c r="J904" s="6">
        <v>5</v>
      </c>
      <c r="K904" s="6">
        <v>3</v>
      </c>
      <c r="L904" t="s">
        <v>19</v>
      </c>
      <c r="M904" s="2">
        <v>45136</v>
      </c>
    </row>
    <row r="905" spans="1:13" x14ac:dyDescent="0.25">
      <c r="A905" t="s">
        <v>934</v>
      </c>
      <c r="B905" t="s">
        <v>14</v>
      </c>
      <c r="C905" s="6">
        <v>49</v>
      </c>
      <c r="D905" t="s">
        <v>15</v>
      </c>
      <c r="E905" t="s">
        <v>16</v>
      </c>
      <c r="F905" t="s">
        <v>38</v>
      </c>
      <c r="G905" s="6">
        <v>53</v>
      </c>
      <c r="H905" s="4">
        <v>88.94</v>
      </c>
      <c r="I905" t="s">
        <v>18</v>
      </c>
      <c r="J905" s="6">
        <v>7</v>
      </c>
      <c r="K905" s="6">
        <v>2</v>
      </c>
      <c r="L905" t="s">
        <v>24</v>
      </c>
      <c r="M905" s="2">
        <v>45505</v>
      </c>
    </row>
    <row r="906" spans="1:13" x14ac:dyDescent="0.25">
      <c r="A906" t="s">
        <v>935</v>
      </c>
      <c r="B906" t="s">
        <v>14</v>
      </c>
      <c r="C906" s="6">
        <v>20</v>
      </c>
      <c r="D906" t="s">
        <v>30</v>
      </c>
      <c r="E906" t="s">
        <v>22</v>
      </c>
      <c r="F906" t="s">
        <v>17</v>
      </c>
      <c r="G906" s="6">
        <v>54</v>
      </c>
      <c r="H906" s="4">
        <v>40.450000000000003</v>
      </c>
      <c r="I906" t="s">
        <v>46</v>
      </c>
      <c r="J906" s="6">
        <v>6</v>
      </c>
      <c r="K906" s="6">
        <v>2</v>
      </c>
      <c r="L906" t="s">
        <v>24</v>
      </c>
      <c r="M906" s="2">
        <v>44588</v>
      </c>
    </row>
    <row r="907" spans="1:13" x14ac:dyDescent="0.25">
      <c r="A907" t="s">
        <v>936</v>
      </c>
      <c r="B907" t="s">
        <v>14</v>
      </c>
      <c r="C907" s="6">
        <v>41</v>
      </c>
      <c r="D907" t="s">
        <v>15</v>
      </c>
      <c r="E907" t="s">
        <v>16</v>
      </c>
      <c r="F907" t="s">
        <v>28</v>
      </c>
      <c r="G907" s="6">
        <v>40</v>
      </c>
      <c r="H907" s="4">
        <v>62.53</v>
      </c>
      <c r="I907" t="s">
        <v>18</v>
      </c>
      <c r="J907" s="6">
        <v>7</v>
      </c>
      <c r="K907" s="6">
        <v>4</v>
      </c>
      <c r="L907" t="s">
        <v>24</v>
      </c>
      <c r="M907" s="2">
        <v>44917</v>
      </c>
    </row>
    <row r="908" spans="1:13" x14ac:dyDescent="0.25">
      <c r="A908" t="s">
        <v>937</v>
      </c>
      <c r="B908" t="s">
        <v>26</v>
      </c>
      <c r="C908" s="6">
        <v>52</v>
      </c>
      <c r="D908" t="s">
        <v>34</v>
      </c>
      <c r="E908" t="s">
        <v>22</v>
      </c>
      <c r="F908" t="s">
        <v>28</v>
      </c>
      <c r="G908" s="6">
        <v>15</v>
      </c>
      <c r="H908" s="4">
        <v>68.900000000000006</v>
      </c>
      <c r="I908" t="s">
        <v>23</v>
      </c>
      <c r="J908" s="6">
        <v>6</v>
      </c>
      <c r="K908" s="6">
        <v>3</v>
      </c>
      <c r="L908" t="s">
        <v>24</v>
      </c>
      <c r="M908" s="2">
        <v>45415</v>
      </c>
    </row>
    <row r="909" spans="1:13" x14ac:dyDescent="0.25">
      <c r="A909" t="s">
        <v>938</v>
      </c>
      <c r="B909" t="s">
        <v>14</v>
      </c>
      <c r="C909" s="6">
        <v>52</v>
      </c>
      <c r="D909" t="s">
        <v>34</v>
      </c>
      <c r="E909" t="s">
        <v>35</v>
      </c>
      <c r="F909" t="s">
        <v>28</v>
      </c>
      <c r="G909" s="6">
        <v>56</v>
      </c>
      <c r="H909" s="4">
        <v>64.510000000000005</v>
      </c>
      <c r="I909" t="s">
        <v>18</v>
      </c>
      <c r="J909" s="6">
        <v>1</v>
      </c>
      <c r="K909" s="6">
        <v>1</v>
      </c>
      <c r="L909" t="s">
        <v>19</v>
      </c>
      <c r="M909" s="2">
        <v>44230</v>
      </c>
    </row>
    <row r="910" spans="1:13" x14ac:dyDescent="0.25">
      <c r="A910" t="s">
        <v>939</v>
      </c>
      <c r="B910" t="s">
        <v>26</v>
      </c>
      <c r="C910" s="6">
        <v>24</v>
      </c>
      <c r="D910" t="s">
        <v>34</v>
      </c>
      <c r="E910" t="s">
        <v>22</v>
      </c>
      <c r="F910" t="s">
        <v>38</v>
      </c>
      <c r="G910" s="6">
        <v>70</v>
      </c>
      <c r="H910" s="4">
        <v>86.5</v>
      </c>
      <c r="I910" t="s">
        <v>23</v>
      </c>
      <c r="J910" s="6">
        <v>8</v>
      </c>
      <c r="K910" s="6">
        <v>5</v>
      </c>
      <c r="L910" t="s">
        <v>24</v>
      </c>
      <c r="M910" s="2">
        <v>45564</v>
      </c>
    </row>
    <row r="911" spans="1:13" x14ac:dyDescent="0.25">
      <c r="A911" t="s">
        <v>940</v>
      </c>
      <c r="B911" t="s">
        <v>26</v>
      </c>
      <c r="C911" s="6">
        <v>44</v>
      </c>
      <c r="D911" t="s">
        <v>30</v>
      </c>
      <c r="E911" t="s">
        <v>16</v>
      </c>
      <c r="F911" t="s">
        <v>28</v>
      </c>
      <c r="G911" s="6">
        <v>71</v>
      </c>
      <c r="H911" s="4">
        <v>60.72</v>
      </c>
      <c r="I911" t="s">
        <v>46</v>
      </c>
      <c r="J911" s="6">
        <v>7</v>
      </c>
      <c r="K911" s="6">
        <v>1</v>
      </c>
      <c r="L911" t="s">
        <v>19</v>
      </c>
      <c r="M911" s="2">
        <v>45822</v>
      </c>
    </row>
    <row r="912" spans="1:13" x14ac:dyDescent="0.25">
      <c r="A912" t="s">
        <v>941</v>
      </c>
      <c r="B912" t="s">
        <v>26</v>
      </c>
      <c r="C912" s="6">
        <v>44</v>
      </c>
      <c r="D912" t="s">
        <v>34</v>
      </c>
      <c r="E912" t="s">
        <v>16</v>
      </c>
      <c r="F912" t="s">
        <v>28</v>
      </c>
      <c r="G912" s="6">
        <v>29</v>
      </c>
      <c r="H912" s="4">
        <v>62.61</v>
      </c>
      <c r="I912" t="s">
        <v>31</v>
      </c>
      <c r="J912" s="6">
        <v>4</v>
      </c>
      <c r="K912" s="6">
        <v>3</v>
      </c>
      <c r="L912" t="s">
        <v>24</v>
      </c>
      <c r="M912" s="2">
        <v>45825</v>
      </c>
    </row>
    <row r="913" spans="1:13" x14ac:dyDescent="0.25">
      <c r="A913" t="s">
        <v>942</v>
      </c>
      <c r="B913" t="s">
        <v>26</v>
      </c>
      <c r="C913" s="6">
        <v>61</v>
      </c>
      <c r="D913" t="s">
        <v>30</v>
      </c>
      <c r="E913" t="s">
        <v>16</v>
      </c>
      <c r="F913" t="s">
        <v>28</v>
      </c>
      <c r="G913" s="6">
        <v>5</v>
      </c>
      <c r="H913" s="4">
        <v>55.23</v>
      </c>
      <c r="I913" t="s">
        <v>46</v>
      </c>
      <c r="J913" s="6">
        <v>5</v>
      </c>
      <c r="K913" s="6">
        <v>5</v>
      </c>
      <c r="L913" t="s">
        <v>24</v>
      </c>
      <c r="M913" s="2">
        <v>45425</v>
      </c>
    </row>
    <row r="914" spans="1:13" x14ac:dyDescent="0.25">
      <c r="A914" t="s">
        <v>943</v>
      </c>
      <c r="B914" t="s">
        <v>26</v>
      </c>
      <c r="C914" s="6">
        <v>39</v>
      </c>
      <c r="D914" t="s">
        <v>30</v>
      </c>
      <c r="E914" t="s">
        <v>22</v>
      </c>
      <c r="F914" t="s">
        <v>28</v>
      </c>
      <c r="G914" s="6">
        <v>31</v>
      </c>
      <c r="H914" s="4">
        <v>63.34</v>
      </c>
      <c r="I914" t="s">
        <v>23</v>
      </c>
      <c r="J914" s="6">
        <v>3</v>
      </c>
      <c r="K914" s="6">
        <v>5</v>
      </c>
      <c r="L914" t="s">
        <v>24</v>
      </c>
      <c r="M914" s="2">
        <v>45893</v>
      </c>
    </row>
    <row r="915" spans="1:13" x14ac:dyDescent="0.25">
      <c r="A915" t="s">
        <v>944</v>
      </c>
      <c r="B915" t="s">
        <v>14</v>
      </c>
      <c r="C915" s="6">
        <v>69</v>
      </c>
      <c r="D915" t="s">
        <v>34</v>
      </c>
      <c r="E915" t="s">
        <v>16</v>
      </c>
      <c r="F915" t="s">
        <v>38</v>
      </c>
      <c r="G915" s="6">
        <v>50</v>
      </c>
      <c r="H915" s="4">
        <v>99.66</v>
      </c>
      <c r="I915" t="s">
        <v>46</v>
      </c>
      <c r="J915" s="6">
        <v>6</v>
      </c>
      <c r="K915" s="6">
        <v>3</v>
      </c>
      <c r="L915" t="s">
        <v>24</v>
      </c>
      <c r="M915" s="2">
        <v>45092</v>
      </c>
    </row>
    <row r="916" spans="1:13" x14ac:dyDescent="0.25">
      <c r="A916" t="s">
        <v>945</v>
      </c>
      <c r="B916" t="s">
        <v>14</v>
      </c>
      <c r="C916" s="6">
        <v>24</v>
      </c>
      <c r="D916" t="s">
        <v>30</v>
      </c>
      <c r="E916" t="s">
        <v>22</v>
      </c>
      <c r="F916" t="s">
        <v>17</v>
      </c>
      <c r="G916" s="6">
        <v>51</v>
      </c>
      <c r="H916" s="4">
        <v>42.65</v>
      </c>
      <c r="I916" t="s">
        <v>31</v>
      </c>
      <c r="J916" s="6">
        <v>8</v>
      </c>
      <c r="K916" s="6">
        <v>2</v>
      </c>
      <c r="L916" t="s">
        <v>24</v>
      </c>
      <c r="M916" s="2">
        <v>44614</v>
      </c>
    </row>
    <row r="917" spans="1:13" x14ac:dyDescent="0.25">
      <c r="A917" t="s">
        <v>946</v>
      </c>
      <c r="B917" t="s">
        <v>14</v>
      </c>
      <c r="C917" s="6">
        <v>23</v>
      </c>
      <c r="D917" t="s">
        <v>21</v>
      </c>
      <c r="E917" t="s">
        <v>35</v>
      </c>
      <c r="F917" t="s">
        <v>17</v>
      </c>
      <c r="G917" s="6">
        <v>20</v>
      </c>
      <c r="H917" s="4">
        <v>30.42</v>
      </c>
      <c r="I917" t="s">
        <v>18</v>
      </c>
      <c r="J917" s="6">
        <v>6</v>
      </c>
      <c r="K917" s="6">
        <v>1</v>
      </c>
      <c r="L917" t="s">
        <v>24</v>
      </c>
      <c r="M917" s="2">
        <v>44464</v>
      </c>
    </row>
    <row r="918" spans="1:13" x14ac:dyDescent="0.25">
      <c r="A918" t="s">
        <v>947</v>
      </c>
      <c r="B918" t="s">
        <v>26</v>
      </c>
      <c r="C918" s="6">
        <v>58</v>
      </c>
      <c r="D918" t="s">
        <v>15</v>
      </c>
      <c r="E918" t="s">
        <v>16</v>
      </c>
      <c r="F918" t="s">
        <v>17</v>
      </c>
      <c r="G918" s="6">
        <v>29</v>
      </c>
      <c r="H918" s="4">
        <v>34.450000000000003</v>
      </c>
      <c r="I918" t="s">
        <v>46</v>
      </c>
      <c r="J918" s="6">
        <v>6</v>
      </c>
      <c r="K918" s="6">
        <v>3</v>
      </c>
      <c r="L918" t="s">
        <v>24</v>
      </c>
      <c r="M918" s="2">
        <v>44760</v>
      </c>
    </row>
    <row r="919" spans="1:13" x14ac:dyDescent="0.25">
      <c r="A919" t="s">
        <v>948</v>
      </c>
      <c r="B919" t="s">
        <v>14</v>
      </c>
      <c r="C919" s="6">
        <v>27</v>
      </c>
      <c r="D919" t="s">
        <v>21</v>
      </c>
      <c r="E919" t="s">
        <v>22</v>
      </c>
      <c r="F919" t="s">
        <v>38</v>
      </c>
      <c r="G919" s="6">
        <v>14</v>
      </c>
      <c r="H919" s="4">
        <v>86.66</v>
      </c>
      <c r="I919" t="s">
        <v>18</v>
      </c>
      <c r="J919" s="6">
        <v>1</v>
      </c>
      <c r="K919" s="6">
        <v>2</v>
      </c>
      <c r="L919" t="s">
        <v>24</v>
      </c>
      <c r="M919" s="2">
        <v>44566</v>
      </c>
    </row>
    <row r="920" spans="1:13" x14ac:dyDescent="0.25">
      <c r="A920" t="s">
        <v>949</v>
      </c>
      <c r="B920" t="s">
        <v>14</v>
      </c>
      <c r="C920" s="6">
        <v>22</v>
      </c>
      <c r="D920" t="s">
        <v>34</v>
      </c>
      <c r="E920" t="s">
        <v>35</v>
      </c>
      <c r="F920" t="s">
        <v>17</v>
      </c>
      <c r="G920" s="6">
        <v>51</v>
      </c>
      <c r="H920" s="4">
        <v>31.51</v>
      </c>
      <c r="I920" t="s">
        <v>18</v>
      </c>
      <c r="J920" s="6">
        <v>6</v>
      </c>
      <c r="K920" s="6">
        <v>1</v>
      </c>
      <c r="L920" t="s">
        <v>24</v>
      </c>
      <c r="M920" s="2">
        <v>45478</v>
      </c>
    </row>
    <row r="921" spans="1:13" x14ac:dyDescent="0.25">
      <c r="A921" t="s">
        <v>950</v>
      </c>
      <c r="B921" t="s">
        <v>14</v>
      </c>
      <c r="C921" s="6">
        <v>31</v>
      </c>
      <c r="D921" t="s">
        <v>34</v>
      </c>
      <c r="E921" t="s">
        <v>35</v>
      </c>
      <c r="F921" t="s">
        <v>28</v>
      </c>
      <c r="G921" s="6">
        <v>58</v>
      </c>
      <c r="H921" s="4">
        <v>67.13</v>
      </c>
      <c r="I921" t="s">
        <v>46</v>
      </c>
      <c r="J921" s="6">
        <v>4</v>
      </c>
      <c r="K921" s="6">
        <v>1</v>
      </c>
      <c r="L921" t="s">
        <v>24</v>
      </c>
      <c r="M921" s="2">
        <v>45547</v>
      </c>
    </row>
    <row r="922" spans="1:13" x14ac:dyDescent="0.25">
      <c r="A922" t="s">
        <v>951</v>
      </c>
      <c r="B922" t="s">
        <v>14</v>
      </c>
      <c r="C922" s="6">
        <v>25</v>
      </c>
      <c r="D922" t="s">
        <v>15</v>
      </c>
      <c r="E922" t="s">
        <v>35</v>
      </c>
      <c r="F922" t="s">
        <v>28</v>
      </c>
      <c r="G922" s="6">
        <v>70</v>
      </c>
      <c r="H922" s="4">
        <v>55.08</v>
      </c>
      <c r="I922" t="s">
        <v>31</v>
      </c>
      <c r="J922" s="6">
        <v>1</v>
      </c>
      <c r="K922" s="6">
        <v>2</v>
      </c>
      <c r="L922" t="s">
        <v>24</v>
      </c>
      <c r="M922" s="2">
        <v>45294</v>
      </c>
    </row>
    <row r="923" spans="1:13" x14ac:dyDescent="0.25">
      <c r="A923" t="s">
        <v>952</v>
      </c>
      <c r="B923" t="s">
        <v>14</v>
      </c>
      <c r="C923" s="6">
        <v>51</v>
      </c>
      <c r="D923" t="s">
        <v>30</v>
      </c>
      <c r="E923" t="s">
        <v>16</v>
      </c>
      <c r="F923" t="s">
        <v>28</v>
      </c>
      <c r="G923" s="6">
        <v>15</v>
      </c>
      <c r="H923" s="4">
        <v>68.48</v>
      </c>
      <c r="I923" t="s">
        <v>18</v>
      </c>
      <c r="J923" s="6">
        <v>5</v>
      </c>
      <c r="K923" s="6">
        <v>2</v>
      </c>
      <c r="L923" t="s">
        <v>19</v>
      </c>
      <c r="M923" s="2">
        <v>45687</v>
      </c>
    </row>
    <row r="924" spans="1:13" x14ac:dyDescent="0.25">
      <c r="A924" t="s">
        <v>953</v>
      </c>
      <c r="B924" t="s">
        <v>14</v>
      </c>
      <c r="C924" s="6">
        <v>35</v>
      </c>
      <c r="D924" t="s">
        <v>15</v>
      </c>
      <c r="E924" t="s">
        <v>35</v>
      </c>
      <c r="F924" t="s">
        <v>17</v>
      </c>
      <c r="G924" s="6">
        <v>12</v>
      </c>
      <c r="H924" s="4">
        <v>35.229999999999997</v>
      </c>
      <c r="I924" t="s">
        <v>31</v>
      </c>
      <c r="J924" s="6">
        <v>7</v>
      </c>
      <c r="K924" s="6">
        <v>4</v>
      </c>
      <c r="L924" t="s">
        <v>24</v>
      </c>
      <c r="M924" s="2">
        <v>45016</v>
      </c>
    </row>
    <row r="925" spans="1:13" x14ac:dyDescent="0.25">
      <c r="A925" t="s">
        <v>954</v>
      </c>
      <c r="B925" t="s">
        <v>14</v>
      </c>
      <c r="C925" s="6">
        <v>34</v>
      </c>
      <c r="D925" t="s">
        <v>30</v>
      </c>
      <c r="E925" t="s">
        <v>16</v>
      </c>
      <c r="F925" t="s">
        <v>38</v>
      </c>
      <c r="G925" s="6">
        <v>36</v>
      </c>
      <c r="H925" s="4">
        <v>99.43</v>
      </c>
      <c r="I925" t="s">
        <v>18</v>
      </c>
      <c r="J925" s="6">
        <v>4</v>
      </c>
      <c r="K925" s="6">
        <v>2</v>
      </c>
      <c r="L925" t="s">
        <v>24</v>
      </c>
      <c r="M925" s="2">
        <v>45675</v>
      </c>
    </row>
    <row r="926" spans="1:13" x14ac:dyDescent="0.25">
      <c r="A926" t="s">
        <v>955</v>
      </c>
      <c r="B926" t="s">
        <v>26</v>
      </c>
      <c r="C926" s="6">
        <v>45</v>
      </c>
      <c r="D926" t="s">
        <v>34</v>
      </c>
      <c r="E926" t="s">
        <v>35</v>
      </c>
      <c r="F926" t="s">
        <v>38</v>
      </c>
      <c r="G926" s="6">
        <v>35</v>
      </c>
      <c r="H926" s="4">
        <v>97.24</v>
      </c>
      <c r="I926" t="s">
        <v>18</v>
      </c>
      <c r="J926" s="6">
        <v>6</v>
      </c>
      <c r="K926" s="6">
        <v>4</v>
      </c>
      <c r="L926" t="s">
        <v>19</v>
      </c>
      <c r="M926" s="2">
        <v>44919</v>
      </c>
    </row>
    <row r="927" spans="1:13" x14ac:dyDescent="0.25">
      <c r="A927" t="s">
        <v>956</v>
      </c>
      <c r="B927" t="s">
        <v>26</v>
      </c>
      <c r="C927" s="6">
        <v>58</v>
      </c>
      <c r="D927" t="s">
        <v>21</v>
      </c>
      <c r="E927" t="s">
        <v>35</v>
      </c>
      <c r="F927" t="s">
        <v>17</v>
      </c>
      <c r="G927" s="6">
        <v>5</v>
      </c>
      <c r="H927" s="4">
        <v>44.37</v>
      </c>
      <c r="I927" t="s">
        <v>31</v>
      </c>
      <c r="J927" s="6">
        <v>6</v>
      </c>
      <c r="K927" s="6">
        <v>3</v>
      </c>
      <c r="L927" t="s">
        <v>24</v>
      </c>
      <c r="M927" s="2">
        <v>45993</v>
      </c>
    </row>
    <row r="928" spans="1:13" x14ac:dyDescent="0.25">
      <c r="A928" t="s">
        <v>957</v>
      </c>
      <c r="B928" t="s">
        <v>26</v>
      </c>
      <c r="C928" s="6">
        <v>43</v>
      </c>
      <c r="D928" t="s">
        <v>21</v>
      </c>
      <c r="E928" t="s">
        <v>16</v>
      </c>
      <c r="F928" t="s">
        <v>17</v>
      </c>
      <c r="G928" s="6">
        <v>42</v>
      </c>
      <c r="H928" s="4">
        <v>36.44</v>
      </c>
      <c r="I928" t="s">
        <v>46</v>
      </c>
      <c r="J928" s="6">
        <v>5</v>
      </c>
      <c r="K928" s="6">
        <v>2</v>
      </c>
      <c r="L928" t="s">
        <v>19</v>
      </c>
      <c r="M928" s="2">
        <v>45542</v>
      </c>
    </row>
    <row r="929" spans="1:13" x14ac:dyDescent="0.25">
      <c r="A929" t="s">
        <v>958</v>
      </c>
      <c r="B929" t="s">
        <v>26</v>
      </c>
      <c r="C929" s="6">
        <v>41</v>
      </c>
      <c r="D929" t="s">
        <v>30</v>
      </c>
      <c r="E929" t="s">
        <v>35</v>
      </c>
      <c r="F929" t="s">
        <v>17</v>
      </c>
      <c r="G929" s="6">
        <v>2</v>
      </c>
      <c r="H929" s="4">
        <v>34.78</v>
      </c>
      <c r="I929" t="s">
        <v>18</v>
      </c>
      <c r="J929" s="6">
        <v>5</v>
      </c>
      <c r="K929" s="6">
        <v>2</v>
      </c>
      <c r="L929" t="s">
        <v>24</v>
      </c>
      <c r="M929" s="2">
        <v>45825</v>
      </c>
    </row>
    <row r="930" spans="1:13" x14ac:dyDescent="0.25">
      <c r="A930" t="s">
        <v>959</v>
      </c>
      <c r="B930" t="s">
        <v>26</v>
      </c>
      <c r="C930" s="6">
        <v>32</v>
      </c>
      <c r="D930" t="s">
        <v>21</v>
      </c>
      <c r="E930" t="s">
        <v>35</v>
      </c>
      <c r="F930" t="s">
        <v>28</v>
      </c>
      <c r="G930" s="6">
        <v>28</v>
      </c>
      <c r="H930" s="4">
        <v>62.91</v>
      </c>
      <c r="I930" t="s">
        <v>18</v>
      </c>
      <c r="J930" s="6">
        <v>8</v>
      </c>
      <c r="K930" s="6">
        <v>3</v>
      </c>
      <c r="L930" t="s">
        <v>24</v>
      </c>
      <c r="M930" s="2">
        <v>45850</v>
      </c>
    </row>
    <row r="931" spans="1:13" x14ac:dyDescent="0.25">
      <c r="A931" t="s">
        <v>960</v>
      </c>
      <c r="B931" t="s">
        <v>14</v>
      </c>
      <c r="C931" s="6">
        <v>54</v>
      </c>
      <c r="D931" t="s">
        <v>34</v>
      </c>
      <c r="E931" t="s">
        <v>22</v>
      </c>
      <c r="F931" t="s">
        <v>28</v>
      </c>
      <c r="G931" s="6">
        <v>41</v>
      </c>
      <c r="H931" s="4">
        <v>67.2</v>
      </c>
      <c r="I931" t="s">
        <v>46</v>
      </c>
      <c r="J931" s="6">
        <v>3</v>
      </c>
      <c r="K931" s="6">
        <v>1</v>
      </c>
      <c r="L931" t="s">
        <v>24</v>
      </c>
      <c r="M931" s="2">
        <v>45218</v>
      </c>
    </row>
    <row r="932" spans="1:13" x14ac:dyDescent="0.25">
      <c r="A932" t="s">
        <v>961</v>
      </c>
      <c r="B932" t="s">
        <v>14</v>
      </c>
      <c r="C932" s="6">
        <v>35</v>
      </c>
      <c r="D932" t="s">
        <v>34</v>
      </c>
      <c r="E932" t="s">
        <v>16</v>
      </c>
      <c r="F932" t="s">
        <v>17</v>
      </c>
      <c r="G932" s="6">
        <v>58</v>
      </c>
      <c r="H932" s="4">
        <v>32.57</v>
      </c>
      <c r="I932" t="s">
        <v>31</v>
      </c>
      <c r="J932" s="6">
        <v>6</v>
      </c>
      <c r="K932" s="6">
        <v>2</v>
      </c>
      <c r="L932" t="s">
        <v>24</v>
      </c>
      <c r="M932" s="2">
        <v>44780</v>
      </c>
    </row>
    <row r="933" spans="1:13" x14ac:dyDescent="0.25">
      <c r="A933" t="s">
        <v>962</v>
      </c>
      <c r="B933" t="s">
        <v>14</v>
      </c>
      <c r="C933" s="6">
        <v>59</v>
      </c>
      <c r="D933" t="s">
        <v>21</v>
      </c>
      <c r="E933" t="s">
        <v>35</v>
      </c>
      <c r="F933" t="s">
        <v>28</v>
      </c>
      <c r="G933" s="6">
        <v>17</v>
      </c>
      <c r="H933" s="4">
        <v>67.62</v>
      </c>
      <c r="I933" t="s">
        <v>23</v>
      </c>
      <c r="J933" s="6">
        <v>0</v>
      </c>
      <c r="K933" s="6">
        <v>5</v>
      </c>
      <c r="L933" t="s">
        <v>24</v>
      </c>
      <c r="M933" s="2">
        <v>44277</v>
      </c>
    </row>
    <row r="934" spans="1:13" x14ac:dyDescent="0.25">
      <c r="A934" t="s">
        <v>963</v>
      </c>
      <c r="B934" t="s">
        <v>26</v>
      </c>
      <c r="C934" s="6">
        <v>59</v>
      </c>
      <c r="D934" t="s">
        <v>21</v>
      </c>
      <c r="E934" t="s">
        <v>16</v>
      </c>
      <c r="F934" t="s">
        <v>28</v>
      </c>
      <c r="G934" s="6">
        <v>13</v>
      </c>
      <c r="H934" s="4">
        <v>67.45</v>
      </c>
      <c r="I934" t="s">
        <v>23</v>
      </c>
      <c r="J934" s="6">
        <v>4</v>
      </c>
      <c r="K934" s="6">
        <v>3</v>
      </c>
      <c r="L934" t="s">
        <v>24</v>
      </c>
      <c r="M934" s="2">
        <v>44905</v>
      </c>
    </row>
    <row r="935" spans="1:13" x14ac:dyDescent="0.25">
      <c r="A935" t="s">
        <v>964</v>
      </c>
      <c r="B935" t="s">
        <v>26</v>
      </c>
      <c r="C935" s="6">
        <v>23</v>
      </c>
      <c r="D935" t="s">
        <v>15</v>
      </c>
      <c r="E935" t="s">
        <v>35</v>
      </c>
      <c r="F935" t="s">
        <v>38</v>
      </c>
      <c r="G935" s="6">
        <v>7</v>
      </c>
      <c r="H935" s="4">
        <v>90.9</v>
      </c>
      <c r="I935" t="s">
        <v>23</v>
      </c>
      <c r="J935" s="6">
        <v>7</v>
      </c>
      <c r="K935" s="6">
        <v>1</v>
      </c>
      <c r="L935" t="s">
        <v>24</v>
      </c>
      <c r="M935" s="2">
        <v>45462</v>
      </c>
    </row>
    <row r="936" spans="1:13" x14ac:dyDescent="0.25">
      <c r="A936" t="s">
        <v>965</v>
      </c>
      <c r="B936" t="s">
        <v>14</v>
      </c>
      <c r="C936" s="6">
        <v>19</v>
      </c>
      <c r="D936" t="s">
        <v>30</v>
      </c>
      <c r="E936" t="s">
        <v>16</v>
      </c>
      <c r="F936" t="s">
        <v>17</v>
      </c>
      <c r="G936" s="6">
        <v>18</v>
      </c>
      <c r="H936" s="4">
        <v>31.58</v>
      </c>
      <c r="I936" t="s">
        <v>31</v>
      </c>
      <c r="J936" s="6">
        <v>6</v>
      </c>
      <c r="K936" s="6">
        <v>2</v>
      </c>
      <c r="L936" t="s">
        <v>19</v>
      </c>
      <c r="M936" s="2">
        <v>44588</v>
      </c>
    </row>
    <row r="937" spans="1:13" x14ac:dyDescent="0.25">
      <c r="A937" t="s">
        <v>966</v>
      </c>
      <c r="B937" t="s">
        <v>26</v>
      </c>
      <c r="C937" s="6">
        <v>70</v>
      </c>
      <c r="D937" t="s">
        <v>21</v>
      </c>
      <c r="E937" t="s">
        <v>22</v>
      </c>
      <c r="F937" t="s">
        <v>17</v>
      </c>
      <c r="G937" s="6">
        <v>34</v>
      </c>
      <c r="H937" s="4">
        <v>43.25</v>
      </c>
      <c r="I937" t="s">
        <v>18</v>
      </c>
      <c r="J937" s="6">
        <v>1</v>
      </c>
      <c r="K937" s="6">
        <v>1</v>
      </c>
      <c r="L937" t="s">
        <v>24</v>
      </c>
      <c r="M937" s="2">
        <v>44350</v>
      </c>
    </row>
    <row r="938" spans="1:13" x14ac:dyDescent="0.25">
      <c r="A938" t="s">
        <v>967</v>
      </c>
      <c r="B938" t="s">
        <v>26</v>
      </c>
      <c r="C938" s="6">
        <v>39</v>
      </c>
      <c r="D938" t="s">
        <v>34</v>
      </c>
      <c r="E938" t="s">
        <v>35</v>
      </c>
      <c r="F938" t="s">
        <v>38</v>
      </c>
      <c r="G938" s="6">
        <v>22</v>
      </c>
      <c r="H938" s="4">
        <v>98.87</v>
      </c>
      <c r="I938" t="s">
        <v>23</v>
      </c>
      <c r="J938" s="6">
        <v>1</v>
      </c>
      <c r="K938" s="6">
        <v>2</v>
      </c>
      <c r="L938" t="s">
        <v>24</v>
      </c>
      <c r="M938" s="2">
        <v>44500</v>
      </c>
    </row>
    <row r="939" spans="1:13" x14ac:dyDescent="0.25">
      <c r="A939" t="s">
        <v>968</v>
      </c>
      <c r="B939" t="s">
        <v>26</v>
      </c>
      <c r="C939" s="6">
        <v>58</v>
      </c>
      <c r="D939" t="s">
        <v>34</v>
      </c>
      <c r="E939" t="s">
        <v>22</v>
      </c>
      <c r="F939" t="s">
        <v>17</v>
      </c>
      <c r="G939" s="6">
        <v>67</v>
      </c>
      <c r="H939" s="4">
        <v>37.909999999999997</v>
      </c>
      <c r="I939" t="s">
        <v>23</v>
      </c>
      <c r="J939" s="6">
        <v>7</v>
      </c>
      <c r="K939" s="6">
        <v>3</v>
      </c>
      <c r="L939" t="s">
        <v>24</v>
      </c>
      <c r="M939" s="2">
        <v>45693</v>
      </c>
    </row>
    <row r="940" spans="1:13" x14ac:dyDescent="0.25">
      <c r="A940" t="s">
        <v>969</v>
      </c>
      <c r="B940" t="s">
        <v>26</v>
      </c>
      <c r="C940" s="6">
        <v>32</v>
      </c>
      <c r="D940" t="s">
        <v>21</v>
      </c>
      <c r="E940" t="s">
        <v>35</v>
      </c>
      <c r="F940" t="s">
        <v>28</v>
      </c>
      <c r="G940" s="6">
        <v>11</v>
      </c>
      <c r="H940" s="4">
        <v>60.3</v>
      </c>
      <c r="I940" t="s">
        <v>46</v>
      </c>
      <c r="J940" s="6">
        <v>3</v>
      </c>
      <c r="K940" s="6">
        <v>1</v>
      </c>
      <c r="L940" t="s">
        <v>19</v>
      </c>
      <c r="M940" s="2">
        <v>45209</v>
      </c>
    </row>
    <row r="941" spans="1:13" x14ac:dyDescent="0.25">
      <c r="A941" t="s">
        <v>970</v>
      </c>
      <c r="B941" t="s">
        <v>14</v>
      </c>
      <c r="C941" s="6">
        <v>31</v>
      </c>
      <c r="D941" t="s">
        <v>21</v>
      </c>
      <c r="E941" t="s">
        <v>22</v>
      </c>
      <c r="F941" t="s">
        <v>17</v>
      </c>
      <c r="G941" s="6">
        <v>60</v>
      </c>
      <c r="H941" s="4">
        <v>42.28</v>
      </c>
      <c r="I941" t="s">
        <v>46</v>
      </c>
      <c r="J941" s="6">
        <v>7</v>
      </c>
      <c r="K941" s="6">
        <v>1</v>
      </c>
      <c r="L941" t="s">
        <v>24</v>
      </c>
      <c r="M941" s="2">
        <v>45864</v>
      </c>
    </row>
    <row r="942" spans="1:13" x14ac:dyDescent="0.25">
      <c r="A942" t="s">
        <v>971</v>
      </c>
      <c r="B942" t="s">
        <v>26</v>
      </c>
      <c r="C942" s="6">
        <v>66</v>
      </c>
      <c r="D942" t="s">
        <v>15</v>
      </c>
      <c r="E942" t="s">
        <v>22</v>
      </c>
      <c r="F942" t="s">
        <v>28</v>
      </c>
      <c r="G942" s="6">
        <v>20</v>
      </c>
      <c r="H942" s="4">
        <v>67.72</v>
      </c>
      <c r="I942" t="s">
        <v>18</v>
      </c>
      <c r="J942" s="6">
        <v>2</v>
      </c>
      <c r="K942" s="6">
        <v>2</v>
      </c>
      <c r="L942" t="s">
        <v>24</v>
      </c>
      <c r="M942" s="2">
        <v>44986</v>
      </c>
    </row>
    <row r="943" spans="1:13" x14ac:dyDescent="0.25">
      <c r="A943" t="s">
        <v>972</v>
      </c>
      <c r="B943" t="s">
        <v>26</v>
      </c>
      <c r="C943" s="6">
        <v>57</v>
      </c>
      <c r="D943" t="s">
        <v>30</v>
      </c>
      <c r="E943" t="s">
        <v>35</v>
      </c>
      <c r="F943" t="s">
        <v>17</v>
      </c>
      <c r="G943" s="6">
        <v>9</v>
      </c>
      <c r="H943" s="4">
        <v>34.17</v>
      </c>
      <c r="I943" t="s">
        <v>46</v>
      </c>
      <c r="J943" s="6">
        <v>4</v>
      </c>
      <c r="K943" s="6">
        <v>5</v>
      </c>
      <c r="L943" t="s">
        <v>24</v>
      </c>
      <c r="M943" s="2">
        <v>44498</v>
      </c>
    </row>
    <row r="944" spans="1:13" x14ac:dyDescent="0.25">
      <c r="A944" t="s">
        <v>973</v>
      </c>
      <c r="B944" t="s">
        <v>26</v>
      </c>
      <c r="C944" s="6">
        <v>24</v>
      </c>
      <c r="D944" t="s">
        <v>21</v>
      </c>
      <c r="E944" t="s">
        <v>16</v>
      </c>
      <c r="F944" t="s">
        <v>17</v>
      </c>
      <c r="G944" s="6">
        <v>59</v>
      </c>
      <c r="H944" s="4">
        <v>32.81</v>
      </c>
      <c r="I944" t="s">
        <v>18</v>
      </c>
      <c r="J944" s="6">
        <v>7</v>
      </c>
      <c r="K944" s="6">
        <v>5</v>
      </c>
      <c r="L944" t="s">
        <v>24</v>
      </c>
      <c r="M944" s="2">
        <v>44740</v>
      </c>
    </row>
    <row r="945" spans="1:13" x14ac:dyDescent="0.25">
      <c r="A945" t="s">
        <v>974</v>
      </c>
      <c r="B945" t="s">
        <v>14</v>
      </c>
      <c r="C945" s="6">
        <v>53</v>
      </c>
      <c r="D945" t="s">
        <v>21</v>
      </c>
      <c r="E945" t="s">
        <v>35</v>
      </c>
      <c r="F945" t="s">
        <v>28</v>
      </c>
      <c r="G945" s="6">
        <v>28</v>
      </c>
      <c r="H945" s="4">
        <v>57.26</v>
      </c>
      <c r="I945" t="s">
        <v>23</v>
      </c>
      <c r="J945" s="6">
        <v>8</v>
      </c>
      <c r="K945" s="6">
        <v>3</v>
      </c>
      <c r="L945" t="s">
        <v>19</v>
      </c>
      <c r="M945" s="2">
        <v>44755</v>
      </c>
    </row>
    <row r="946" spans="1:13" x14ac:dyDescent="0.25">
      <c r="A946" t="s">
        <v>975</v>
      </c>
      <c r="B946" t="s">
        <v>26</v>
      </c>
      <c r="C946" s="6">
        <v>24</v>
      </c>
      <c r="D946" t="s">
        <v>21</v>
      </c>
      <c r="E946" t="s">
        <v>22</v>
      </c>
      <c r="F946" t="s">
        <v>28</v>
      </c>
      <c r="G946" s="6">
        <v>55</v>
      </c>
      <c r="H946" s="4">
        <v>57.91</v>
      </c>
      <c r="I946" t="s">
        <v>46</v>
      </c>
      <c r="J946" s="6">
        <v>6</v>
      </c>
      <c r="K946" s="6">
        <v>2</v>
      </c>
      <c r="L946" t="s">
        <v>24</v>
      </c>
      <c r="M946" s="2">
        <v>45281</v>
      </c>
    </row>
    <row r="947" spans="1:13" x14ac:dyDescent="0.25">
      <c r="A947" t="s">
        <v>976</v>
      </c>
      <c r="B947" t="s">
        <v>26</v>
      </c>
      <c r="C947" s="6">
        <v>51</v>
      </c>
      <c r="D947" t="s">
        <v>34</v>
      </c>
      <c r="E947" t="s">
        <v>16</v>
      </c>
      <c r="F947" t="s">
        <v>38</v>
      </c>
      <c r="G947" s="6">
        <v>7</v>
      </c>
      <c r="H947" s="4">
        <v>94.7</v>
      </c>
      <c r="I947" t="s">
        <v>18</v>
      </c>
      <c r="J947" s="6">
        <v>3</v>
      </c>
      <c r="K947" s="6">
        <v>1</v>
      </c>
      <c r="L947" t="s">
        <v>19</v>
      </c>
      <c r="M947" s="2">
        <v>44270</v>
      </c>
    </row>
    <row r="948" spans="1:13" x14ac:dyDescent="0.25">
      <c r="A948" t="s">
        <v>977</v>
      </c>
      <c r="B948" t="s">
        <v>26</v>
      </c>
      <c r="C948" s="6">
        <v>33</v>
      </c>
      <c r="D948" t="s">
        <v>21</v>
      </c>
      <c r="E948" t="s">
        <v>22</v>
      </c>
      <c r="F948" t="s">
        <v>17</v>
      </c>
      <c r="G948" s="6">
        <v>36</v>
      </c>
      <c r="H948" s="4">
        <v>33.4</v>
      </c>
      <c r="I948" t="s">
        <v>23</v>
      </c>
      <c r="J948" s="6">
        <v>6</v>
      </c>
      <c r="K948" s="6">
        <v>4</v>
      </c>
      <c r="L948" t="s">
        <v>19</v>
      </c>
      <c r="M948" s="2">
        <v>45700</v>
      </c>
    </row>
    <row r="949" spans="1:13" x14ac:dyDescent="0.25">
      <c r="A949" t="s">
        <v>978</v>
      </c>
      <c r="B949" t="s">
        <v>26</v>
      </c>
      <c r="C949" s="6">
        <v>49</v>
      </c>
      <c r="D949" t="s">
        <v>30</v>
      </c>
      <c r="E949" t="s">
        <v>16</v>
      </c>
      <c r="F949" t="s">
        <v>17</v>
      </c>
      <c r="G949" s="6">
        <v>45</v>
      </c>
      <c r="H949" s="4">
        <v>39.549999999999997</v>
      </c>
      <c r="I949" t="s">
        <v>31</v>
      </c>
      <c r="J949" s="6">
        <v>0</v>
      </c>
      <c r="K949" s="6">
        <v>1</v>
      </c>
      <c r="L949" t="s">
        <v>19</v>
      </c>
      <c r="M949" s="2">
        <v>45631</v>
      </c>
    </row>
    <row r="950" spans="1:13" x14ac:dyDescent="0.25">
      <c r="A950" t="s">
        <v>979</v>
      </c>
      <c r="B950" t="s">
        <v>26</v>
      </c>
      <c r="C950" s="6">
        <v>65</v>
      </c>
      <c r="D950" t="s">
        <v>15</v>
      </c>
      <c r="E950" t="s">
        <v>22</v>
      </c>
      <c r="F950" t="s">
        <v>17</v>
      </c>
      <c r="G950" s="6">
        <v>22</v>
      </c>
      <c r="H950" s="4">
        <v>34.729999999999997</v>
      </c>
      <c r="I950" t="s">
        <v>18</v>
      </c>
      <c r="J950" s="6">
        <v>2</v>
      </c>
      <c r="K950" s="6">
        <v>2</v>
      </c>
      <c r="L950" t="s">
        <v>24</v>
      </c>
      <c r="M950" s="2">
        <v>45129</v>
      </c>
    </row>
    <row r="951" spans="1:13" x14ac:dyDescent="0.25">
      <c r="A951" t="s">
        <v>980</v>
      </c>
      <c r="B951" t="s">
        <v>14</v>
      </c>
      <c r="C951" s="6">
        <v>18</v>
      </c>
      <c r="D951" t="s">
        <v>34</v>
      </c>
      <c r="E951" t="s">
        <v>35</v>
      </c>
      <c r="F951" t="s">
        <v>28</v>
      </c>
      <c r="G951" s="6">
        <v>3</v>
      </c>
      <c r="H951" s="4">
        <v>57.66</v>
      </c>
      <c r="I951" t="s">
        <v>31</v>
      </c>
      <c r="J951" s="6">
        <v>1</v>
      </c>
      <c r="K951" s="6">
        <v>2</v>
      </c>
      <c r="L951" t="s">
        <v>24</v>
      </c>
      <c r="M951" s="2">
        <v>45944</v>
      </c>
    </row>
    <row r="952" spans="1:13" x14ac:dyDescent="0.25">
      <c r="A952" t="s">
        <v>981</v>
      </c>
      <c r="B952" t="s">
        <v>14</v>
      </c>
      <c r="C952" s="6">
        <v>56</v>
      </c>
      <c r="D952" t="s">
        <v>15</v>
      </c>
      <c r="E952" t="s">
        <v>35</v>
      </c>
      <c r="F952" t="s">
        <v>38</v>
      </c>
      <c r="G952" s="6">
        <v>1</v>
      </c>
      <c r="H952" s="4">
        <v>92.32</v>
      </c>
      <c r="I952" t="s">
        <v>46</v>
      </c>
      <c r="J952" s="6">
        <v>7</v>
      </c>
      <c r="K952" s="6">
        <v>1</v>
      </c>
      <c r="L952" t="s">
        <v>19</v>
      </c>
      <c r="M952" s="2">
        <v>44232</v>
      </c>
    </row>
    <row r="953" spans="1:13" x14ac:dyDescent="0.25">
      <c r="A953" t="s">
        <v>982</v>
      </c>
      <c r="B953" t="s">
        <v>26</v>
      </c>
      <c r="C953" s="6">
        <v>32</v>
      </c>
      <c r="D953" t="s">
        <v>30</v>
      </c>
      <c r="E953" t="s">
        <v>16</v>
      </c>
      <c r="F953" t="s">
        <v>17</v>
      </c>
      <c r="G953" s="6">
        <v>13</v>
      </c>
      <c r="H953" s="4">
        <v>34.57</v>
      </c>
      <c r="I953" t="s">
        <v>31</v>
      </c>
      <c r="J953" s="6">
        <v>7</v>
      </c>
      <c r="K953" s="6">
        <v>4</v>
      </c>
      <c r="L953" t="s">
        <v>24</v>
      </c>
      <c r="M953" s="2">
        <v>45314</v>
      </c>
    </row>
    <row r="954" spans="1:13" x14ac:dyDescent="0.25">
      <c r="A954" t="s">
        <v>983</v>
      </c>
      <c r="B954" t="s">
        <v>26</v>
      </c>
      <c r="C954" s="6">
        <v>60</v>
      </c>
      <c r="D954" t="s">
        <v>34</v>
      </c>
      <c r="E954" t="s">
        <v>35</v>
      </c>
      <c r="F954" t="s">
        <v>28</v>
      </c>
      <c r="G954" s="6">
        <v>59</v>
      </c>
      <c r="H954" s="4">
        <v>55.2</v>
      </c>
      <c r="I954" t="s">
        <v>31</v>
      </c>
      <c r="J954" s="6">
        <v>4</v>
      </c>
      <c r="K954" s="6">
        <v>3</v>
      </c>
      <c r="L954" t="s">
        <v>24</v>
      </c>
      <c r="M954" s="2">
        <v>45783</v>
      </c>
    </row>
    <row r="955" spans="1:13" x14ac:dyDescent="0.25">
      <c r="A955" t="s">
        <v>984</v>
      </c>
      <c r="B955" t="s">
        <v>26</v>
      </c>
      <c r="C955" s="6">
        <v>25</v>
      </c>
      <c r="D955" t="s">
        <v>15</v>
      </c>
      <c r="E955" t="s">
        <v>22</v>
      </c>
      <c r="F955" t="s">
        <v>38</v>
      </c>
      <c r="G955" s="6">
        <v>3</v>
      </c>
      <c r="H955" s="4">
        <v>87.22</v>
      </c>
      <c r="I955" t="s">
        <v>23</v>
      </c>
      <c r="J955" s="6">
        <v>3</v>
      </c>
      <c r="K955" s="6">
        <v>2</v>
      </c>
      <c r="L955" t="s">
        <v>24</v>
      </c>
      <c r="M955" s="2">
        <v>44260</v>
      </c>
    </row>
    <row r="956" spans="1:13" x14ac:dyDescent="0.25">
      <c r="A956" t="s">
        <v>985</v>
      </c>
      <c r="B956" t="s">
        <v>14</v>
      </c>
      <c r="C956" s="6">
        <v>54</v>
      </c>
      <c r="D956" t="s">
        <v>34</v>
      </c>
      <c r="E956" t="s">
        <v>35</v>
      </c>
      <c r="F956" t="s">
        <v>17</v>
      </c>
      <c r="G956" s="6">
        <v>12</v>
      </c>
      <c r="H956" s="4">
        <v>32.909999999999997</v>
      </c>
      <c r="I956" t="s">
        <v>23</v>
      </c>
      <c r="J956" s="6">
        <v>1</v>
      </c>
      <c r="K956" s="6">
        <v>3</v>
      </c>
      <c r="L956" t="s">
        <v>24</v>
      </c>
      <c r="M956" s="2">
        <v>45587</v>
      </c>
    </row>
    <row r="957" spans="1:13" x14ac:dyDescent="0.25">
      <c r="A957" t="s">
        <v>986</v>
      </c>
      <c r="B957" t="s">
        <v>26</v>
      </c>
      <c r="C957" s="6">
        <v>51</v>
      </c>
      <c r="D957" t="s">
        <v>30</v>
      </c>
      <c r="E957" t="s">
        <v>35</v>
      </c>
      <c r="F957" t="s">
        <v>38</v>
      </c>
      <c r="G957" s="6">
        <v>45</v>
      </c>
      <c r="H957" s="4">
        <v>98.32</v>
      </c>
      <c r="I957" t="s">
        <v>23</v>
      </c>
      <c r="J957" s="6">
        <v>6</v>
      </c>
      <c r="K957" s="6">
        <v>3</v>
      </c>
      <c r="L957" t="s">
        <v>24</v>
      </c>
      <c r="M957" s="2">
        <v>44281</v>
      </c>
    </row>
    <row r="958" spans="1:13" x14ac:dyDescent="0.25">
      <c r="A958" t="s">
        <v>987</v>
      </c>
      <c r="B958" t="s">
        <v>26</v>
      </c>
      <c r="C958" s="6">
        <v>57</v>
      </c>
      <c r="D958" t="s">
        <v>21</v>
      </c>
      <c r="E958" t="s">
        <v>35</v>
      </c>
      <c r="F958" t="s">
        <v>28</v>
      </c>
      <c r="G958" s="6">
        <v>45</v>
      </c>
      <c r="H958" s="4">
        <v>59.33</v>
      </c>
      <c r="I958" t="s">
        <v>18</v>
      </c>
      <c r="J958" s="6">
        <v>7</v>
      </c>
      <c r="K958" s="6">
        <v>2</v>
      </c>
      <c r="L958" t="s">
        <v>24</v>
      </c>
      <c r="M958" s="2">
        <v>44504</v>
      </c>
    </row>
    <row r="959" spans="1:13" x14ac:dyDescent="0.25">
      <c r="A959" t="s">
        <v>988</v>
      </c>
      <c r="B959" t="s">
        <v>26</v>
      </c>
      <c r="C959" s="6">
        <v>57</v>
      </c>
      <c r="D959" t="s">
        <v>30</v>
      </c>
      <c r="E959" t="s">
        <v>35</v>
      </c>
      <c r="F959" t="s">
        <v>28</v>
      </c>
      <c r="G959" s="6">
        <v>37</v>
      </c>
      <c r="H959" s="4">
        <v>55.97</v>
      </c>
      <c r="I959" t="s">
        <v>31</v>
      </c>
      <c r="J959" s="6">
        <v>0</v>
      </c>
      <c r="K959" s="6">
        <v>4</v>
      </c>
      <c r="L959" t="s">
        <v>19</v>
      </c>
      <c r="M959" s="2">
        <v>44776</v>
      </c>
    </row>
    <row r="960" spans="1:13" x14ac:dyDescent="0.25">
      <c r="A960" t="s">
        <v>989</v>
      </c>
      <c r="B960" t="s">
        <v>14</v>
      </c>
      <c r="C960" s="6">
        <v>21</v>
      </c>
      <c r="D960" t="s">
        <v>34</v>
      </c>
      <c r="E960" t="s">
        <v>35</v>
      </c>
      <c r="F960" t="s">
        <v>17</v>
      </c>
      <c r="G960" s="6">
        <v>56</v>
      </c>
      <c r="H960" s="4">
        <v>35.28</v>
      </c>
      <c r="I960" t="s">
        <v>18</v>
      </c>
      <c r="J960" s="6">
        <v>0</v>
      </c>
      <c r="K960" s="6">
        <v>3</v>
      </c>
      <c r="L960" t="s">
        <v>24</v>
      </c>
      <c r="M960" s="2">
        <v>45996</v>
      </c>
    </row>
    <row r="961" spans="1:13" x14ac:dyDescent="0.25">
      <c r="A961" t="s">
        <v>990</v>
      </c>
      <c r="B961" t="s">
        <v>26</v>
      </c>
      <c r="C961" s="6">
        <v>68</v>
      </c>
      <c r="D961" t="s">
        <v>30</v>
      </c>
      <c r="E961" t="s">
        <v>16</v>
      </c>
      <c r="F961" t="s">
        <v>38</v>
      </c>
      <c r="G961" s="6">
        <v>35</v>
      </c>
      <c r="H961" s="4">
        <v>87.14</v>
      </c>
      <c r="I961" t="s">
        <v>46</v>
      </c>
      <c r="J961" s="6">
        <v>6</v>
      </c>
      <c r="K961" s="6">
        <v>5</v>
      </c>
      <c r="L961" t="s">
        <v>24</v>
      </c>
      <c r="M961" s="2">
        <v>44792</v>
      </c>
    </row>
    <row r="962" spans="1:13" x14ac:dyDescent="0.25">
      <c r="A962" t="s">
        <v>991</v>
      </c>
      <c r="B962" t="s">
        <v>14</v>
      </c>
      <c r="C962" s="6">
        <v>20</v>
      </c>
      <c r="D962" t="s">
        <v>34</v>
      </c>
      <c r="E962" t="s">
        <v>35</v>
      </c>
      <c r="F962" t="s">
        <v>17</v>
      </c>
      <c r="G962" s="6">
        <v>50</v>
      </c>
      <c r="H962" s="4">
        <v>36.340000000000003</v>
      </c>
      <c r="I962" t="s">
        <v>18</v>
      </c>
      <c r="J962" s="6">
        <v>4</v>
      </c>
      <c r="K962" s="6">
        <v>3</v>
      </c>
      <c r="L962" t="s">
        <v>24</v>
      </c>
      <c r="M962" s="2">
        <v>44551</v>
      </c>
    </row>
    <row r="963" spans="1:13" x14ac:dyDescent="0.25">
      <c r="A963" t="s">
        <v>992</v>
      </c>
      <c r="B963" t="s">
        <v>26</v>
      </c>
      <c r="C963" s="6">
        <v>61</v>
      </c>
      <c r="D963" t="s">
        <v>15</v>
      </c>
      <c r="E963" t="s">
        <v>22</v>
      </c>
      <c r="F963" t="s">
        <v>17</v>
      </c>
      <c r="G963" s="6">
        <v>26</v>
      </c>
      <c r="H963" s="4">
        <v>33.75</v>
      </c>
      <c r="I963" t="s">
        <v>23</v>
      </c>
      <c r="J963" s="6">
        <v>8</v>
      </c>
      <c r="K963" s="6">
        <v>2</v>
      </c>
      <c r="L963" t="s">
        <v>24</v>
      </c>
      <c r="M963" s="2">
        <v>44372</v>
      </c>
    </row>
    <row r="964" spans="1:13" x14ac:dyDescent="0.25">
      <c r="A964" t="s">
        <v>993</v>
      </c>
      <c r="B964" t="s">
        <v>26</v>
      </c>
      <c r="C964" s="6">
        <v>54</v>
      </c>
      <c r="D964" t="s">
        <v>34</v>
      </c>
      <c r="E964" t="s">
        <v>22</v>
      </c>
      <c r="F964" t="s">
        <v>17</v>
      </c>
      <c r="G964" s="6">
        <v>49</v>
      </c>
      <c r="H964" s="4">
        <v>41.74</v>
      </c>
      <c r="I964" t="s">
        <v>23</v>
      </c>
      <c r="J964" s="6">
        <v>1</v>
      </c>
      <c r="K964" s="6">
        <v>2</v>
      </c>
      <c r="L964" t="s">
        <v>24</v>
      </c>
      <c r="M964" s="2">
        <v>45618</v>
      </c>
    </row>
    <row r="965" spans="1:13" x14ac:dyDescent="0.25">
      <c r="A965" t="s">
        <v>994</v>
      </c>
      <c r="B965" t="s">
        <v>26</v>
      </c>
      <c r="C965" s="6">
        <v>50</v>
      </c>
      <c r="D965" t="s">
        <v>15</v>
      </c>
      <c r="E965" t="s">
        <v>35</v>
      </c>
      <c r="F965" t="s">
        <v>28</v>
      </c>
      <c r="G965" s="6">
        <v>55</v>
      </c>
      <c r="H965" s="4">
        <v>62</v>
      </c>
      <c r="I965" t="s">
        <v>23</v>
      </c>
      <c r="J965" s="6">
        <v>7</v>
      </c>
      <c r="K965" s="6">
        <v>1</v>
      </c>
      <c r="L965" t="s">
        <v>24</v>
      </c>
      <c r="M965" s="2">
        <v>44251</v>
      </c>
    </row>
    <row r="966" spans="1:13" x14ac:dyDescent="0.25">
      <c r="A966" t="s">
        <v>995</v>
      </c>
      <c r="B966" t="s">
        <v>26</v>
      </c>
      <c r="C966" s="6">
        <v>23</v>
      </c>
      <c r="D966" t="s">
        <v>30</v>
      </c>
      <c r="E966" t="s">
        <v>22</v>
      </c>
      <c r="F966" t="s">
        <v>28</v>
      </c>
      <c r="G966" s="6">
        <v>32</v>
      </c>
      <c r="H966" s="4">
        <v>63.7</v>
      </c>
      <c r="I966" t="s">
        <v>31</v>
      </c>
      <c r="J966" s="6">
        <v>2</v>
      </c>
      <c r="K966" s="6">
        <v>5</v>
      </c>
      <c r="L966" t="s">
        <v>24</v>
      </c>
      <c r="M966" s="2">
        <v>45355</v>
      </c>
    </row>
    <row r="967" spans="1:13" x14ac:dyDescent="0.25">
      <c r="A967" t="s">
        <v>996</v>
      </c>
      <c r="B967" t="s">
        <v>26</v>
      </c>
      <c r="C967" s="6">
        <v>21</v>
      </c>
      <c r="D967" t="s">
        <v>34</v>
      </c>
      <c r="E967" t="s">
        <v>16</v>
      </c>
      <c r="F967" t="s">
        <v>28</v>
      </c>
      <c r="G967" s="6">
        <v>1</v>
      </c>
      <c r="H967" s="4">
        <v>61.94</v>
      </c>
      <c r="I967" t="s">
        <v>23</v>
      </c>
      <c r="J967" s="6">
        <v>0</v>
      </c>
      <c r="K967" s="6">
        <v>1</v>
      </c>
      <c r="L967" t="s">
        <v>19</v>
      </c>
      <c r="M967" s="2">
        <v>45896</v>
      </c>
    </row>
    <row r="968" spans="1:13" x14ac:dyDescent="0.25">
      <c r="A968" t="s">
        <v>997</v>
      </c>
      <c r="B968" t="s">
        <v>14</v>
      </c>
      <c r="C968" s="6">
        <v>39</v>
      </c>
      <c r="D968" t="s">
        <v>21</v>
      </c>
      <c r="E968" t="s">
        <v>35</v>
      </c>
      <c r="F968" t="s">
        <v>38</v>
      </c>
      <c r="G968" s="6">
        <v>62</v>
      </c>
      <c r="H968" s="4">
        <v>95.36</v>
      </c>
      <c r="I968" t="s">
        <v>18</v>
      </c>
      <c r="J968" s="6">
        <v>1</v>
      </c>
      <c r="K968" s="6">
        <v>5</v>
      </c>
      <c r="L968" t="s">
        <v>24</v>
      </c>
      <c r="M968" s="2">
        <v>45711</v>
      </c>
    </row>
    <row r="969" spans="1:13" x14ac:dyDescent="0.25">
      <c r="A969" t="s">
        <v>998</v>
      </c>
      <c r="B969" t="s">
        <v>14</v>
      </c>
      <c r="C969" s="6">
        <v>62</v>
      </c>
      <c r="D969" t="s">
        <v>30</v>
      </c>
      <c r="E969" t="s">
        <v>22</v>
      </c>
      <c r="F969" t="s">
        <v>17</v>
      </c>
      <c r="G969" s="6">
        <v>72</v>
      </c>
      <c r="H969" s="4">
        <v>41.11</v>
      </c>
      <c r="I969" t="s">
        <v>23</v>
      </c>
      <c r="J969" s="6">
        <v>2</v>
      </c>
      <c r="K969" s="6">
        <v>2</v>
      </c>
      <c r="L969" t="s">
        <v>24</v>
      </c>
      <c r="M969" s="2">
        <v>45507</v>
      </c>
    </row>
    <row r="970" spans="1:13" x14ac:dyDescent="0.25">
      <c r="A970" t="s">
        <v>999</v>
      </c>
      <c r="B970" t="s">
        <v>14</v>
      </c>
      <c r="C970" s="6">
        <v>37</v>
      </c>
      <c r="D970" t="s">
        <v>15</v>
      </c>
      <c r="E970" t="s">
        <v>22</v>
      </c>
      <c r="F970" t="s">
        <v>17</v>
      </c>
      <c r="G970" s="6">
        <v>63</v>
      </c>
      <c r="H970" s="4">
        <v>39.35</v>
      </c>
      <c r="I970" t="s">
        <v>46</v>
      </c>
      <c r="J970" s="6">
        <v>1</v>
      </c>
      <c r="K970" s="6">
        <v>1</v>
      </c>
      <c r="L970" t="s">
        <v>19</v>
      </c>
      <c r="M970" s="2">
        <v>45433</v>
      </c>
    </row>
    <row r="971" spans="1:13" x14ac:dyDescent="0.25">
      <c r="A971" t="s">
        <v>1000</v>
      </c>
      <c r="B971" t="s">
        <v>14</v>
      </c>
      <c r="C971" s="6">
        <v>51</v>
      </c>
      <c r="D971" t="s">
        <v>21</v>
      </c>
      <c r="E971" t="s">
        <v>16</v>
      </c>
      <c r="F971" t="s">
        <v>17</v>
      </c>
      <c r="G971" s="6">
        <v>14</v>
      </c>
      <c r="H971" s="4">
        <v>37.11</v>
      </c>
      <c r="I971" t="s">
        <v>23</v>
      </c>
      <c r="J971" s="6">
        <v>6</v>
      </c>
      <c r="K971" s="6">
        <v>1</v>
      </c>
      <c r="L971" t="s">
        <v>24</v>
      </c>
      <c r="M971" s="2">
        <v>44811</v>
      </c>
    </row>
    <row r="972" spans="1:13" x14ac:dyDescent="0.25">
      <c r="A972" t="s">
        <v>1001</v>
      </c>
      <c r="B972" t="s">
        <v>26</v>
      </c>
      <c r="C972" s="6">
        <v>48</v>
      </c>
      <c r="D972" t="s">
        <v>30</v>
      </c>
      <c r="E972" t="s">
        <v>16</v>
      </c>
      <c r="F972" t="s">
        <v>38</v>
      </c>
      <c r="G972" s="6">
        <v>34</v>
      </c>
      <c r="H972" s="4">
        <v>97.33</v>
      </c>
      <c r="I972" t="s">
        <v>23</v>
      </c>
      <c r="J972" s="6">
        <v>1</v>
      </c>
      <c r="K972" s="6">
        <v>4</v>
      </c>
      <c r="L972" t="s">
        <v>19</v>
      </c>
      <c r="M972" s="2">
        <v>44241</v>
      </c>
    </row>
    <row r="973" spans="1:13" x14ac:dyDescent="0.25">
      <c r="A973" t="s">
        <v>1002</v>
      </c>
      <c r="B973" t="s">
        <v>14</v>
      </c>
      <c r="C973" s="6">
        <v>27</v>
      </c>
      <c r="D973" t="s">
        <v>30</v>
      </c>
      <c r="E973" t="s">
        <v>16</v>
      </c>
      <c r="F973" t="s">
        <v>38</v>
      </c>
      <c r="G973" s="6">
        <v>70</v>
      </c>
      <c r="H973" s="4">
        <v>88.01</v>
      </c>
      <c r="I973" t="s">
        <v>23</v>
      </c>
      <c r="J973" s="6">
        <v>4</v>
      </c>
      <c r="K973" s="6">
        <v>3</v>
      </c>
      <c r="L973" t="s">
        <v>24</v>
      </c>
      <c r="M973" s="2">
        <v>45402</v>
      </c>
    </row>
    <row r="974" spans="1:13" x14ac:dyDescent="0.25">
      <c r="A974" t="s">
        <v>1003</v>
      </c>
      <c r="B974" t="s">
        <v>26</v>
      </c>
      <c r="C974" s="6">
        <v>41</v>
      </c>
      <c r="D974" t="s">
        <v>15</v>
      </c>
      <c r="E974" t="s">
        <v>35</v>
      </c>
      <c r="F974" t="s">
        <v>28</v>
      </c>
      <c r="G974" s="6">
        <v>14</v>
      </c>
      <c r="H974" s="4">
        <v>61.96</v>
      </c>
      <c r="I974" t="s">
        <v>23</v>
      </c>
      <c r="J974" s="6">
        <v>2</v>
      </c>
      <c r="K974" s="6">
        <v>1</v>
      </c>
      <c r="L974" t="s">
        <v>24</v>
      </c>
      <c r="M974" s="2">
        <v>44443</v>
      </c>
    </row>
    <row r="975" spans="1:13" x14ac:dyDescent="0.25">
      <c r="A975" t="s">
        <v>1004</v>
      </c>
      <c r="B975" t="s">
        <v>26</v>
      </c>
      <c r="C975" s="6">
        <v>18</v>
      </c>
      <c r="D975" t="s">
        <v>15</v>
      </c>
      <c r="E975" t="s">
        <v>16</v>
      </c>
      <c r="F975" t="s">
        <v>38</v>
      </c>
      <c r="G975" s="6">
        <v>57</v>
      </c>
      <c r="H975" s="4">
        <v>85.64</v>
      </c>
      <c r="I975" t="s">
        <v>31</v>
      </c>
      <c r="J975" s="6">
        <v>2</v>
      </c>
      <c r="K975" s="6">
        <v>4</v>
      </c>
      <c r="L975" t="s">
        <v>24</v>
      </c>
      <c r="M975" s="2">
        <v>45135</v>
      </c>
    </row>
    <row r="976" spans="1:13" x14ac:dyDescent="0.25">
      <c r="A976" t="s">
        <v>1005</v>
      </c>
      <c r="B976" t="s">
        <v>26</v>
      </c>
      <c r="C976" s="6">
        <v>18</v>
      </c>
      <c r="D976" t="s">
        <v>30</v>
      </c>
      <c r="E976" t="s">
        <v>35</v>
      </c>
      <c r="F976" t="s">
        <v>38</v>
      </c>
      <c r="G976" s="6">
        <v>65</v>
      </c>
      <c r="H976" s="4">
        <v>88.16</v>
      </c>
      <c r="I976" t="s">
        <v>23</v>
      </c>
      <c r="J976" s="6">
        <v>8</v>
      </c>
      <c r="K976" s="6">
        <v>1</v>
      </c>
      <c r="L976" t="s">
        <v>19</v>
      </c>
      <c r="M976" s="2">
        <v>44507</v>
      </c>
    </row>
    <row r="977" spans="1:13" x14ac:dyDescent="0.25">
      <c r="A977" t="s">
        <v>1006</v>
      </c>
      <c r="B977" t="s">
        <v>26</v>
      </c>
      <c r="C977" s="6">
        <v>59</v>
      </c>
      <c r="D977" t="s">
        <v>15</v>
      </c>
      <c r="E977" t="s">
        <v>35</v>
      </c>
      <c r="F977" t="s">
        <v>38</v>
      </c>
      <c r="G977" s="6">
        <v>18</v>
      </c>
      <c r="H977" s="4">
        <v>89.18</v>
      </c>
      <c r="I977" t="s">
        <v>31</v>
      </c>
      <c r="J977" s="6">
        <v>6</v>
      </c>
      <c r="K977" s="6">
        <v>1</v>
      </c>
      <c r="L977" t="s">
        <v>24</v>
      </c>
      <c r="M977" s="2">
        <v>45518</v>
      </c>
    </row>
    <row r="978" spans="1:13" x14ac:dyDescent="0.25">
      <c r="A978" t="s">
        <v>1007</v>
      </c>
      <c r="B978" t="s">
        <v>26</v>
      </c>
      <c r="C978" s="6">
        <v>42</v>
      </c>
      <c r="D978" t="s">
        <v>34</v>
      </c>
      <c r="E978" t="s">
        <v>22</v>
      </c>
      <c r="F978" t="s">
        <v>38</v>
      </c>
      <c r="G978" s="6">
        <v>24</v>
      </c>
      <c r="H978" s="4">
        <v>93.64</v>
      </c>
      <c r="I978" t="s">
        <v>31</v>
      </c>
      <c r="J978" s="6">
        <v>2</v>
      </c>
      <c r="K978" s="6">
        <v>3</v>
      </c>
      <c r="L978" t="s">
        <v>24</v>
      </c>
      <c r="M978" s="2">
        <v>45386</v>
      </c>
    </row>
    <row r="979" spans="1:13" x14ac:dyDescent="0.25">
      <c r="A979" t="s">
        <v>1008</v>
      </c>
      <c r="B979" t="s">
        <v>26</v>
      </c>
      <c r="C979" s="6">
        <v>55</v>
      </c>
      <c r="D979" t="s">
        <v>34</v>
      </c>
      <c r="E979" t="s">
        <v>16</v>
      </c>
      <c r="F979" t="s">
        <v>17</v>
      </c>
      <c r="G979" s="6">
        <v>4</v>
      </c>
      <c r="H979" s="4">
        <v>42.78</v>
      </c>
      <c r="I979" t="s">
        <v>46</v>
      </c>
      <c r="J979" s="6">
        <v>3</v>
      </c>
      <c r="K979" s="6">
        <v>1</v>
      </c>
      <c r="L979" t="s">
        <v>24</v>
      </c>
      <c r="M979" s="2">
        <v>45219</v>
      </c>
    </row>
    <row r="980" spans="1:13" x14ac:dyDescent="0.25">
      <c r="A980" t="s">
        <v>1009</v>
      </c>
      <c r="B980" t="s">
        <v>26</v>
      </c>
      <c r="C980" s="6">
        <v>38</v>
      </c>
      <c r="D980" t="s">
        <v>30</v>
      </c>
      <c r="E980" t="s">
        <v>22</v>
      </c>
      <c r="F980" t="s">
        <v>17</v>
      </c>
      <c r="G980" s="6">
        <v>14</v>
      </c>
      <c r="H980" s="4">
        <v>43.5</v>
      </c>
      <c r="I980" t="s">
        <v>46</v>
      </c>
      <c r="J980" s="6">
        <v>6</v>
      </c>
      <c r="K980" s="6">
        <v>4</v>
      </c>
      <c r="L980" t="s">
        <v>24</v>
      </c>
      <c r="M980" s="2">
        <v>44323</v>
      </c>
    </row>
    <row r="981" spans="1:13" x14ac:dyDescent="0.25">
      <c r="A981" t="s">
        <v>1010</v>
      </c>
      <c r="B981" t="s">
        <v>26</v>
      </c>
      <c r="C981" s="6">
        <v>25</v>
      </c>
      <c r="D981" t="s">
        <v>21</v>
      </c>
      <c r="E981" t="s">
        <v>22</v>
      </c>
      <c r="F981" t="s">
        <v>17</v>
      </c>
      <c r="G981" s="6">
        <v>57</v>
      </c>
      <c r="H981" s="4">
        <v>41.45</v>
      </c>
      <c r="I981" t="s">
        <v>18</v>
      </c>
      <c r="J981" s="6">
        <v>2</v>
      </c>
      <c r="K981" s="6">
        <v>3</v>
      </c>
      <c r="L981" t="s">
        <v>24</v>
      </c>
      <c r="M981" s="2">
        <v>45117</v>
      </c>
    </row>
    <row r="982" spans="1:13" x14ac:dyDescent="0.25">
      <c r="A982" t="s">
        <v>1011</v>
      </c>
      <c r="B982" t="s">
        <v>26</v>
      </c>
      <c r="C982" s="6">
        <v>26</v>
      </c>
      <c r="D982" t="s">
        <v>30</v>
      </c>
      <c r="E982" t="s">
        <v>16</v>
      </c>
      <c r="F982" t="s">
        <v>28</v>
      </c>
      <c r="G982" s="6">
        <v>63</v>
      </c>
      <c r="H982" s="4">
        <v>61.56</v>
      </c>
      <c r="I982" t="s">
        <v>31</v>
      </c>
      <c r="J982" s="6">
        <v>3</v>
      </c>
      <c r="K982" s="6">
        <v>2</v>
      </c>
      <c r="L982" t="s">
        <v>24</v>
      </c>
      <c r="M982" s="2">
        <v>45085</v>
      </c>
    </row>
    <row r="983" spans="1:13" x14ac:dyDescent="0.25">
      <c r="A983" t="s">
        <v>1012</v>
      </c>
      <c r="B983" t="s">
        <v>14</v>
      </c>
      <c r="C983" s="6">
        <v>23</v>
      </c>
      <c r="D983" t="s">
        <v>21</v>
      </c>
      <c r="E983" t="s">
        <v>22</v>
      </c>
      <c r="F983" t="s">
        <v>38</v>
      </c>
      <c r="G983" s="6">
        <v>13</v>
      </c>
      <c r="H983" s="4">
        <v>88.05</v>
      </c>
      <c r="I983" t="s">
        <v>46</v>
      </c>
      <c r="J983" s="6">
        <v>0</v>
      </c>
      <c r="K983" s="6">
        <v>3</v>
      </c>
      <c r="L983" t="s">
        <v>24</v>
      </c>
      <c r="M983" s="2">
        <v>45360</v>
      </c>
    </row>
    <row r="984" spans="1:13" x14ac:dyDescent="0.25">
      <c r="A984" t="s">
        <v>1013</v>
      </c>
      <c r="B984" t="s">
        <v>14</v>
      </c>
      <c r="C984" s="6">
        <v>39</v>
      </c>
      <c r="D984" t="s">
        <v>30</v>
      </c>
      <c r="E984" t="s">
        <v>22</v>
      </c>
      <c r="F984" t="s">
        <v>38</v>
      </c>
      <c r="G984" s="6">
        <v>68</v>
      </c>
      <c r="H984" s="4">
        <v>92.44</v>
      </c>
      <c r="I984" t="s">
        <v>46</v>
      </c>
      <c r="J984" s="6">
        <v>7</v>
      </c>
      <c r="K984" s="6">
        <v>5</v>
      </c>
      <c r="L984" t="s">
        <v>24</v>
      </c>
      <c r="M984" s="2">
        <v>45463</v>
      </c>
    </row>
    <row r="985" spans="1:13" x14ac:dyDescent="0.25">
      <c r="A985" t="s">
        <v>1014</v>
      </c>
      <c r="B985" t="s">
        <v>14</v>
      </c>
      <c r="C985" s="6">
        <v>69</v>
      </c>
      <c r="D985" t="s">
        <v>21</v>
      </c>
      <c r="E985" t="s">
        <v>35</v>
      </c>
      <c r="F985" t="s">
        <v>28</v>
      </c>
      <c r="G985" s="6">
        <v>49</v>
      </c>
      <c r="H985" s="4">
        <v>68.11</v>
      </c>
      <c r="I985" t="s">
        <v>18</v>
      </c>
      <c r="J985" s="6">
        <v>2</v>
      </c>
      <c r="K985" s="6">
        <v>5</v>
      </c>
      <c r="L985" t="s">
        <v>24</v>
      </c>
      <c r="M985" s="2">
        <v>44438</v>
      </c>
    </row>
    <row r="986" spans="1:13" x14ac:dyDescent="0.25">
      <c r="A986" t="s">
        <v>1015</v>
      </c>
      <c r="B986" t="s">
        <v>26</v>
      </c>
      <c r="C986" s="6">
        <v>32</v>
      </c>
      <c r="D986" t="s">
        <v>21</v>
      </c>
      <c r="E986" t="s">
        <v>22</v>
      </c>
      <c r="F986" t="s">
        <v>38</v>
      </c>
      <c r="G986" s="6">
        <v>43</v>
      </c>
      <c r="H986" s="4">
        <v>85.34</v>
      </c>
      <c r="I986" t="s">
        <v>31</v>
      </c>
      <c r="J986" s="6">
        <v>4</v>
      </c>
      <c r="K986" s="6">
        <v>4</v>
      </c>
      <c r="L986" t="s">
        <v>24</v>
      </c>
      <c r="M986" s="2">
        <v>44336</v>
      </c>
    </row>
    <row r="987" spans="1:13" x14ac:dyDescent="0.25">
      <c r="A987" t="s">
        <v>1016</v>
      </c>
      <c r="B987" t="s">
        <v>14</v>
      </c>
      <c r="C987" s="6">
        <v>36</v>
      </c>
      <c r="D987" t="s">
        <v>21</v>
      </c>
      <c r="E987" t="s">
        <v>22</v>
      </c>
      <c r="F987" t="s">
        <v>38</v>
      </c>
      <c r="G987" s="6">
        <v>31</v>
      </c>
      <c r="H987" s="4">
        <v>97.8</v>
      </c>
      <c r="I987" t="s">
        <v>31</v>
      </c>
      <c r="J987" s="6">
        <v>6</v>
      </c>
      <c r="K987" s="6">
        <v>5</v>
      </c>
      <c r="L987" t="s">
        <v>19</v>
      </c>
      <c r="M987" s="2">
        <v>45625</v>
      </c>
    </row>
    <row r="988" spans="1:13" x14ac:dyDescent="0.25">
      <c r="A988" t="s">
        <v>1017</v>
      </c>
      <c r="B988" t="s">
        <v>14</v>
      </c>
      <c r="C988" s="6">
        <v>55</v>
      </c>
      <c r="D988" t="s">
        <v>34</v>
      </c>
      <c r="E988" t="s">
        <v>35</v>
      </c>
      <c r="F988" t="s">
        <v>38</v>
      </c>
      <c r="G988" s="6">
        <v>4</v>
      </c>
      <c r="H988" s="4">
        <v>85.48</v>
      </c>
      <c r="I988" t="s">
        <v>23</v>
      </c>
      <c r="J988" s="6">
        <v>4</v>
      </c>
      <c r="K988" s="6">
        <v>2</v>
      </c>
      <c r="L988" t="s">
        <v>24</v>
      </c>
      <c r="M988" s="2">
        <v>45763</v>
      </c>
    </row>
    <row r="989" spans="1:13" x14ac:dyDescent="0.25">
      <c r="A989" t="s">
        <v>1018</v>
      </c>
      <c r="B989" t="s">
        <v>14</v>
      </c>
      <c r="C989" s="6">
        <v>26</v>
      </c>
      <c r="D989" t="s">
        <v>30</v>
      </c>
      <c r="E989" t="s">
        <v>22</v>
      </c>
      <c r="F989" t="s">
        <v>38</v>
      </c>
      <c r="G989" s="6">
        <v>43</v>
      </c>
      <c r="H989" s="4">
        <v>98.86</v>
      </c>
      <c r="I989" t="s">
        <v>18</v>
      </c>
      <c r="J989" s="6">
        <v>3</v>
      </c>
      <c r="K989" s="6">
        <v>4</v>
      </c>
      <c r="L989" t="s">
        <v>19</v>
      </c>
      <c r="M989" s="2">
        <v>45351</v>
      </c>
    </row>
    <row r="990" spans="1:13" x14ac:dyDescent="0.25">
      <c r="A990" t="s">
        <v>1019</v>
      </c>
      <c r="B990" t="s">
        <v>14</v>
      </c>
      <c r="C990" s="6">
        <v>40</v>
      </c>
      <c r="D990" t="s">
        <v>21</v>
      </c>
      <c r="E990" t="s">
        <v>35</v>
      </c>
      <c r="F990" t="s">
        <v>38</v>
      </c>
      <c r="G990" s="6">
        <v>11</v>
      </c>
      <c r="H990" s="4">
        <v>98.31</v>
      </c>
      <c r="I990" t="s">
        <v>23</v>
      </c>
      <c r="J990" s="6">
        <v>2</v>
      </c>
      <c r="K990" s="6">
        <v>3</v>
      </c>
      <c r="L990" t="s">
        <v>24</v>
      </c>
      <c r="M990" s="2">
        <v>44410</v>
      </c>
    </row>
    <row r="991" spans="1:13" x14ac:dyDescent="0.25">
      <c r="A991" t="s">
        <v>1020</v>
      </c>
      <c r="B991" t="s">
        <v>14</v>
      </c>
      <c r="C991" s="6">
        <v>49</v>
      </c>
      <c r="D991" t="s">
        <v>30</v>
      </c>
      <c r="E991" t="s">
        <v>22</v>
      </c>
      <c r="F991" t="s">
        <v>28</v>
      </c>
      <c r="G991" s="6">
        <v>56</v>
      </c>
      <c r="H991" s="4">
        <v>62.16</v>
      </c>
      <c r="I991" t="s">
        <v>46</v>
      </c>
      <c r="J991" s="6">
        <v>0</v>
      </c>
      <c r="K991" s="6">
        <v>1</v>
      </c>
      <c r="L991" t="s">
        <v>19</v>
      </c>
      <c r="M991" s="2">
        <v>45798</v>
      </c>
    </row>
    <row r="992" spans="1:13" x14ac:dyDescent="0.25">
      <c r="A992" t="s">
        <v>1021</v>
      </c>
      <c r="B992" t="s">
        <v>14</v>
      </c>
      <c r="C992" s="6">
        <v>52</v>
      </c>
      <c r="D992" t="s">
        <v>34</v>
      </c>
      <c r="E992" t="s">
        <v>22</v>
      </c>
      <c r="F992" t="s">
        <v>38</v>
      </c>
      <c r="G992" s="6">
        <v>3</v>
      </c>
      <c r="H992" s="4">
        <v>93.29</v>
      </c>
      <c r="I992" t="s">
        <v>18</v>
      </c>
      <c r="J992" s="6">
        <v>6</v>
      </c>
      <c r="K992" s="6">
        <v>4</v>
      </c>
      <c r="L992" t="s">
        <v>24</v>
      </c>
      <c r="M992" s="2">
        <v>45077</v>
      </c>
    </row>
    <row r="993" spans="1:13" x14ac:dyDescent="0.25">
      <c r="A993" t="s">
        <v>1022</v>
      </c>
      <c r="B993" t="s">
        <v>26</v>
      </c>
      <c r="C993" s="6">
        <v>53</v>
      </c>
      <c r="D993" t="s">
        <v>30</v>
      </c>
      <c r="E993" t="s">
        <v>16</v>
      </c>
      <c r="F993" t="s">
        <v>28</v>
      </c>
      <c r="G993" s="6">
        <v>16</v>
      </c>
      <c r="H993" s="4">
        <v>68.459999999999994</v>
      </c>
      <c r="I993" t="s">
        <v>31</v>
      </c>
      <c r="J993" s="6">
        <v>5</v>
      </c>
      <c r="K993" s="6">
        <v>2</v>
      </c>
      <c r="L993" t="s">
        <v>19</v>
      </c>
      <c r="M993" s="2">
        <v>44315</v>
      </c>
    </row>
    <row r="994" spans="1:13" x14ac:dyDescent="0.25">
      <c r="A994" t="s">
        <v>1023</v>
      </c>
      <c r="B994" t="s">
        <v>14</v>
      </c>
      <c r="C994" s="6">
        <v>32</v>
      </c>
      <c r="D994" t="s">
        <v>21</v>
      </c>
      <c r="E994" t="s">
        <v>22</v>
      </c>
      <c r="F994" t="s">
        <v>17</v>
      </c>
      <c r="G994" s="6">
        <v>30</v>
      </c>
      <c r="H994" s="4">
        <v>36.200000000000003</v>
      </c>
      <c r="I994" t="s">
        <v>18</v>
      </c>
      <c r="J994" s="6">
        <v>0</v>
      </c>
      <c r="K994" s="6">
        <v>2</v>
      </c>
      <c r="L994" t="s">
        <v>24</v>
      </c>
      <c r="M994" s="2">
        <v>44353</v>
      </c>
    </row>
    <row r="995" spans="1:13" x14ac:dyDescent="0.25">
      <c r="A995" t="s">
        <v>1024</v>
      </c>
      <c r="B995" t="s">
        <v>14</v>
      </c>
      <c r="C995" s="6">
        <v>26</v>
      </c>
      <c r="D995" t="s">
        <v>34</v>
      </c>
      <c r="E995" t="s">
        <v>16</v>
      </c>
      <c r="F995" t="s">
        <v>28</v>
      </c>
      <c r="G995" s="6">
        <v>6</v>
      </c>
      <c r="H995" s="4">
        <v>59.71</v>
      </c>
      <c r="I995" t="s">
        <v>46</v>
      </c>
      <c r="J995" s="6">
        <v>4</v>
      </c>
      <c r="K995" s="6">
        <v>2</v>
      </c>
      <c r="L995" t="s">
        <v>24</v>
      </c>
      <c r="M995" s="2">
        <v>45177</v>
      </c>
    </row>
    <row r="996" spans="1:13" x14ac:dyDescent="0.25">
      <c r="A996" t="s">
        <v>1025</v>
      </c>
      <c r="B996" t="s">
        <v>14</v>
      </c>
      <c r="C996" s="6">
        <v>60</v>
      </c>
      <c r="D996" t="s">
        <v>21</v>
      </c>
      <c r="E996" t="s">
        <v>16</v>
      </c>
      <c r="F996" t="s">
        <v>28</v>
      </c>
      <c r="G996" s="6">
        <v>70</v>
      </c>
      <c r="H996" s="4">
        <v>58.09</v>
      </c>
      <c r="I996" t="s">
        <v>31</v>
      </c>
      <c r="J996" s="6">
        <v>3</v>
      </c>
      <c r="K996" s="6">
        <v>4</v>
      </c>
      <c r="L996" t="s">
        <v>24</v>
      </c>
      <c r="M996" s="2">
        <v>44948</v>
      </c>
    </row>
    <row r="997" spans="1:13" x14ac:dyDescent="0.25">
      <c r="A997" t="s">
        <v>1026</v>
      </c>
      <c r="B997" t="s">
        <v>26</v>
      </c>
      <c r="C997" s="6">
        <v>59</v>
      </c>
      <c r="D997" t="s">
        <v>30</v>
      </c>
      <c r="E997" t="s">
        <v>22</v>
      </c>
      <c r="F997" t="s">
        <v>28</v>
      </c>
      <c r="G997" s="6">
        <v>41</v>
      </c>
      <c r="H997" s="4">
        <v>65.47</v>
      </c>
      <c r="I997" t="s">
        <v>18</v>
      </c>
      <c r="J997" s="6">
        <v>0</v>
      </c>
      <c r="K997" s="6">
        <v>3</v>
      </c>
      <c r="L997" t="s">
        <v>24</v>
      </c>
      <c r="M997" s="2">
        <v>45641</v>
      </c>
    </row>
    <row r="998" spans="1:13" x14ac:dyDescent="0.25">
      <c r="A998" t="s">
        <v>1027</v>
      </c>
      <c r="B998" t="s">
        <v>26</v>
      </c>
      <c r="C998" s="6">
        <v>35</v>
      </c>
      <c r="D998" t="s">
        <v>21</v>
      </c>
      <c r="E998" t="s">
        <v>16</v>
      </c>
      <c r="F998" t="s">
        <v>17</v>
      </c>
      <c r="G998" s="6">
        <v>67</v>
      </c>
      <c r="H998" s="4">
        <v>33.46</v>
      </c>
      <c r="I998" t="s">
        <v>46</v>
      </c>
      <c r="J998" s="6">
        <v>1</v>
      </c>
      <c r="K998" s="6">
        <v>3</v>
      </c>
      <c r="L998" t="s">
        <v>24</v>
      </c>
      <c r="M998" s="2">
        <v>45810</v>
      </c>
    </row>
    <row r="999" spans="1:13" x14ac:dyDescent="0.25">
      <c r="A999" t="s">
        <v>1028</v>
      </c>
      <c r="B999" t="s">
        <v>14</v>
      </c>
      <c r="C999" s="6">
        <v>20</v>
      </c>
      <c r="D999" t="s">
        <v>30</v>
      </c>
      <c r="E999" t="s">
        <v>22</v>
      </c>
      <c r="F999" t="s">
        <v>28</v>
      </c>
      <c r="G999" s="6">
        <v>59</v>
      </c>
      <c r="H999" s="4">
        <v>69.3</v>
      </c>
      <c r="I999" t="s">
        <v>18</v>
      </c>
      <c r="J999" s="6">
        <v>7</v>
      </c>
      <c r="K999" s="6">
        <v>1</v>
      </c>
      <c r="L999" t="s">
        <v>24</v>
      </c>
      <c r="M999" s="2">
        <v>45401</v>
      </c>
    </row>
    <row r="1000" spans="1:13" x14ac:dyDescent="0.25">
      <c r="A1000" t="s">
        <v>1029</v>
      </c>
      <c r="B1000" t="s">
        <v>26</v>
      </c>
      <c r="C1000" s="6">
        <v>37</v>
      </c>
      <c r="D1000" t="s">
        <v>21</v>
      </c>
      <c r="E1000" t="s">
        <v>16</v>
      </c>
      <c r="F1000" t="s">
        <v>28</v>
      </c>
      <c r="G1000" s="6">
        <v>50</v>
      </c>
      <c r="H1000" s="4">
        <v>62.43</v>
      </c>
      <c r="I1000" t="s">
        <v>23</v>
      </c>
      <c r="J1000" s="6">
        <v>6</v>
      </c>
      <c r="K1000" s="6">
        <v>4</v>
      </c>
      <c r="L1000" t="s">
        <v>19</v>
      </c>
      <c r="M1000" s="2">
        <v>44618</v>
      </c>
    </row>
    <row r="1001" spans="1:13" x14ac:dyDescent="0.25">
      <c r="A1001" t="s">
        <v>1030</v>
      </c>
      <c r="B1001" t="s">
        <v>26</v>
      </c>
      <c r="C1001" s="6">
        <v>29</v>
      </c>
      <c r="D1001" t="s">
        <v>34</v>
      </c>
      <c r="E1001" t="s">
        <v>22</v>
      </c>
      <c r="F1001" t="s">
        <v>17</v>
      </c>
      <c r="G1001" s="6">
        <v>40</v>
      </c>
      <c r="H1001" s="4">
        <v>30.47</v>
      </c>
      <c r="I1001" t="s">
        <v>31</v>
      </c>
      <c r="J1001" s="6">
        <v>0</v>
      </c>
      <c r="K1001" s="6">
        <v>5</v>
      </c>
      <c r="L1001" t="s">
        <v>24</v>
      </c>
      <c r="M1001" s="2">
        <v>44885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FC8-71A3-4A45-8123-C22CC02C0238}">
  <dimension ref="B2:U7"/>
  <sheetViews>
    <sheetView zoomScale="90" zoomScaleNormal="90" workbookViewId="0">
      <selection activeCell="U3" sqref="U3"/>
    </sheetView>
  </sheetViews>
  <sheetFormatPr defaultRowHeight="15" x14ac:dyDescent="0.25"/>
  <cols>
    <col min="2" max="2" width="25" bestFit="1" customWidth="1"/>
    <col min="3" max="3" width="15.42578125" bestFit="1" customWidth="1"/>
    <col min="5" max="5" width="34.85546875" bestFit="1" customWidth="1"/>
    <col min="6" max="6" width="24" bestFit="1" customWidth="1"/>
    <col min="8" max="8" width="28.140625" bestFit="1" customWidth="1"/>
    <col min="9" max="9" width="18.7109375" bestFit="1" customWidth="1"/>
    <col min="11" max="11" width="24.5703125" bestFit="1" customWidth="1"/>
    <col min="12" max="12" width="18.7109375" bestFit="1" customWidth="1"/>
    <col min="14" max="14" width="19.7109375" bestFit="1" customWidth="1"/>
    <col min="17" max="17" width="33.28515625" bestFit="1" customWidth="1"/>
    <col min="18" max="18" width="24" bestFit="1" customWidth="1"/>
    <col min="20" max="20" width="50" bestFit="1" customWidth="1"/>
  </cols>
  <sheetData>
    <row r="2" spans="2:21" ht="15.75" x14ac:dyDescent="0.25">
      <c r="B2" s="11" t="s">
        <v>1031</v>
      </c>
      <c r="E2" s="11" t="s">
        <v>1034</v>
      </c>
      <c r="H2" s="11" t="s">
        <v>1036</v>
      </c>
      <c r="K2" s="11" t="s">
        <v>1038</v>
      </c>
      <c r="N2" s="11" t="s">
        <v>1040</v>
      </c>
      <c r="Q2" s="11" t="s">
        <v>1042</v>
      </c>
      <c r="T2" s="11" t="s">
        <v>1044</v>
      </c>
    </row>
    <row r="3" spans="2:21" x14ac:dyDescent="0.25">
      <c r="B3" s="10" t="s">
        <v>1032</v>
      </c>
      <c r="C3" s="10" t="s">
        <v>1033</v>
      </c>
      <c r="E3" s="10" t="s">
        <v>1032</v>
      </c>
      <c r="F3" s="10" t="s">
        <v>1035</v>
      </c>
      <c r="H3" s="10" t="s">
        <v>1032</v>
      </c>
      <c r="I3" s="10" t="s">
        <v>1037</v>
      </c>
      <c r="K3" s="10" t="s">
        <v>1039</v>
      </c>
      <c r="L3" s="10" t="s">
        <v>1037</v>
      </c>
      <c r="N3" s="10" t="s">
        <v>1041</v>
      </c>
      <c r="Q3" s="10" t="s">
        <v>11</v>
      </c>
      <c r="R3" s="10" t="s">
        <v>1043</v>
      </c>
      <c r="T3" s="10" t="s">
        <v>1045</v>
      </c>
      <c r="U3" s="10" t="s">
        <v>3</v>
      </c>
    </row>
    <row r="4" spans="2:21" x14ac:dyDescent="0.25">
      <c r="B4" t="s">
        <v>17</v>
      </c>
      <c r="C4">
        <f>COUNTIF('Raw Data'!F:F,B4)</f>
        <v>318</v>
      </c>
      <c r="E4" t="s">
        <v>17</v>
      </c>
      <c r="F4" s="7">
        <f>AVERAGEIF('Raw Data'!F:F,E4,'Raw Data'!H:H)</f>
        <v>37.326635220125802</v>
      </c>
      <c r="H4" t="s">
        <v>17</v>
      </c>
      <c r="I4">
        <f>COUNTIFS('Raw Data'!F:F,H4,'Raw Data'!L:L,"yes")</f>
        <v>67</v>
      </c>
      <c r="K4" t="s">
        <v>16</v>
      </c>
      <c r="L4">
        <f>COUNTIFS('Raw Data'!E:E,K4,'Raw Data'!L:L,"yes")</f>
        <v>118</v>
      </c>
      <c r="N4" s="8">
        <f>COUNTIF('Raw Data'!L:L,"Yes")/(COUNTA('Raw Data'!A:A)-1)</f>
        <v>0.24</v>
      </c>
      <c r="Q4" t="s">
        <v>24</v>
      </c>
      <c r="R4" s="9">
        <f>AVERAGEIF('Raw Data'!L:L,Q4,'Raw Data'!G:G)</f>
        <v>35.39473684210526</v>
      </c>
      <c r="T4" t="s">
        <v>21</v>
      </c>
      <c r="U4">
        <f>COUNTIFS('Raw Data'!D:D,T4,'Raw Data'!L:L,"Yes")</f>
        <v>68</v>
      </c>
    </row>
    <row r="5" spans="2:21" x14ac:dyDescent="0.25">
      <c r="B5" t="s">
        <v>28</v>
      </c>
      <c r="C5">
        <f>COUNTIF('Raw Data'!F:F,B5)</f>
        <v>341</v>
      </c>
      <c r="E5" t="s">
        <v>28</v>
      </c>
      <c r="F5" s="7">
        <f>AVERAGEIF('Raw Data'!F:F,E5,'Raw Data'!H:H)</f>
        <v>63.158123167155445</v>
      </c>
      <c r="H5" t="s">
        <v>28</v>
      </c>
      <c r="I5">
        <f>COUNTIFS('Raw Data'!F:F,H5,'Raw Data'!L:L,"yes")</f>
        <v>86</v>
      </c>
      <c r="K5" t="s">
        <v>35</v>
      </c>
      <c r="L5">
        <f>COUNTIFS('Raw Data'!E:E,K5,'Raw Data'!L:L,"yes")</f>
        <v>67</v>
      </c>
      <c r="Q5" t="s">
        <v>19</v>
      </c>
      <c r="R5" s="9">
        <f>AVERAGEIF('Raw Data'!L:L,Q5,'Raw Data'!G:G)</f>
        <v>36.891666666666666</v>
      </c>
      <c r="T5" t="s">
        <v>30</v>
      </c>
      <c r="U5">
        <f>COUNTIFS('Raw Data'!D:D,T5,'Raw Data'!L:L,"Yes")</f>
        <v>60</v>
      </c>
    </row>
    <row r="6" spans="2:21" x14ac:dyDescent="0.25">
      <c r="B6" t="s">
        <v>38</v>
      </c>
      <c r="C6">
        <f>COUNTIF('Raw Data'!F:F,B6)</f>
        <v>341</v>
      </c>
      <c r="E6" t="s">
        <v>38</v>
      </c>
      <c r="F6" s="7">
        <f>AVERAGEIF('Raw Data'!F:F,E6,'Raw Data'!H:H)</f>
        <v>92.367595307917867</v>
      </c>
      <c r="H6" t="s">
        <v>38</v>
      </c>
      <c r="I6">
        <f>COUNTIFS('Raw Data'!F:F,H6,'Raw Data'!L:L,"yes")</f>
        <v>87</v>
      </c>
      <c r="K6" t="s">
        <v>22</v>
      </c>
      <c r="L6">
        <f>COUNTIFS('Raw Data'!E:E,K6,'Raw Data'!L:L,"yes")</f>
        <v>55</v>
      </c>
      <c r="T6" t="s">
        <v>15</v>
      </c>
      <c r="U6">
        <f>COUNTIFS('Raw Data'!D:D,T6,'Raw Data'!L:L,"Yes")</f>
        <v>50</v>
      </c>
    </row>
    <row r="7" spans="2:21" x14ac:dyDescent="0.25">
      <c r="T7" t="s">
        <v>34</v>
      </c>
      <c r="U7">
        <f>COUNTIFS('Raw Data'!D:D,T7,'Raw Data'!L:L,"Yes")</f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E711-803E-4AB9-AA9D-902939974800}">
  <dimension ref="B2:E59"/>
  <sheetViews>
    <sheetView workbookViewId="0">
      <selection activeCell="I108" sqref="I108"/>
    </sheetView>
  </sheetViews>
  <sheetFormatPr defaultRowHeight="15" x14ac:dyDescent="0.25"/>
  <cols>
    <col min="2" max="2" width="20.7109375" bestFit="1" customWidth="1"/>
    <col min="3" max="3" width="27.7109375" bestFit="1" customWidth="1"/>
    <col min="4" max="4" width="4.140625" bestFit="1" customWidth="1"/>
    <col min="5" max="5" width="11.28515625" bestFit="1" customWidth="1"/>
  </cols>
  <sheetData>
    <row r="2" spans="2:5" x14ac:dyDescent="0.25">
      <c r="B2" s="12" t="s">
        <v>1032</v>
      </c>
      <c r="C2" t="s">
        <v>1047</v>
      </c>
    </row>
    <row r="3" spans="2:5" x14ac:dyDescent="0.25">
      <c r="B3" s="13" t="s">
        <v>17</v>
      </c>
      <c r="C3" s="14">
        <v>318</v>
      </c>
    </row>
    <row r="4" spans="2:5" x14ac:dyDescent="0.25">
      <c r="B4" s="13" t="s">
        <v>38</v>
      </c>
      <c r="C4" s="14">
        <v>341</v>
      </c>
    </row>
    <row r="5" spans="2:5" x14ac:dyDescent="0.25">
      <c r="B5" s="13" t="s">
        <v>28</v>
      </c>
      <c r="C5" s="14">
        <v>341</v>
      </c>
    </row>
    <row r="6" spans="2:5" x14ac:dyDescent="0.25">
      <c r="B6" s="13" t="s">
        <v>1046</v>
      </c>
      <c r="C6" s="14">
        <v>1000</v>
      </c>
    </row>
    <row r="10" spans="2:5" x14ac:dyDescent="0.25">
      <c r="B10" s="12" t="s">
        <v>1047</v>
      </c>
      <c r="C10" s="12" t="s">
        <v>1048</v>
      </c>
    </row>
    <row r="11" spans="2:5" x14ac:dyDescent="0.25">
      <c r="B11" s="12" t="s">
        <v>1032</v>
      </c>
      <c r="C11" t="s">
        <v>24</v>
      </c>
      <c r="D11" t="s">
        <v>19</v>
      </c>
      <c r="E11" t="s">
        <v>1046</v>
      </c>
    </row>
    <row r="12" spans="2:5" x14ac:dyDescent="0.25">
      <c r="B12" s="13" t="s">
        <v>17</v>
      </c>
      <c r="C12" s="14">
        <v>251</v>
      </c>
      <c r="D12" s="14">
        <v>67</v>
      </c>
      <c r="E12" s="14">
        <v>318</v>
      </c>
    </row>
    <row r="13" spans="2:5" x14ac:dyDescent="0.25">
      <c r="B13" s="13" t="s">
        <v>38</v>
      </c>
      <c r="C13" s="14">
        <v>254</v>
      </c>
      <c r="D13" s="14">
        <v>87</v>
      </c>
      <c r="E13" s="14">
        <v>341</v>
      </c>
    </row>
    <row r="14" spans="2:5" x14ac:dyDescent="0.25">
      <c r="B14" s="13" t="s">
        <v>28</v>
      </c>
      <c r="C14" s="14">
        <v>255</v>
      </c>
      <c r="D14" s="14">
        <v>86</v>
      </c>
      <c r="E14" s="14">
        <v>341</v>
      </c>
    </row>
    <row r="15" spans="2:5" x14ac:dyDescent="0.25">
      <c r="B15" s="13" t="s">
        <v>1046</v>
      </c>
      <c r="C15" s="14">
        <v>760</v>
      </c>
      <c r="D15" s="14">
        <v>240</v>
      </c>
      <c r="E15" s="14">
        <v>1000</v>
      </c>
    </row>
    <row r="19" spans="2:5" x14ac:dyDescent="0.25">
      <c r="B19" s="12" t="s">
        <v>1047</v>
      </c>
      <c r="C19" s="12" t="s">
        <v>1048</v>
      </c>
    </row>
    <row r="20" spans="2:5" x14ac:dyDescent="0.25">
      <c r="B20" s="12" t="s">
        <v>1039</v>
      </c>
      <c r="C20" t="s">
        <v>24</v>
      </c>
      <c r="D20" t="s">
        <v>19</v>
      </c>
      <c r="E20" t="s">
        <v>1046</v>
      </c>
    </row>
    <row r="21" spans="2:5" x14ac:dyDescent="0.25">
      <c r="B21" s="13" t="s">
        <v>16</v>
      </c>
      <c r="C21" s="14">
        <v>225</v>
      </c>
      <c r="D21" s="14">
        <v>118</v>
      </c>
      <c r="E21" s="14">
        <v>343</v>
      </c>
    </row>
    <row r="22" spans="2:5" x14ac:dyDescent="0.25">
      <c r="B22" s="13" t="s">
        <v>35</v>
      </c>
      <c r="C22" s="14">
        <v>253</v>
      </c>
      <c r="D22" s="14">
        <v>67</v>
      </c>
      <c r="E22" s="14">
        <v>320</v>
      </c>
    </row>
    <row r="23" spans="2:5" x14ac:dyDescent="0.25">
      <c r="B23" s="13" t="s">
        <v>22</v>
      </c>
      <c r="C23" s="14">
        <v>282</v>
      </c>
      <c r="D23" s="14">
        <v>55</v>
      </c>
      <c r="E23" s="14">
        <v>337</v>
      </c>
    </row>
    <row r="24" spans="2:5" x14ac:dyDescent="0.25">
      <c r="B24" s="13" t="s">
        <v>1046</v>
      </c>
      <c r="C24" s="14">
        <v>760</v>
      </c>
      <c r="D24" s="14">
        <v>240</v>
      </c>
      <c r="E24" s="14">
        <v>1000</v>
      </c>
    </row>
    <row r="28" spans="2:5" x14ac:dyDescent="0.25">
      <c r="B28" s="12" t="s">
        <v>1047</v>
      </c>
      <c r="C28" s="12" t="s">
        <v>1048</v>
      </c>
    </row>
    <row r="29" spans="2:5" x14ac:dyDescent="0.25">
      <c r="B29" s="12" t="s">
        <v>3</v>
      </c>
      <c r="C29" t="s">
        <v>24</v>
      </c>
      <c r="D29" t="s">
        <v>19</v>
      </c>
      <c r="E29" t="s">
        <v>1046</v>
      </c>
    </row>
    <row r="30" spans="2:5" x14ac:dyDescent="0.25">
      <c r="B30" s="13" t="s">
        <v>15</v>
      </c>
      <c r="C30" s="14">
        <v>180</v>
      </c>
      <c r="D30" s="14">
        <v>50</v>
      </c>
      <c r="E30" s="14">
        <v>230</v>
      </c>
    </row>
    <row r="31" spans="2:5" x14ac:dyDescent="0.25">
      <c r="B31" s="13" t="s">
        <v>21</v>
      </c>
      <c r="C31" s="14">
        <v>190</v>
      </c>
      <c r="D31" s="14">
        <v>68</v>
      </c>
      <c r="E31" s="14">
        <v>258</v>
      </c>
    </row>
    <row r="32" spans="2:5" x14ac:dyDescent="0.25">
      <c r="B32" s="13" t="s">
        <v>30</v>
      </c>
      <c r="C32" s="14">
        <v>193</v>
      </c>
      <c r="D32" s="14">
        <v>60</v>
      </c>
      <c r="E32" s="14">
        <v>253</v>
      </c>
    </row>
    <row r="33" spans="2:5" x14ac:dyDescent="0.25">
      <c r="B33" s="13" t="s">
        <v>34</v>
      </c>
      <c r="C33" s="14">
        <v>197</v>
      </c>
      <c r="D33" s="14">
        <v>62</v>
      </c>
      <c r="E33" s="14">
        <v>259</v>
      </c>
    </row>
    <row r="34" spans="2:5" x14ac:dyDescent="0.25">
      <c r="B34" s="13" t="s">
        <v>1046</v>
      </c>
      <c r="C34" s="14">
        <v>760</v>
      </c>
      <c r="D34" s="14">
        <v>240</v>
      </c>
      <c r="E34" s="14">
        <v>1000</v>
      </c>
    </row>
    <row r="37" spans="2:5" x14ac:dyDescent="0.25">
      <c r="B37" s="12" t="s">
        <v>11</v>
      </c>
      <c r="C37" t="s">
        <v>1049</v>
      </c>
    </row>
    <row r="38" spans="2:5" x14ac:dyDescent="0.25">
      <c r="B38" s="13" t="s">
        <v>24</v>
      </c>
      <c r="C38" s="9">
        <v>35.39473684210526</v>
      </c>
    </row>
    <row r="39" spans="2:5" x14ac:dyDescent="0.25">
      <c r="B39" s="13" t="s">
        <v>19</v>
      </c>
      <c r="C39" s="9">
        <v>36.891666666666666</v>
      </c>
    </row>
    <row r="40" spans="2:5" x14ac:dyDescent="0.25">
      <c r="B40" s="13" t="s">
        <v>1046</v>
      </c>
      <c r="C40" s="9">
        <v>35.753999999999998</v>
      </c>
    </row>
    <row r="46" spans="2:5" x14ac:dyDescent="0.25">
      <c r="B46" s="12" t="s">
        <v>1047</v>
      </c>
      <c r="C46" s="12" t="s">
        <v>1048</v>
      </c>
    </row>
    <row r="47" spans="2:5" x14ac:dyDescent="0.25">
      <c r="B47" s="12" t="s">
        <v>1050</v>
      </c>
      <c r="C47" t="s">
        <v>24</v>
      </c>
      <c r="D47" t="s">
        <v>19</v>
      </c>
      <c r="E47" t="s">
        <v>1046</v>
      </c>
    </row>
    <row r="48" spans="2:5" x14ac:dyDescent="0.25">
      <c r="B48" s="13" t="s">
        <v>46</v>
      </c>
      <c r="C48" s="14">
        <v>166</v>
      </c>
      <c r="D48" s="14">
        <v>67</v>
      </c>
      <c r="E48" s="14">
        <v>233</v>
      </c>
    </row>
    <row r="49" spans="2:5" x14ac:dyDescent="0.25">
      <c r="B49" s="13" t="s">
        <v>18</v>
      </c>
      <c r="C49" s="14">
        <v>179</v>
      </c>
      <c r="D49" s="14">
        <v>43</v>
      </c>
      <c r="E49" s="14">
        <v>222</v>
      </c>
    </row>
    <row r="50" spans="2:5" x14ac:dyDescent="0.25">
      <c r="B50" s="13" t="s">
        <v>31</v>
      </c>
      <c r="C50" s="14">
        <v>199</v>
      </c>
      <c r="D50" s="14">
        <v>65</v>
      </c>
      <c r="E50" s="14">
        <v>264</v>
      </c>
    </row>
    <row r="51" spans="2:5" x14ac:dyDescent="0.25">
      <c r="B51" s="13" t="s">
        <v>23</v>
      </c>
      <c r="C51" s="14">
        <v>216</v>
      </c>
      <c r="D51" s="14">
        <v>65</v>
      </c>
      <c r="E51" s="14">
        <v>281</v>
      </c>
    </row>
    <row r="52" spans="2:5" x14ac:dyDescent="0.25">
      <c r="B52" s="13" t="s">
        <v>1046</v>
      </c>
      <c r="C52" s="14">
        <v>760</v>
      </c>
      <c r="D52" s="14">
        <v>240</v>
      </c>
      <c r="E52" s="14">
        <v>1000</v>
      </c>
    </row>
    <row r="55" spans="2:5" x14ac:dyDescent="0.25">
      <c r="B55" s="12" t="s">
        <v>1032</v>
      </c>
      <c r="C55" t="s">
        <v>1051</v>
      </c>
    </row>
    <row r="56" spans="2:5" x14ac:dyDescent="0.25">
      <c r="B56" s="13" t="s">
        <v>17</v>
      </c>
      <c r="C56" s="7">
        <v>3.0220125786163523</v>
      </c>
    </row>
    <row r="57" spans="2:5" x14ac:dyDescent="0.25">
      <c r="B57" s="13" t="s">
        <v>38</v>
      </c>
      <c r="C57" s="7">
        <v>3.0234604105571847</v>
      </c>
    </row>
    <row r="58" spans="2:5" x14ac:dyDescent="0.25">
      <c r="B58" s="13" t="s">
        <v>28</v>
      </c>
      <c r="C58" s="7">
        <v>2.9765395894428153</v>
      </c>
    </row>
    <row r="59" spans="2:5" x14ac:dyDescent="0.25">
      <c r="B59" s="13" t="s">
        <v>1046</v>
      </c>
      <c r="C59" s="7">
        <v>3.0070000000000001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9869-F2BA-405F-942F-0B8D2244F8E1}">
  <dimension ref="B2:Q52"/>
  <sheetViews>
    <sheetView tabSelected="1" zoomScale="70" zoomScaleNormal="70" workbookViewId="0">
      <selection activeCell="U42" sqref="U42"/>
    </sheetView>
  </sheetViews>
  <sheetFormatPr defaultRowHeight="15" x14ac:dyDescent="0.25"/>
  <sheetData>
    <row r="2" spans="2:17" ht="23.25" x14ac:dyDescent="0.35">
      <c r="B2" s="15" t="s">
        <v>1052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2:17" ht="15.75" x14ac:dyDescent="0.25">
      <c r="B4" s="16" t="s">
        <v>1053</v>
      </c>
      <c r="C4" s="16"/>
      <c r="E4" s="16" t="s">
        <v>1054</v>
      </c>
      <c r="F4" s="16"/>
      <c r="G4" s="16"/>
      <c r="I4" s="16" t="s">
        <v>1055</v>
      </c>
      <c r="J4" s="16"/>
      <c r="L4" s="16" t="s">
        <v>1056</v>
      </c>
      <c r="M4" s="16"/>
      <c r="N4" s="16"/>
      <c r="P4" s="16" t="s">
        <v>1057</v>
      </c>
      <c r="Q4" s="16"/>
    </row>
    <row r="5" spans="2:17" x14ac:dyDescent="0.25">
      <c r="B5" s="19">
        <f>COUNTA('Raw Data'!A:A)-1</f>
        <v>1000</v>
      </c>
      <c r="C5" s="19"/>
      <c r="E5" s="19">
        <f>COUNTIF('Raw Data'!L:L,"Yes")</f>
        <v>240</v>
      </c>
      <c r="F5" s="19"/>
      <c r="G5" s="19"/>
      <c r="I5" s="17">
        <f>COUNTIF('Raw Data'!L:L,"Yes")/(COUNTA('Raw Data'!A:A)-1)</f>
        <v>0.24</v>
      </c>
      <c r="J5" s="17"/>
      <c r="L5" s="18">
        <f>AVERAGE('Raw Data'!H:H)</f>
        <v>64.904140000000112</v>
      </c>
      <c r="M5" s="18"/>
      <c r="N5" s="18"/>
      <c r="P5" s="20">
        <f>AVERAGE('Raw Data'!K:K)</f>
        <v>3.0070000000000001</v>
      </c>
      <c r="Q5" s="20"/>
    </row>
    <row r="48" spans="2:6" ht="18.75" x14ac:dyDescent="0.3">
      <c r="B48" s="22" t="s">
        <v>1058</v>
      </c>
      <c r="C48" s="22"/>
      <c r="D48" s="22"/>
      <c r="E48" s="22"/>
      <c r="F48" s="22"/>
    </row>
    <row r="49" spans="2:13" ht="15.75" x14ac:dyDescent="0.25">
      <c r="B49" s="21" t="s">
        <v>1059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2:13" ht="15.75" x14ac:dyDescent="0.25">
      <c r="B50" s="21" t="s">
        <v>1060</v>
      </c>
      <c r="C50" s="21"/>
      <c r="D50" s="21"/>
      <c r="E50" s="21"/>
      <c r="F50" s="21"/>
      <c r="G50" s="21"/>
      <c r="H50" s="21"/>
      <c r="I50" s="21"/>
      <c r="J50" s="21"/>
      <c r="K50" s="21"/>
    </row>
    <row r="51" spans="2:13" ht="15.75" x14ac:dyDescent="0.25">
      <c r="B51" s="21" t="s">
        <v>1061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 spans="2:13" ht="15.75" x14ac:dyDescent="0.25">
      <c r="B52" s="21" t="s">
        <v>1062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</sheetData>
  <mergeCells count="16">
    <mergeCell ref="B52:M52"/>
    <mergeCell ref="B49:L49"/>
    <mergeCell ref="B50:K50"/>
    <mergeCell ref="B51:L51"/>
    <mergeCell ref="B5:C5"/>
    <mergeCell ref="E5:G5"/>
    <mergeCell ref="I5:J5"/>
    <mergeCell ref="L5:N5"/>
    <mergeCell ref="P5:Q5"/>
    <mergeCell ref="B48:F48"/>
    <mergeCell ref="B2:P2"/>
    <mergeCell ref="B4:C4"/>
    <mergeCell ref="E4:G4"/>
    <mergeCell ref="I4:J4"/>
    <mergeCell ref="L4:N4"/>
    <mergeCell ref="P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Churn Analysis</vt:lpstr>
      <vt:lpstr>Churn Pivot Analysis</vt:lpstr>
      <vt:lpstr>Churn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Kandula, Amrutha</cp:lastModifiedBy>
  <dcterms:created xsi:type="dcterms:W3CDTF">2026-08-15T20:01:04Z</dcterms:created>
  <dcterms:modified xsi:type="dcterms:W3CDTF">2026-08-15T22:24:39Z</dcterms:modified>
</cp:coreProperties>
</file>