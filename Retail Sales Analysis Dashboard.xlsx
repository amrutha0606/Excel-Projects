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/>
  <mc:AlternateContent xmlns:mc="http://schemas.openxmlformats.org/markup-compatibility/2006">
    <mc:Choice Requires="x15">
      <x15ac:absPath xmlns:x15ac="http://schemas.microsoft.com/office/spreadsheetml/2010/11/ac" url="/Users/amruthakandula/Documents/Data Analyst Portfolio/Excel Projects/"/>
    </mc:Choice>
  </mc:AlternateContent>
  <xr:revisionPtr revIDLastSave="0" documentId="8_{33828F47-1129-D742-ACD4-4B9D4C7946A0}" xr6:coauthVersionLast="47" xr6:coauthVersionMax="47" xr10:uidLastSave="{00000000-0000-0000-0000-000000000000}"/>
  <bookViews>
    <workbookView xWindow="20" yWindow="660" windowWidth="28300" windowHeight="16280" firstSheet="6" activeTab="7" xr2:uid="{00000000-000D-0000-FFFF-FFFF00000000}"/>
  </bookViews>
  <sheets>
    <sheet name="Sales by Region" sheetId="2" r:id="rId1"/>
    <sheet name="Sales by Category" sheetId="3" r:id="rId2"/>
    <sheet name="Monthly Sales" sheetId="4" r:id="rId3"/>
    <sheet name="Profit by Category" sheetId="5" r:id="rId4"/>
    <sheet name="Sales by Segment" sheetId="6" r:id="rId5"/>
    <sheet name="KPI Summary" sheetId="7" r:id="rId6"/>
    <sheet name="Raw Data" sheetId="1" r:id="rId7"/>
    <sheet name="Dashboard" sheetId="8" r:id="rId8"/>
  </sheets>
  <definedNames>
    <definedName name="_xlnm._FilterDatabase" localSheetId="6" hidden="1">'Raw Data'!$A$1:$Q$3001</definedName>
  </definedNames>
  <calcPr calcId="191029"/>
  <pivotCaches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H7" i="8"/>
  <c r="F7" i="8"/>
  <c r="D7" i="8"/>
  <c r="B7" i="8"/>
  <c r="B8" i="7"/>
</calcChain>
</file>

<file path=xl/sharedStrings.xml><?xml version="1.0" encoding="utf-8"?>
<sst xmlns="http://schemas.openxmlformats.org/spreadsheetml/2006/main" count="30075" uniqueCount="3201">
  <si>
    <t>Order_ID</t>
  </si>
  <si>
    <t>Order_Date</t>
  </si>
  <si>
    <t>Region</t>
  </si>
  <si>
    <t>State</t>
  </si>
  <si>
    <t>City</t>
  </si>
  <si>
    <t>Salesperson</t>
  </si>
  <si>
    <t>Customer_Segment</t>
  </si>
  <si>
    <t>Category</t>
  </si>
  <si>
    <t>Subcategory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</si>
  <si>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</si>
  <si>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</si>
  <si>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</si>
  <si>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</si>
  <si>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</si>
  <si>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</si>
  <si>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</si>
  <si>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Payment_Method</t>
  </si>
  <si>
    <t>ORD-00885</t>
  </si>
  <si>
    <t>West</t>
  </si>
  <si>
    <t>Washington</t>
  </si>
  <si>
    <t>Tacoma</t>
  </si>
  <si>
    <t>Riley Wilson</t>
  </si>
  <si>
    <t>Consumer</t>
  </si>
  <si>
    <t>Office Supplies</t>
  </si>
  <si>
    <t>Binders</t>
  </si>
  <si>
    <t>Presentation Binder</t>
  </si>
  <si>
    <t>Credit Card</t>
  </si>
  <si>
    <t>ORD-00548</t>
  </si>
  <si>
    <t>Arizona</t>
  </si>
  <si>
    <t>Mesa</t>
  </si>
  <si>
    <t>Avery Johnson</t>
  </si>
  <si>
    <t>Technology</t>
  </si>
  <si>
    <t>Laptops</t>
  </si>
  <si>
    <t>Business Laptop</t>
  </si>
  <si>
    <t>PayPal</t>
  </si>
  <si>
    <t>ORD-01607</t>
  </si>
  <si>
    <t>South</t>
  </si>
  <si>
    <t>Georgia</t>
  </si>
  <si>
    <t>Augusta</t>
  </si>
  <si>
    <t>Jamie Miller</t>
  </si>
  <si>
    <t>Headsets</t>
  </si>
  <si>
    <t>Wireless Headset</t>
  </si>
  <si>
    <t>ORD-01463</t>
  </si>
  <si>
    <t>Northeast</t>
  </si>
  <si>
    <t>Pennsylvania</t>
  </si>
  <si>
    <t>Allentown</t>
  </si>
  <si>
    <t>Drew Anderson</t>
  </si>
  <si>
    <t>Furniture</t>
  </si>
  <si>
    <t>Desks</t>
  </si>
  <si>
    <t>Work Desk</t>
  </si>
  <si>
    <t>ORD-02707</t>
  </si>
  <si>
    <t>Massachusetts</t>
  </si>
  <si>
    <t>Springfield</t>
  </si>
  <si>
    <t>Casey Brown</t>
  </si>
  <si>
    <t>Small Business</t>
  </si>
  <si>
    <t>Pens</t>
  </si>
  <si>
    <t>Ballpoint Pens</t>
  </si>
  <si>
    <t>Bank Transfer</t>
  </si>
  <si>
    <t>ORD-01737</t>
  </si>
  <si>
    <t>Worcester</t>
  </si>
  <si>
    <t>Alex Morgan</t>
  </si>
  <si>
    <t>Debit Card</t>
  </si>
  <si>
    <t>ORD-02345</t>
  </si>
  <si>
    <t>Boston</t>
  </si>
  <si>
    <t>Keyboards</t>
  </si>
  <si>
    <t>Mechanical Keyboard</t>
  </si>
  <si>
    <t>ORD-01213</t>
  </si>
  <si>
    <t>Texas</t>
  </si>
  <si>
    <t>Houston</t>
  </si>
  <si>
    <t>Cameron Clark</t>
  </si>
  <si>
    <t>ORD-00890</t>
  </si>
  <si>
    <t>Taylor Smith</t>
  </si>
  <si>
    <t>ORD-02750</t>
  </si>
  <si>
    <t>North Carolina</t>
  </si>
  <si>
    <t>Durham</t>
  </si>
  <si>
    <t>Corporate</t>
  </si>
  <si>
    <t>ORD-02328</t>
  </si>
  <si>
    <t>Midwest</t>
  </si>
  <si>
    <t>Illinois</t>
  </si>
  <si>
    <t>Printers</t>
  </si>
  <si>
    <t>All-in-One Printer</t>
  </si>
  <si>
    <t>ORD-01789</t>
  </si>
  <si>
    <t>Philadelphia</t>
  </si>
  <si>
    <t>Paper</t>
  </si>
  <si>
    <t>Premium Paper</t>
  </si>
  <si>
    <t>ORD-00678</t>
  </si>
  <si>
    <t>Oregon</t>
  </si>
  <si>
    <t>Salem</t>
  </si>
  <si>
    <t>ORD-00452</t>
  </si>
  <si>
    <t>Bookcases</t>
  </si>
  <si>
    <t>5-Shelf Bookcase</t>
  </si>
  <si>
    <t>ORD-02660</t>
  </si>
  <si>
    <t>Eugene</t>
  </si>
  <si>
    <t>Executive Desk</t>
  </si>
  <si>
    <t>ORD-01754</t>
  </si>
  <si>
    <t>Minnesota</t>
  </si>
  <si>
    <t>Minneapolis</t>
  </si>
  <si>
    <t>Chairs</t>
  </si>
  <si>
    <t>Task Chair</t>
  </si>
  <si>
    <t>ORD-02554</t>
  </si>
  <si>
    <t>Spokane</t>
  </si>
  <si>
    <t>ORD-00077</t>
  </si>
  <si>
    <t>Fine Tip Pens</t>
  </si>
  <si>
    <t>ORD-02073</t>
  </si>
  <si>
    <t>Workstation Laptop</t>
  </si>
  <si>
    <t>ORD-02944</t>
  </si>
  <si>
    <t>Michigan</t>
  </si>
  <si>
    <t>Detroit</t>
  </si>
  <si>
    <t>Heavy-Duty Binder</t>
  </si>
  <si>
    <t>ORD-02721</t>
  </si>
  <si>
    <t>Virginia</t>
  </si>
  <si>
    <t>Arlington</t>
  </si>
  <si>
    <t>Monitors</t>
  </si>
  <si>
    <t>24in Monitor</t>
  </si>
  <si>
    <t>ORD-01557</t>
  </si>
  <si>
    <t>Norfolk</t>
  </si>
  <si>
    <t>Executive Chair</t>
  </si>
  <si>
    <t>ORD-01228</t>
  </si>
  <si>
    <t>Seattle</t>
  </si>
  <si>
    <t>ORD-01527</t>
  </si>
  <si>
    <t>Recycled Paper</t>
  </si>
  <si>
    <t>ORD-02927</t>
  </si>
  <si>
    <t>Noise-Canceling Headset</t>
  </si>
  <si>
    <t>ORD-00721</t>
  </si>
  <si>
    <t>ORD-01779</t>
  </si>
  <si>
    <t>ORD-01825</t>
  </si>
  <si>
    <t>Ergonomic Keyboard</t>
  </si>
  <si>
    <t>ORD-01592</t>
  </si>
  <si>
    <t>Indiana</t>
  </si>
  <si>
    <t>Indianapolis</t>
  </si>
  <si>
    <t>Jordan Lee</t>
  </si>
  <si>
    <t>Copy Paper</t>
  </si>
  <si>
    <t>ORD-00561</t>
  </si>
  <si>
    <t>California</t>
  </si>
  <si>
    <t>Los Angeles</t>
  </si>
  <si>
    <t>ORD-00165</t>
  </si>
  <si>
    <t>27in Monitor</t>
  </si>
  <si>
    <t>ORD-01972</t>
  </si>
  <si>
    <t>Morgan Davis</t>
  </si>
  <si>
    <t>ORD-01530</t>
  </si>
  <si>
    <t>Portland</t>
  </si>
  <si>
    <t>Tables</t>
  </si>
  <si>
    <t>Conference Table</t>
  </si>
  <si>
    <t>ORD-01939</t>
  </si>
  <si>
    <t>Florida</t>
  </si>
  <si>
    <t>Orlando</t>
  </si>
  <si>
    <t>ORD-02318</t>
  </si>
  <si>
    <t>Pittsburgh</t>
  </si>
  <si>
    <t>ORD-00796</t>
  </si>
  <si>
    <t>Ohio</t>
  </si>
  <si>
    <t>Cincinnati</t>
  </si>
  <si>
    <t>ORD-02331</t>
  </si>
  <si>
    <t>Colorado</t>
  </si>
  <si>
    <t>Boulder</t>
  </si>
  <si>
    <t>ORD-02463</t>
  </si>
  <si>
    <t>Evansville</t>
  </si>
  <si>
    <t>ORD-00898</t>
  </si>
  <si>
    <t>Phoenix</t>
  </si>
  <si>
    <t>ORD-01343</t>
  </si>
  <si>
    <t>Fort Wayne</t>
  </si>
  <si>
    <t>ORD-02938</t>
  </si>
  <si>
    <t>Vermont</t>
  </si>
  <si>
    <t>Montpelier</t>
  </si>
  <si>
    <t>ORD-00739</t>
  </si>
  <si>
    <t>Standing Desk</t>
  </si>
  <si>
    <t>ORD-01478</t>
  </si>
  <si>
    <t>Colorado Springs</t>
  </si>
  <si>
    <t>ORD-00902</t>
  </si>
  <si>
    <t>Ergonomic Chair</t>
  </si>
  <si>
    <t>ORD-00822</t>
  </si>
  <si>
    <t>Tucson</t>
  </si>
  <si>
    <t>ORD-01118</t>
  </si>
  <si>
    <t>Burlington</t>
  </si>
  <si>
    <t>Gel Pens</t>
  </si>
  <si>
    <t>ORD-02292</t>
  </si>
  <si>
    <t>ORD-00807</t>
  </si>
  <si>
    <t>34in Monitor</t>
  </si>
  <si>
    <t>ORD-02981</t>
  </si>
  <si>
    <t>ORD-01051</t>
  </si>
  <si>
    <t>Laser Printer</t>
  </si>
  <si>
    <t>ORD-01756</t>
  </si>
  <si>
    <t>ORD-02589</t>
  </si>
  <si>
    <t>ORD-00597</t>
  </si>
  <si>
    <t>ORD-01751</t>
  </si>
  <si>
    <t>ORD-00428</t>
  </si>
  <si>
    <t>Denver</t>
  </si>
  <si>
    <t>ORD-01272</t>
  </si>
  <si>
    <t>Atlanta</t>
  </si>
  <si>
    <t>ORD-01352</t>
  </si>
  <si>
    <t>ORD-00635</t>
  </si>
  <si>
    <t>ORD-02878</t>
  </si>
  <si>
    <t>ORD-00696</t>
  </si>
  <si>
    <t>ORD-00763</t>
  </si>
  <si>
    <t>ORD-01748</t>
  </si>
  <si>
    <t>ORD-00111</t>
  </si>
  <si>
    <t>ORD-00277</t>
  </si>
  <si>
    <t>ORD-02067</t>
  </si>
  <si>
    <t>San Diego</t>
  </si>
  <si>
    <t>ORD-02737</t>
  </si>
  <si>
    <t>ORD-01676</t>
  </si>
  <si>
    <t>ORD-01878</t>
  </si>
  <si>
    <t>Training Table</t>
  </si>
  <si>
    <t>ORD-02383</t>
  </si>
  <si>
    <t>Richmond</t>
  </si>
  <si>
    <t>3-Shelf Bookcase</t>
  </si>
  <si>
    <t>ORD-01871</t>
  </si>
  <si>
    <t>Columbus</t>
  </si>
  <si>
    <t>ORD-01800</t>
  </si>
  <si>
    <t>New Jersey</t>
  </si>
  <si>
    <t>Newark</t>
  </si>
  <si>
    <t>ORD-01914</t>
  </si>
  <si>
    <t>ORD-00176</t>
  </si>
  <si>
    <t>Charlotte</t>
  </si>
  <si>
    <t>ORD-01850</t>
  </si>
  <si>
    <t>Tampa</t>
  </si>
  <si>
    <t>ORD-00198</t>
  </si>
  <si>
    <t>USB Headset</t>
  </si>
  <si>
    <t>ORD-01769</t>
  </si>
  <si>
    <t>ORD-01550</t>
  </si>
  <si>
    <t>ORD-00396</t>
  </si>
  <si>
    <t>3-Ring Binder</t>
  </si>
  <si>
    <t>ORD-01108</t>
  </si>
  <si>
    <t>ORD-00162</t>
  </si>
  <si>
    <t>ORD-02407</t>
  </si>
  <si>
    <t>ORD-00513</t>
  </si>
  <si>
    <t>ORD-00006</t>
  </si>
  <si>
    <t>San Jose</t>
  </si>
  <si>
    <t>ORD-02910</t>
  </si>
  <si>
    <t>ORD-01806</t>
  </si>
  <si>
    <t>ORD-01860</t>
  </si>
  <si>
    <t>Jersey City</t>
  </si>
  <si>
    <t>ORD-00357</t>
  </si>
  <si>
    <t>Miami</t>
  </si>
  <si>
    <t>Color Printer</t>
  </si>
  <si>
    <t>ORD-02673</t>
  </si>
  <si>
    <t>ORD-00286</t>
  </si>
  <si>
    <t>Grand Rapids</t>
  </si>
  <si>
    <t>ORD-01144</t>
  </si>
  <si>
    <t>ORD-01307</t>
  </si>
  <si>
    <t>ORD-02779</t>
  </si>
  <si>
    <t>Storage Bookcase</t>
  </si>
  <si>
    <t>ORD-00823</t>
  </si>
  <si>
    <t>ORD-01225</t>
  </si>
  <si>
    <t>ORD-02841</t>
  </si>
  <si>
    <t>New York</t>
  </si>
  <si>
    <t>New York City</t>
  </si>
  <si>
    <t>ORD-01810</t>
  </si>
  <si>
    <t>Raleigh</t>
  </si>
  <si>
    <t>ORD-01266</t>
  </si>
  <si>
    <t>ORD-00927</t>
  </si>
  <si>
    <t>ORD-02786</t>
  </si>
  <si>
    <t>ORD-00702</t>
  </si>
  <si>
    <t>Wireless Keyboard</t>
  </si>
  <si>
    <t>ORD-02232</t>
  </si>
  <si>
    <t>ORD-01682</t>
  </si>
  <si>
    <t>Savannah</t>
  </si>
  <si>
    <t>ORD-01753</t>
  </si>
  <si>
    <t>ORD-00366</t>
  </si>
  <si>
    <t>Ultrabook</t>
  </si>
  <si>
    <t>ORD-01111</t>
  </si>
  <si>
    <t>ORD-02674</t>
  </si>
  <si>
    <t>Chicago</t>
  </si>
  <si>
    <t>ORD-00144</t>
  </si>
  <si>
    <t>ORD-00566</t>
  </si>
  <si>
    <t>ORD-02818</t>
  </si>
  <si>
    <t>ORD-00180</t>
  </si>
  <si>
    <t>ORD-00870</t>
  </si>
  <si>
    <t>ORD-01392</t>
  </si>
  <si>
    <t>ORD-01583</t>
  </si>
  <si>
    <t>ORD-01407</t>
  </si>
  <si>
    <t>Dallas</t>
  </si>
  <si>
    <t>ORD-00454</t>
  </si>
  <si>
    <t>ORD-01757</t>
  </si>
  <si>
    <t>ORD-02080</t>
  </si>
  <si>
    <t>ORD-00154</t>
  </si>
  <si>
    <t>ORD-02913</t>
  </si>
  <si>
    <t>ORD-02698</t>
  </si>
  <si>
    <t>ORD-01698</t>
  </si>
  <si>
    <t>ORD-00491</t>
  </si>
  <si>
    <t>ORD-01126</t>
  </si>
  <si>
    <t>ORD-02420</t>
  </si>
  <si>
    <t>ORD-00844</t>
  </si>
  <si>
    <t>ORD-00629</t>
  </si>
  <si>
    <t>ORD-00850</t>
  </si>
  <si>
    <t>ORD-00572</t>
  </si>
  <si>
    <t>ORD-02236</t>
  </si>
  <si>
    <t>ORD-00022</t>
  </si>
  <si>
    <t>Trenton</t>
  </si>
  <si>
    <t>ORD-02428</t>
  </si>
  <si>
    <t>ORD-01104</t>
  </si>
  <si>
    <t>ORD-02904</t>
  </si>
  <si>
    <t>ORD-02141</t>
  </si>
  <si>
    <t>ORD-00373</t>
  </si>
  <si>
    <t>ORD-00193</t>
  </si>
  <si>
    <t>ORD-00195</t>
  </si>
  <si>
    <t>Peoria</t>
  </si>
  <si>
    <t>ORD-01415</t>
  </si>
  <si>
    <t>ORD-00687</t>
  </si>
  <si>
    <t>ORD-01822</t>
  </si>
  <si>
    <t>ORD-00073</t>
  </si>
  <si>
    <t>Rochester</t>
  </si>
  <si>
    <t>ORD-00414</t>
  </si>
  <si>
    <t>ORD-01068</t>
  </si>
  <si>
    <t>Lansing</t>
  </si>
  <si>
    <t>ORD-01069</t>
  </si>
  <si>
    <t>ORD-02657</t>
  </si>
  <si>
    <t>ORD-02893</t>
  </si>
  <si>
    <t>ORD-01535</t>
  </si>
  <si>
    <t>ORD-00338</t>
  </si>
  <si>
    <t>Cleveland</t>
  </si>
  <si>
    <t>ORD-00550</t>
  </si>
  <si>
    <t>ORD-01554</t>
  </si>
  <si>
    <t>ORD-01032</t>
  </si>
  <si>
    <t>ORD-01538</t>
  </si>
  <si>
    <t>ORD-02262</t>
  </si>
  <si>
    <t>ORD-00471</t>
  </si>
  <si>
    <t>ORD-02881</t>
  </si>
  <si>
    <t>ORD-00615</t>
  </si>
  <si>
    <t>ORD-00839</t>
  </si>
  <si>
    <t>ORD-00312</t>
  </si>
  <si>
    <t>ORD-00526</t>
  </si>
  <si>
    <t>ORD-01868</t>
  </si>
  <si>
    <t>ORD-00691</t>
  </si>
  <si>
    <t>Austin</t>
  </si>
  <si>
    <t>ORD-02509</t>
  </si>
  <si>
    <t>ORD-00179</t>
  </si>
  <si>
    <t>Buffalo</t>
  </si>
  <si>
    <t>ORD-02432</t>
  </si>
  <si>
    <t>ORD-00824</t>
  </si>
  <si>
    <t>ORD-01545</t>
  </si>
  <si>
    <t>ORD-01472</t>
  </si>
  <si>
    <t>ORD-01613</t>
  </si>
  <si>
    <t>ORD-00335</t>
  </si>
  <si>
    <t>ORD-02614</t>
  </si>
  <si>
    <t>ORD-00834</t>
  </si>
  <si>
    <t>ORD-01127</t>
  </si>
  <si>
    <t>ORD-02891</t>
  </si>
  <si>
    <t>ORD-00772</t>
  </si>
  <si>
    <t>ORD-02060</t>
  </si>
  <si>
    <t>ORD-02725</t>
  </si>
  <si>
    <t>ORD-00591</t>
  </si>
  <si>
    <t>ORD-01604</t>
  </si>
  <si>
    <t>ORD-01569</t>
  </si>
  <si>
    <t>ORD-00354</t>
  </si>
  <si>
    <t>ORD-01540</t>
  </si>
  <si>
    <t>ORD-02632</t>
  </si>
  <si>
    <t>ORD-00497</t>
  </si>
  <si>
    <t>ORD-01428</t>
  </si>
  <si>
    <t>ORD-01173</t>
  </si>
  <si>
    <t>ORD-02414</t>
  </si>
  <si>
    <t>ORD-00391</t>
  </si>
  <si>
    <t>ORD-01235</t>
  </si>
  <si>
    <t>ORD-00177</t>
  </si>
  <si>
    <t>ORD-01827</t>
  </si>
  <si>
    <t>ORD-01729</t>
  </si>
  <si>
    <t>ORD-02853</t>
  </si>
  <si>
    <t>ORD-00659</t>
  </si>
  <si>
    <t>ORD-02242</t>
  </si>
  <si>
    <t>ORD-01067</t>
  </si>
  <si>
    <t>ORD-00602</t>
  </si>
  <si>
    <t>ORD-01402</t>
  </si>
  <si>
    <t>ORD-02683</t>
  </si>
  <si>
    <t>ORD-02483</t>
  </si>
  <si>
    <t>ORD-02120</t>
  </si>
  <si>
    <t>ORD-01417</t>
  </si>
  <si>
    <t>ORD-02761</t>
  </si>
  <si>
    <t>ORD-02973</t>
  </si>
  <si>
    <t>St. Paul</t>
  </si>
  <si>
    <t>ORD-01295</t>
  </si>
  <si>
    <t>ORD-00692</t>
  </si>
  <si>
    <t>ORD-01233</t>
  </si>
  <si>
    <t>ORD-02016</t>
  </si>
  <si>
    <t>Side Table</t>
  </si>
  <si>
    <t>ORD-02159</t>
  </si>
  <si>
    <t>ORD-01317</t>
  </si>
  <si>
    <t>ORD-01870</t>
  </si>
  <si>
    <t>ORD-00583</t>
  </si>
  <si>
    <t>ORD-02049</t>
  </si>
  <si>
    <t>ORD-00598</t>
  </si>
  <si>
    <t>ORD-02495</t>
  </si>
  <si>
    <t>ORD-02445</t>
  </si>
  <si>
    <t>ORD-01265</t>
  </si>
  <si>
    <t>ORD-01279</t>
  </si>
  <si>
    <t>ORD-02836</t>
  </si>
  <si>
    <t>ORD-02545</t>
  </si>
  <si>
    <t>ORD-00492</t>
  </si>
  <si>
    <t>ORD-01560</t>
  </si>
  <si>
    <t>ORD-00403</t>
  </si>
  <si>
    <t>ORD-01152</t>
  </si>
  <si>
    <t>ORD-02129</t>
  </si>
  <si>
    <t>ORD-01387</t>
  </si>
  <si>
    <t>ORD-01319</t>
  </si>
  <si>
    <t>ORD-01293</t>
  </si>
  <si>
    <t>ORD-01922</t>
  </si>
  <si>
    <t>ORD-00275</t>
  </si>
  <si>
    <t>ORD-02941</t>
  </si>
  <si>
    <t>ORD-01807</t>
  </si>
  <si>
    <t>ORD-00616</t>
  </si>
  <si>
    <t>ORD-01094</t>
  </si>
  <si>
    <t>ORD-01947</t>
  </si>
  <si>
    <t>ORD-00261</t>
  </si>
  <si>
    <t>ORD-01941</t>
  </si>
  <si>
    <t>ORD-00665</t>
  </si>
  <si>
    <t>ORD-00520</t>
  </si>
  <si>
    <t>ORD-00377</t>
  </si>
  <si>
    <t>ORD-00931</t>
  </si>
  <si>
    <t>ORD-00961</t>
  </si>
  <si>
    <t>ORD-01691</t>
  </si>
  <si>
    <t>ORD-01136</t>
  </si>
  <si>
    <t>ORD-01159</t>
  </si>
  <si>
    <t>ORD-00394</t>
  </si>
  <si>
    <t>ORD-01920</t>
  </si>
  <si>
    <t>ORD-00938</t>
  </si>
  <si>
    <t>ORD-02351</t>
  </si>
  <si>
    <t>ORD-01371</t>
  </si>
  <si>
    <t>ORD-00478</t>
  </si>
  <si>
    <t>ORD-00711</t>
  </si>
  <si>
    <t>ORD-01255</t>
  </si>
  <si>
    <t>Rutland</t>
  </si>
  <si>
    <t>ORD-00001</t>
  </si>
  <si>
    <t>ORD-02221</t>
  </si>
  <si>
    <t>ORD-00002</t>
  </si>
  <si>
    <t>ORD-01943</t>
  </si>
  <si>
    <t>ORD-02552</t>
  </si>
  <si>
    <t>ORD-01875</t>
  </si>
  <si>
    <t>ORD-00149</t>
  </si>
  <si>
    <t>ORD-00745</t>
  </si>
  <si>
    <t>ORD-00466</t>
  </si>
  <si>
    <t>ORD-02592</t>
  </si>
  <si>
    <t>ORD-01327</t>
  </si>
  <si>
    <t>ORD-00588</t>
  </si>
  <si>
    <t>ORD-00806</t>
  </si>
  <si>
    <t>ORD-00167</t>
  </si>
  <si>
    <t>ORD-01105</t>
  </si>
  <si>
    <t>ORD-02748</t>
  </si>
  <si>
    <t>ORD-01172</t>
  </si>
  <si>
    <t>ORD-02011</t>
  </si>
  <si>
    <t>ORD-02898</t>
  </si>
  <si>
    <t>ORD-01764</t>
  </si>
  <si>
    <t>ORD-02142</t>
  </si>
  <si>
    <t>ORD-01146</t>
  </si>
  <si>
    <t>ORD-02174</t>
  </si>
  <si>
    <t>ORD-00498</t>
  </si>
  <si>
    <t>ORD-01454</t>
  </si>
  <si>
    <t>ORD-02250</t>
  </si>
  <si>
    <t>ORD-01854</t>
  </si>
  <si>
    <t>ORD-01062</t>
  </si>
  <si>
    <t>ORD-01394</t>
  </si>
  <si>
    <t>ORD-01222</t>
  </si>
  <si>
    <t>ORD-02035</t>
  </si>
  <si>
    <t>ORD-01717</t>
  </si>
  <si>
    <t>ORD-01339</t>
  </si>
  <si>
    <t>ORD-02667</t>
  </si>
  <si>
    <t>ORD-00143</t>
  </si>
  <si>
    <t>ORD-02057</t>
  </si>
  <si>
    <t>ORD-01085</t>
  </si>
  <si>
    <t>ORD-01655</t>
  </si>
  <si>
    <t>ORD-02008</t>
  </si>
  <si>
    <t>ORD-00423</t>
  </si>
  <si>
    <t>ORD-02403</t>
  </si>
  <si>
    <t>ORD-00333</t>
  </si>
  <si>
    <t>ORD-02285</t>
  </si>
  <si>
    <t>ORD-01239</t>
  </si>
  <si>
    <t>ORD-00872</t>
  </si>
  <si>
    <t>ORD-02848</t>
  </si>
  <si>
    <t>ORD-01683</t>
  </si>
  <si>
    <t>ORD-00036</t>
  </si>
  <si>
    <t>ORD-00685</t>
  </si>
  <si>
    <t>ORD-02301</t>
  </si>
  <si>
    <t>ORD-01210</t>
  </si>
  <si>
    <t>ORD-00487</t>
  </si>
  <si>
    <t>ORD-01579</t>
  </si>
  <si>
    <t>ORD-02202</t>
  </si>
  <si>
    <t>ORD-00714</t>
  </si>
  <si>
    <t>ORD-01638</t>
  </si>
  <si>
    <t>ORD-00530</t>
  </si>
  <si>
    <t>ORD-02177</t>
  </si>
  <si>
    <t>ORD-02774</t>
  </si>
  <si>
    <t>ORD-01653</t>
  </si>
  <si>
    <t>ORD-01007</t>
  </si>
  <si>
    <t>ORD-02211</t>
  </si>
  <si>
    <t>ORD-02617</t>
  </si>
  <si>
    <t>ORD-02390</t>
  </si>
  <si>
    <t>ORD-00494</t>
  </si>
  <si>
    <t>ORD-01249</t>
  </si>
  <si>
    <t>ORD-01362</t>
  </si>
  <si>
    <t>ORD-00504</t>
  </si>
  <si>
    <t>ORD-01647</t>
  </si>
  <si>
    <t>ORD-02535</t>
  </si>
  <si>
    <t>ORD-02319</t>
  </si>
  <si>
    <t>ORD-01192</t>
  </si>
  <si>
    <t>ORD-02460</t>
  </si>
  <si>
    <t>ORD-01908</t>
  </si>
  <si>
    <t>ORD-00367</t>
  </si>
  <si>
    <t>ORD-01401</t>
  </si>
  <si>
    <t>ORD-02782</t>
  </si>
  <si>
    <t>ORD-01120</t>
  </si>
  <si>
    <t>ORD-01291</t>
  </si>
  <si>
    <t>ORD-00967</t>
  </si>
  <si>
    <t>ORD-00107</t>
  </si>
  <si>
    <t>ORD-01494</t>
  </si>
  <si>
    <t>ORD-01596</t>
  </si>
  <si>
    <t>ORD-00864</t>
  </si>
  <si>
    <t>ORD-00211</t>
  </si>
  <si>
    <t>ORD-01605</t>
  </si>
  <si>
    <t>ORD-01508</t>
  </si>
  <si>
    <t>ORD-01721</t>
  </si>
  <si>
    <t>ORD-00559</t>
  </si>
  <si>
    <t>ORD-01726</t>
  </si>
  <si>
    <t>ORD-01389</t>
  </si>
  <si>
    <t>ORD-01075</t>
  </si>
  <si>
    <t>ORD-00940</t>
  </si>
  <si>
    <t>ORD-01696</t>
  </si>
  <si>
    <t>ORD-01333</t>
  </si>
  <si>
    <t>ORD-02886</t>
  </si>
  <si>
    <t>ORD-01734</t>
  </si>
  <si>
    <t>ORD-01909</t>
  </si>
  <si>
    <t>ORD-02228</t>
  </si>
  <si>
    <t>ORD-00245</t>
  </si>
  <si>
    <t>ORD-00760</t>
  </si>
  <si>
    <t>ORD-01337</t>
  </si>
  <si>
    <t>ORD-01325</t>
  </si>
  <si>
    <t>ORD-00537</t>
  </si>
  <si>
    <t>ORD-00749</t>
  </si>
  <si>
    <t>ORD-00412</t>
  </si>
  <si>
    <t>ORD-00291</t>
  </si>
  <si>
    <t>ORD-01025</t>
  </si>
  <si>
    <t>ORD-02434</t>
  </si>
  <si>
    <t>ORD-02488</t>
  </si>
  <si>
    <t>ORD-00376</t>
  </si>
  <si>
    <t>ORD-02963</t>
  </si>
  <si>
    <t>ORD-00236</t>
  </si>
  <si>
    <t>ORD-01151</t>
  </si>
  <si>
    <t>ORD-02036</t>
  </si>
  <si>
    <t>ORD-02405</t>
  </si>
  <si>
    <t>ORD-01895</t>
  </si>
  <si>
    <t>ORD-01047</t>
  </si>
  <si>
    <t>ORD-01563</t>
  </si>
  <si>
    <t>ORD-02517</t>
  </si>
  <si>
    <t>ORD-00232</t>
  </si>
  <si>
    <t>ORD-01565</t>
  </si>
  <si>
    <t>ORD-00557</t>
  </si>
  <si>
    <t>ORD-00115</t>
  </si>
  <si>
    <t>ORD-01332</t>
  </si>
  <si>
    <t>ORD-02860</t>
  </si>
  <si>
    <t>ORD-02942</t>
  </si>
  <si>
    <t>ORD-00608</t>
  </si>
  <si>
    <t>ORD-02719</t>
  </si>
  <si>
    <t>ORD-01792</t>
  </si>
  <si>
    <t>ORD-02684</t>
  </si>
  <si>
    <t>ORD-01788</t>
  </si>
  <si>
    <t>ORD-00130</t>
  </si>
  <si>
    <t>ORD-02367</t>
  </si>
  <si>
    <t>ORD-02022</t>
  </si>
  <si>
    <t>ORD-01556</t>
  </si>
  <si>
    <t>ORD-02199</t>
  </si>
  <si>
    <t>ORD-01944</t>
  </si>
  <si>
    <t>ORD-02561</t>
  </si>
  <si>
    <t>ORD-01252</t>
  </si>
  <si>
    <t>ORD-02105</t>
  </si>
  <si>
    <t>ORD-02279</t>
  </si>
  <si>
    <t>ORD-00369</t>
  </si>
  <si>
    <t>ORD-01488</t>
  </si>
  <si>
    <t>ORD-01154</t>
  </si>
  <si>
    <t>ORD-00250</t>
  </si>
  <si>
    <t>ORD-01444</t>
  </si>
  <si>
    <t>ORD-00852</t>
  </si>
  <si>
    <t>ORD-02338</t>
  </si>
  <si>
    <t>ORD-01513</t>
  </si>
  <si>
    <t>ORD-02655</t>
  </si>
  <si>
    <t>ORD-02207</t>
  </si>
  <si>
    <t>ORD-02433</t>
  </si>
  <si>
    <t>ORD-02676</t>
  </si>
  <si>
    <t>ORD-00984</t>
  </si>
  <si>
    <t>ORD-00049</t>
  </si>
  <si>
    <t>ORD-02971</t>
  </si>
  <si>
    <t>ORD-02198</t>
  </si>
  <si>
    <t>ORD-01873</t>
  </si>
  <si>
    <t>ORD-01670</t>
  </si>
  <si>
    <t>ORD-02278</t>
  </si>
  <si>
    <t>ORD-02247</t>
  </si>
  <si>
    <t>ORD-00404</t>
  </si>
  <si>
    <t>ORD-02099</t>
  </si>
  <si>
    <t>ORD-00150</t>
  </si>
  <si>
    <t>ORD-00630</t>
  </si>
  <si>
    <t>ORD-01109</t>
  </si>
  <si>
    <t>ORD-00820</t>
  </si>
  <si>
    <t>ORD-01227</t>
  </si>
  <si>
    <t>ORD-01712</t>
  </si>
  <si>
    <t>ORD-01247</t>
  </si>
  <si>
    <t>ORD-02135</t>
  </si>
  <si>
    <t>ORD-02919</t>
  </si>
  <si>
    <t>ORD-00515</t>
  </si>
  <si>
    <t>ORD-00908</t>
  </si>
  <si>
    <t>ORD-02161</t>
  </si>
  <si>
    <t>ORD-02507</t>
  </si>
  <si>
    <t>ORD-00817</t>
  </si>
  <si>
    <t>ORD-00108</t>
  </si>
  <si>
    <t>ORD-00329</t>
  </si>
  <si>
    <t>ORD-02837</t>
  </si>
  <si>
    <t>ORD-00684</t>
  </si>
  <si>
    <t>ORD-02171</t>
  </si>
  <si>
    <t>ORD-00156</t>
  </si>
  <si>
    <t>ORD-02442</t>
  </si>
  <si>
    <t>ORD-01436</t>
  </si>
  <si>
    <t>ORD-00257</t>
  </si>
  <si>
    <t>ORD-00499</t>
  </si>
  <si>
    <t>ORD-01630</t>
  </si>
  <si>
    <t>ORD-00388</t>
  </si>
  <si>
    <t>ORD-00877</t>
  </si>
  <si>
    <t>ORD-02047</t>
  </si>
  <si>
    <t>ORD-00379</t>
  </si>
  <si>
    <t>ORD-00368</t>
  </si>
  <si>
    <t>ORD-00810</t>
  </si>
  <si>
    <t>ORD-00975</t>
  </si>
  <si>
    <t>ORD-00230</t>
  </si>
  <si>
    <t>ORD-02705</t>
  </si>
  <si>
    <t>ORD-02670</t>
  </si>
  <si>
    <t>ORD-00710</t>
  </si>
  <si>
    <t>ORD-00651</t>
  </si>
  <si>
    <t>ORD-01906</t>
  </si>
  <si>
    <t>ORD-01518</t>
  </si>
  <si>
    <t>ORD-01065</t>
  </si>
  <si>
    <t>ORD-00546</t>
  </si>
  <si>
    <t>ORD-01539</t>
  </si>
  <si>
    <t>ORD-02194</t>
  </si>
  <si>
    <t>ORD-02659</t>
  </si>
  <si>
    <t>ORD-02664</t>
  </si>
  <si>
    <t>ORD-00747</t>
  </si>
  <si>
    <t>ORD-00633</t>
  </si>
  <si>
    <t>ORD-00856</t>
  </si>
  <si>
    <t>ORD-00753</t>
  </si>
  <si>
    <t>ORD-02864</t>
  </si>
  <si>
    <t>ORD-00184</t>
  </si>
  <si>
    <t>ORD-01470</t>
  </si>
  <si>
    <t>ORD-00227</t>
  </si>
  <si>
    <t>ORD-00625</t>
  </si>
  <si>
    <t>ORD-02149</t>
  </si>
  <si>
    <t>ORD-01897</t>
  </si>
  <si>
    <t>ORD-02075</t>
  </si>
  <si>
    <t>ORD-02063</t>
  </si>
  <si>
    <t>ORD-02001</t>
  </si>
  <si>
    <t>ORD-01672</t>
  </si>
  <si>
    <t>ORD-02313</t>
  </si>
  <si>
    <t>ORD-00187</t>
  </si>
  <si>
    <t>ORD-02386</t>
  </si>
  <si>
    <t>ORD-01329</t>
  </si>
  <si>
    <t>ORD-00463</t>
  </si>
  <si>
    <t>ORD-02323</t>
  </si>
  <si>
    <t>ORD-02237</t>
  </si>
  <si>
    <t>ORD-00976</t>
  </si>
  <si>
    <t>ORD-00788</t>
  </si>
  <si>
    <t>ORD-02360</t>
  </si>
  <si>
    <t>ORD-00869</t>
  </si>
  <si>
    <t>ORD-00706</t>
  </si>
  <si>
    <t>ORD-02772</t>
  </si>
  <si>
    <t>ORD-01978</t>
  </si>
  <si>
    <t>ORD-01718</t>
  </si>
  <si>
    <t>ORD-02551</t>
  </si>
  <si>
    <t>ORD-02481</t>
  </si>
  <si>
    <t>ORD-00990</t>
  </si>
  <si>
    <t>ORD-02317</t>
  </si>
  <si>
    <t>ORD-00406</t>
  </si>
  <si>
    <t>ORD-00433</t>
  </si>
  <si>
    <t>ORD-00382</t>
  </si>
  <si>
    <t>ORD-02361</t>
  </si>
  <si>
    <t>ORD-01309</t>
  </si>
  <si>
    <t>ORD-02342</t>
  </si>
  <si>
    <t>ORD-00573</t>
  </si>
  <si>
    <t>ORD-01768</t>
  </si>
  <si>
    <t>ORD-02206</t>
  </si>
  <si>
    <t>ORD-01214</t>
  </si>
  <si>
    <t>ORD-02947</t>
  </si>
  <si>
    <t>ORD-01759</t>
  </si>
  <si>
    <t>ORD-00199</t>
  </si>
  <si>
    <t>ORD-00025</t>
  </si>
  <si>
    <t>ORD-01124</t>
  </si>
  <si>
    <t>ORD-02201</t>
  </si>
  <si>
    <t>ORD-01602</t>
  </si>
  <si>
    <t>ORD-01425</t>
  </si>
  <si>
    <t>ORD-01932</t>
  </si>
  <si>
    <t>ORD-00153</t>
  </si>
  <si>
    <t>ORD-02240</t>
  </si>
  <si>
    <t>ORD-01591</t>
  </si>
  <si>
    <t>ORD-01490</t>
  </si>
  <si>
    <t>ORD-02411</t>
  </si>
  <si>
    <t>ORD-00904</t>
  </si>
  <si>
    <t>ORD-01256</t>
  </si>
  <si>
    <t>ORD-02723</t>
  </si>
  <si>
    <t>ORD-01439</t>
  </si>
  <si>
    <t>ORD-02794</t>
  </si>
  <si>
    <t>ORD-00287</t>
  </si>
  <si>
    <t>ORD-00766</t>
  </si>
  <si>
    <t>ORD-01859</t>
  </si>
  <si>
    <t>ORD-00171</t>
  </si>
  <si>
    <t>ORD-00968</t>
  </si>
  <si>
    <t>ORD-02994</t>
  </si>
  <si>
    <t>ORD-01079</t>
  </si>
  <si>
    <t>ORD-01663</t>
  </si>
  <si>
    <t>ORD-00723</t>
  </si>
  <si>
    <t>ORD-02023</t>
  </si>
  <si>
    <t>ORD-01171</t>
  </si>
  <si>
    <t>ORD-01212</t>
  </si>
  <si>
    <t>ORD-02430</t>
  </si>
  <si>
    <t>ORD-02581</t>
  </si>
  <si>
    <t>ORD-02489</t>
  </si>
  <si>
    <t>ORD-01373</t>
  </si>
  <si>
    <t>ORD-00363</t>
  </si>
  <si>
    <t>ORD-00361</t>
  </si>
  <si>
    <t>ORD-01000</t>
  </si>
  <si>
    <t>ORD-02380</t>
  </si>
  <si>
    <t>ORD-02921</t>
  </si>
  <si>
    <t>ORD-02662</t>
  </si>
  <si>
    <t>ORD-01031</t>
  </si>
  <si>
    <t>ORD-02097</t>
  </si>
  <si>
    <t>ORD-00359</t>
  </si>
  <si>
    <t>ORD-01566</t>
  </si>
  <si>
    <t>ORD-02009</t>
  </si>
  <si>
    <t>ORD-00855</t>
  </si>
  <si>
    <t>ORD-01609</t>
  </si>
  <si>
    <t>ORD-00715</t>
  </si>
  <si>
    <t>ORD-01984</t>
  </si>
  <si>
    <t>ORD-00744</t>
  </si>
  <si>
    <t>ORD-00336</t>
  </si>
  <si>
    <t>ORD-00737</t>
  </si>
  <si>
    <t>ORD-01208</t>
  </si>
  <si>
    <t>ORD-02189</t>
  </si>
  <si>
    <t>ORD-02064</t>
  </si>
  <si>
    <t>ORD-01166</t>
  </si>
  <si>
    <t>ORD-01001</t>
  </si>
  <si>
    <t>ORD-00421</t>
  </si>
  <si>
    <t>ORD-00617</t>
  </si>
  <si>
    <t>ORD-02448</t>
  </si>
  <si>
    <t>ORD-02437</t>
  </si>
  <si>
    <t>ORD-01372</t>
  </si>
  <si>
    <t>ORD-00128</t>
  </si>
  <si>
    <t>ORD-01946</t>
  </si>
  <si>
    <t>ORD-00079</t>
  </si>
  <si>
    <t>ORD-01608</t>
  </si>
  <si>
    <t>ORD-01536</t>
  </si>
  <si>
    <t>ORD-01468</t>
  </si>
  <si>
    <t>ORD-01928</t>
  </si>
  <si>
    <t>ORD-02239</t>
  </si>
  <si>
    <t>ORD-01038</t>
  </si>
  <si>
    <t>ORD-01960</t>
  </si>
  <si>
    <t>ORD-01122</t>
  </si>
  <si>
    <t>ORD-02058</t>
  </si>
  <si>
    <t>ORD-01849</t>
  </si>
  <si>
    <t>ORD-01500</t>
  </si>
  <si>
    <t>ORD-00293</t>
  </si>
  <si>
    <t>ORD-01846</t>
  </si>
  <si>
    <t>ORD-00667</t>
  </si>
  <si>
    <t>ORD-00218</t>
  </si>
  <si>
    <t>ORD-02645</t>
  </si>
  <si>
    <t>ORD-01623</t>
  </si>
  <si>
    <t>ORD-00916</t>
  </si>
  <si>
    <t>ORD-00544</t>
  </si>
  <si>
    <t>ORD-00828</t>
  </si>
  <si>
    <t>ORD-00722</t>
  </si>
  <si>
    <t>ORD-00797</t>
  </si>
  <si>
    <t>ORD-01977</t>
  </si>
  <si>
    <t>ORD-00182</t>
  </si>
  <si>
    <t>ORD-00104</t>
  </si>
  <si>
    <t>ORD-02986</t>
  </si>
  <si>
    <t>ORD-02980</t>
  </si>
  <si>
    <t>ORD-02277</t>
  </si>
  <si>
    <t>ORD-00188</t>
  </si>
  <si>
    <t>ORD-02843</t>
  </si>
  <si>
    <t>ORD-02791</t>
  </si>
  <si>
    <t>ORD-02897</t>
  </si>
  <si>
    <t>ORD-02140</t>
  </si>
  <si>
    <t>ORD-01050</t>
  </si>
  <si>
    <t>ORD-02555</t>
  </si>
  <si>
    <t>ORD-02715</t>
  </si>
  <si>
    <t>ORD-02783</t>
  </si>
  <si>
    <t>ORD-02513</t>
  </si>
  <si>
    <t>ORD-01924</t>
  </si>
  <si>
    <t>ORD-02598</t>
  </si>
  <si>
    <t>ORD-00729</t>
  </si>
  <si>
    <t>ORD-01100</t>
  </si>
  <si>
    <t>ORD-01288</t>
  </si>
  <si>
    <t>ORD-00461</t>
  </si>
  <si>
    <t>ORD-01637</t>
  </si>
  <si>
    <t>ORD-02370</t>
  </si>
  <si>
    <t>ORD-00059</t>
  </si>
  <si>
    <t>ORD-02296</t>
  </si>
  <si>
    <t>ORD-01945</t>
  </si>
  <si>
    <t>ORD-02688</t>
  </si>
  <si>
    <t>ORD-02624</t>
  </si>
  <si>
    <t>ORD-02464</t>
  </si>
  <si>
    <t>ORD-00506</t>
  </si>
  <si>
    <t>ORD-00939</t>
  </si>
  <si>
    <t>ORD-02255</t>
  </si>
  <si>
    <t>ORD-02874</t>
  </si>
  <si>
    <t>ORD-02479</t>
  </si>
  <si>
    <t>ORD-00360</t>
  </si>
  <si>
    <t>ORD-01948</t>
  </si>
  <si>
    <t>ORD-01170</t>
  </si>
  <si>
    <t>ORD-02992</t>
  </si>
  <si>
    <t>ORD-02652</t>
  </si>
  <si>
    <t>ORD-00208</t>
  </si>
  <si>
    <t>ORD-00161</t>
  </si>
  <si>
    <t>ORD-01323</t>
  </si>
  <si>
    <t>ORD-00347</t>
  </si>
  <si>
    <t>ORD-01628</t>
  </si>
  <si>
    <t>ORD-00069</t>
  </si>
  <si>
    <t>ORD-02094</t>
  </si>
  <si>
    <t>ORD-01230</t>
  </si>
  <si>
    <t>ORD-02088</t>
  </si>
  <si>
    <t>ORD-00636</t>
  </si>
  <si>
    <t>ORD-01066</t>
  </si>
  <si>
    <t>ORD-02521</t>
  </si>
  <si>
    <t>ORD-02244</t>
  </si>
  <si>
    <t>ORD-01174</t>
  </si>
  <si>
    <t>ORD-02691</t>
  </si>
  <si>
    <t>ORD-01475</t>
  </si>
  <si>
    <t>ORD-00626</t>
  </si>
  <si>
    <t>ORD-00134</t>
  </si>
  <si>
    <t>ORD-02055</t>
  </si>
  <si>
    <t>ORD-02859</t>
  </si>
  <si>
    <t>ORD-02572</t>
  </si>
  <si>
    <t>ORD-01671</t>
  </si>
  <si>
    <t>ORD-00078</t>
  </si>
  <si>
    <t>ORD-02152</t>
  </si>
  <si>
    <t>ORD-00867</t>
  </si>
  <si>
    <t>ORD-02095</t>
  </si>
  <si>
    <t>ORD-02728</t>
  </si>
  <si>
    <t>ORD-01358</t>
  </si>
  <si>
    <t>ORD-02850</t>
  </si>
  <si>
    <t>ORD-01520</t>
  </si>
  <si>
    <t>ORD-01761</t>
  </si>
  <si>
    <t>ORD-02805</t>
  </si>
  <si>
    <t>ORD-01562</t>
  </si>
  <si>
    <t>ORD-00004</t>
  </si>
  <si>
    <t>ORD-01731</t>
  </si>
  <si>
    <t>ORD-00681</t>
  </si>
  <si>
    <t>ORD-02180</t>
  </si>
  <si>
    <t>ORD-00957</t>
  </si>
  <si>
    <t>ORD-02694</t>
  </si>
  <si>
    <t>ORD-01055</t>
  </si>
  <si>
    <t>ORD-00416</t>
  </si>
  <si>
    <t>ORD-00590</t>
  </si>
  <si>
    <t>ORD-00527</t>
  </si>
  <si>
    <t>ORD-02362</t>
  </si>
  <si>
    <t>ORD-01662</t>
  </si>
  <si>
    <t>ORD-02024</t>
  </si>
  <si>
    <t>ORD-02034</t>
  </si>
  <si>
    <t>ORD-01643</t>
  </si>
  <si>
    <t>ORD-00326</t>
  </si>
  <si>
    <t>ORD-02056</t>
  </si>
  <si>
    <t>ORD-00170</t>
  </si>
  <si>
    <t>ORD-02790</t>
  </si>
  <si>
    <t>ORD-02988</t>
  </si>
  <si>
    <t>ORD-01881</t>
  </si>
  <si>
    <t>ORD-01355</t>
  </si>
  <si>
    <t>ORD-01073</t>
  </si>
  <si>
    <t>ORD-02084</t>
  </si>
  <si>
    <t>ORD-00407</t>
  </si>
  <si>
    <t>ORD-00415</t>
  </si>
  <si>
    <t>ORD-00123</t>
  </si>
  <si>
    <t>ORD-02751</t>
  </si>
  <si>
    <t>ORD-00581</t>
  </si>
  <si>
    <t>ORD-01661</t>
  </si>
  <si>
    <t>ORD-01760</t>
  </si>
  <si>
    <t>ORD-01838</t>
  </si>
  <si>
    <t>ORD-00502</t>
  </si>
  <si>
    <t>ORD-02658</t>
  </si>
  <si>
    <t>ORD-02215</t>
  </si>
  <si>
    <t>ORD-01102</t>
  </si>
  <si>
    <t>ORD-02961</t>
  </si>
  <si>
    <t>ORD-00963</t>
  </si>
  <si>
    <t>ORD-01665</t>
  </si>
  <si>
    <t>ORD-00205</t>
  </si>
  <si>
    <t>ORD-02771</t>
  </si>
  <si>
    <t>ORD-00894</t>
  </si>
  <si>
    <t>ORD-00545</t>
  </si>
  <si>
    <t>ORD-02235</t>
  </si>
  <si>
    <t>ORD-02315</t>
  </si>
  <si>
    <t>ORD-01301</t>
  </si>
  <si>
    <t>ORD-00694</t>
  </si>
  <si>
    <t>ORD-02256</t>
  </si>
  <si>
    <t>ORD-01013</t>
  </si>
  <si>
    <t>ORD-02935</t>
  </si>
  <si>
    <t>ORD-02717</t>
  </si>
  <si>
    <t>ORD-02329</t>
  </si>
  <si>
    <t>ORD-02423</t>
  </si>
  <si>
    <t>ORD-01202</t>
  </si>
  <si>
    <t>ORD-01186</t>
  </si>
  <si>
    <t>ORD-01571</t>
  </si>
  <si>
    <t>ORD-00571</t>
  </si>
  <si>
    <t>ORD-00554</t>
  </si>
  <si>
    <t>ORD-00397</t>
  </si>
  <si>
    <t>ORD-01842</t>
  </si>
  <si>
    <t>ORD-02134</t>
  </si>
  <si>
    <t>ORD-00181</t>
  </si>
  <si>
    <t>ORD-00274</t>
  </si>
  <si>
    <t>ORD-00917</t>
  </si>
  <si>
    <t>ORD-02591</t>
  </si>
  <si>
    <t>ORD-01814</t>
  </si>
  <si>
    <t>ORD-00871</t>
  </si>
  <si>
    <t>ORD-00705</t>
  </si>
  <si>
    <t>ORD-00782</t>
  </si>
  <si>
    <t>ORD-02218</t>
  </si>
  <si>
    <t>ORD-02819</t>
  </si>
  <si>
    <t>ORD-02560</t>
  </si>
  <si>
    <t>ORD-02948</t>
  </si>
  <si>
    <t>ORD-01264</t>
  </si>
  <si>
    <t>ORD-00937</t>
  </si>
  <si>
    <t>ORD-00349</t>
  </si>
  <si>
    <t>ORD-02148</t>
  </si>
  <si>
    <t>ORD-01059</t>
  </si>
  <si>
    <t>ORD-02350</t>
  </si>
  <si>
    <t>ORD-01679</t>
  </si>
  <si>
    <t>ORD-01115</t>
  </si>
  <si>
    <t>ORD-00017</t>
  </si>
  <si>
    <t>ORD-00606</t>
  </si>
  <si>
    <t>ORD-02514</t>
  </si>
  <si>
    <t>ORD-02175</t>
  </si>
  <si>
    <t>ORD-00242</t>
  </si>
  <si>
    <t>ORD-01383</t>
  </si>
  <si>
    <t>ORD-02702</t>
  </si>
  <si>
    <t>ORD-01664</t>
  </si>
  <si>
    <t>ORD-00072</t>
  </si>
  <si>
    <t>ORD-00656</t>
  </si>
  <si>
    <t>ORD-00047</t>
  </si>
  <si>
    <t>ORD-01052</t>
  </si>
  <si>
    <t>ORD-02582</t>
  </si>
  <si>
    <t>ORD-02952</t>
  </si>
  <si>
    <t>ORD-00873</t>
  </si>
  <si>
    <t>ORD-01384</t>
  </si>
  <si>
    <t>ORD-02742</t>
  </si>
  <si>
    <t>ORD-02760</t>
  </si>
  <si>
    <t>ORD-00889</t>
  </si>
  <si>
    <t>ORD-01772</t>
  </si>
  <si>
    <t>ORD-00638</t>
  </si>
  <si>
    <t>ORD-01011</t>
  </si>
  <si>
    <t>ORD-00246</t>
  </si>
  <si>
    <t>ORD-01179</t>
  </si>
  <si>
    <t>ORD-02989</t>
  </si>
  <si>
    <t>ORD-02399</t>
  </si>
  <si>
    <t>ORD-00224</t>
  </si>
  <si>
    <t>ORD-01423</t>
  </si>
  <si>
    <t>ORD-01890</t>
  </si>
  <si>
    <t>ORD-02424</t>
  </si>
  <si>
    <t>ORD-02044</t>
  </si>
  <si>
    <t>ORD-00971</t>
  </si>
  <si>
    <t>ORD-00886</t>
  </si>
  <si>
    <t>ORD-01388</t>
  </si>
  <si>
    <t>ORD-01326</t>
  </si>
  <si>
    <t>ORD-00481</t>
  </si>
  <si>
    <t>ORD-00836</t>
  </si>
  <si>
    <t>ORD-01821</t>
  </si>
  <si>
    <t>ORD-02267</t>
  </si>
  <si>
    <t>ORD-01342</t>
  </si>
  <si>
    <t>ORD-02070</t>
  </si>
  <si>
    <t>ORD-02923</t>
  </si>
  <si>
    <t>ORD-02926</t>
  </si>
  <si>
    <t>ORD-00470</t>
  </si>
  <si>
    <t>ORD-02086</t>
  </si>
  <si>
    <t>ORD-02844</t>
  </si>
  <si>
    <t>ORD-01240</t>
  </si>
  <si>
    <t>ORD-01477</t>
  </si>
  <si>
    <t>ORD-00311</t>
  </si>
  <si>
    <t>ORD-00488</t>
  </si>
  <si>
    <t>ORD-02260</t>
  </si>
  <si>
    <t>ORD-00790</t>
  </si>
  <si>
    <t>ORD-01411</t>
  </si>
  <si>
    <t>ORD-01382</t>
  </si>
  <si>
    <t>ORD-01328</t>
  </si>
  <si>
    <t>ORD-02397</t>
  </si>
  <si>
    <t>ORD-00775</t>
  </si>
  <si>
    <t>ORD-01880</t>
  </si>
  <si>
    <t>ORD-00944</t>
  </si>
  <si>
    <t>ORD-01167</t>
  </si>
  <si>
    <t>ORD-02884</t>
  </si>
  <si>
    <t>ORD-02606</t>
  </si>
  <si>
    <t>ORD-01542</t>
  </si>
  <si>
    <t>ORD-02541</t>
  </si>
  <si>
    <t>ORD-01365</t>
  </si>
  <si>
    <t>ORD-02406</t>
  </si>
  <si>
    <t>ORD-00754</t>
  </si>
  <si>
    <t>ORD-00755</t>
  </si>
  <si>
    <t>ORD-02722</t>
  </si>
  <si>
    <t>ORD-01493</t>
  </si>
  <si>
    <t>ORD-01089</t>
  </si>
  <si>
    <t>ORD-02861</t>
  </si>
  <si>
    <t>ORD-00158</t>
  </si>
  <si>
    <t>ORD-01749</t>
  </si>
  <si>
    <t>ORD-02956</t>
  </si>
  <si>
    <t>ORD-01549</t>
  </si>
  <si>
    <t>ORD-02251</t>
  </si>
  <si>
    <t>ORD-01147</t>
  </si>
  <si>
    <t>ORD-01510</t>
  </si>
  <si>
    <t>ORD-01893</t>
  </si>
  <si>
    <t>ORD-00159</t>
  </si>
  <si>
    <t>ORD-01393</t>
  </si>
  <si>
    <t>ORD-01766</t>
  </si>
  <si>
    <t>ORD-02268</t>
  </si>
  <si>
    <t>ORD-01787</t>
  </si>
  <si>
    <t>ORD-01952</t>
  </si>
  <si>
    <t>ORD-02671</t>
  </si>
  <si>
    <t>ORD-02743</t>
  </si>
  <si>
    <t>ORD-01419</t>
  </si>
  <si>
    <t>ORD-01345</t>
  </si>
  <si>
    <t>ORD-00646</t>
  </si>
  <si>
    <t>ORD-02028</t>
  </si>
  <si>
    <t>ORD-01979</t>
  </si>
  <si>
    <t>ORD-01847</t>
  </si>
  <si>
    <t>ORD-01443</t>
  </si>
  <si>
    <t>ORD-02518</t>
  </si>
  <si>
    <t>ORD-01321</t>
  </si>
  <si>
    <t>ORD-02241</t>
  </si>
  <si>
    <t>ORD-00645</t>
  </si>
  <si>
    <t>ORD-01750</t>
  </si>
  <si>
    <t>ORD-02616</t>
  </si>
  <si>
    <t>ORD-02930</t>
  </si>
  <si>
    <t>ORD-02754</t>
  </si>
  <si>
    <t>ORD-01615</t>
  </si>
  <si>
    <t>ORD-00380</t>
  </si>
  <si>
    <t>ORD-00280</t>
  </si>
  <si>
    <t>ORD-00637</t>
  </si>
  <si>
    <t>ORD-02179</t>
  </si>
  <si>
    <t>ORD-00264</t>
  </si>
  <si>
    <t>ORD-02106</t>
  </si>
  <si>
    <t>ORD-00555</t>
  </si>
  <si>
    <t>ORD-02196</t>
  </si>
  <si>
    <t>ORD-00843</t>
  </si>
  <si>
    <t>ORD-02863</t>
  </si>
  <si>
    <t>ORD-02601</t>
  </si>
  <si>
    <t>ORD-01432</t>
  </si>
  <si>
    <t>ORD-02398</t>
  </si>
  <si>
    <t>ORD-00592</t>
  </si>
  <si>
    <t>ORD-01091</t>
  </si>
  <si>
    <t>ORD-02299</t>
  </si>
  <si>
    <t>ORD-00727</t>
  </si>
  <si>
    <t>ORD-02155</t>
  </si>
  <si>
    <t>ORD-02006</t>
  </si>
  <si>
    <t>ORD-02254</t>
  </si>
  <si>
    <t>ORD-02409</t>
  </si>
  <si>
    <t>ORD-02880</t>
  </si>
  <si>
    <t>ORD-00155</t>
  </si>
  <si>
    <t>ORD-00640</t>
  </si>
  <si>
    <t>ORD-01143</t>
  </si>
  <si>
    <t>ORD-01165</t>
  </si>
  <si>
    <t>ORD-02379</t>
  </si>
  <si>
    <t>ORD-02421</t>
  </si>
  <si>
    <t>ORD-02529</t>
  </si>
  <si>
    <t>ORD-01338</t>
  </si>
  <si>
    <t>ORD-01811</t>
  </si>
  <si>
    <t>ORD-02801</t>
  </si>
  <si>
    <t>ORD-00282</t>
  </si>
  <si>
    <t>ORD-00031</t>
  </si>
  <si>
    <t>ORD-02116</t>
  </si>
  <si>
    <t>ORD-00907</t>
  </si>
  <si>
    <t>ORD-02259</t>
  </si>
  <si>
    <t>ORD-02441</t>
  </si>
  <si>
    <t>ORD-00553</t>
  </si>
  <si>
    <t>ORD-00819</t>
  </si>
  <si>
    <t>ORD-00613</t>
  </si>
  <si>
    <t>ORD-01270</t>
  </si>
  <si>
    <t>ORD-02347</t>
  </si>
  <si>
    <t>ORD-01576</t>
  </si>
  <si>
    <t>ORD-02388</t>
  </si>
  <si>
    <t>ORD-00854</t>
  </si>
  <si>
    <t>ORD-00960</t>
  </si>
  <si>
    <t>ORD-01028</t>
  </si>
  <si>
    <t>ORD-01457</t>
  </si>
  <si>
    <t>ORD-00399</t>
  </si>
  <si>
    <t>ORD-00253</t>
  </si>
  <si>
    <t>ORD-02567</t>
  </si>
  <si>
    <t>ORD-02093</t>
  </si>
  <si>
    <t>ORD-01917</t>
  </si>
  <si>
    <t>ORD-02101</t>
  </si>
  <si>
    <t>ORD-02425</t>
  </si>
  <si>
    <t>ORD-02485</t>
  </si>
  <si>
    <t>ORD-02528</t>
  </si>
  <si>
    <t>ORD-01700</t>
  </si>
  <si>
    <t>ORD-02534</t>
  </si>
  <si>
    <t>ORD-02639</t>
  </si>
  <si>
    <t>ORD-00032</t>
  </si>
  <si>
    <t>ORD-02013</t>
  </si>
  <si>
    <t>ORD-01891</t>
  </si>
  <si>
    <t>ORD-00174</t>
  </si>
  <si>
    <t>ORD-00614</t>
  </si>
  <si>
    <t>ORD-01746</t>
  </si>
  <si>
    <t>ORD-00816</t>
  </si>
  <si>
    <t>ORD-00110</t>
  </si>
  <si>
    <t>ORD-02564</t>
  </si>
  <si>
    <t>ORD-00482</t>
  </si>
  <si>
    <t>ORD-01573</t>
  </si>
  <si>
    <t>ORD-01427</t>
  </si>
  <si>
    <t>ORD-02294</t>
  </si>
  <si>
    <t>ORD-01292</t>
  </si>
  <si>
    <t>ORD-02629</t>
  </si>
  <si>
    <t>ORD-02258</t>
  </si>
  <si>
    <t>ORD-02043</t>
  </si>
  <si>
    <t>ORD-02102</t>
  </si>
  <si>
    <t>ORD-02542</t>
  </si>
  <si>
    <t>ORD-00352</t>
  </si>
  <si>
    <t>ORD-00784</t>
  </si>
  <si>
    <t>ORD-00101</t>
  </si>
  <si>
    <t>ORD-00268</t>
  </si>
  <si>
    <t>ORD-02571</t>
  </si>
  <si>
    <t>ORD-02143</t>
  </si>
  <si>
    <t>ORD-01464</t>
  </si>
  <si>
    <t>ORD-01644</t>
  </si>
  <si>
    <t>ORD-00142</t>
  </si>
  <si>
    <t>ORD-02263</t>
  </si>
  <si>
    <t>ORD-00425</t>
  </si>
  <si>
    <t>ORD-02369</t>
  </si>
  <si>
    <t>ORD-02845</t>
  </si>
  <si>
    <t>ORD-01899</t>
  </si>
  <si>
    <t>ORD-02756</t>
  </si>
  <si>
    <t>ORD-02622</t>
  </si>
  <si>
    <t>ORD-01912</t>
  </si>
  <si>
    <t>ORD-00371</t>
  </si>
  <si>
    <t>ORD-01546</t>
  </si>
  <si>
    <t>ORD-00798</t>
  </si>
  <si>
    <t>ORD-01403</t>
  </si>
  <si>
    <t>ORD-00413</t>
  </si>
  <si>
    <t>ORD-00895</t>
  </si>
  <si>
    <t>ORD-00552</t>
  </si>
  <si>
    <t>ORD-00378</t>
  </si>
  <si>
    <t>ORD-02440</t>
  </si>
  <si>
    <t>ORD-01987</t>
  </si>
  <si>
    <t>ORD-01781</t>
  </si>
  <si>
    <t>ORD-01901</t>
  </si>
  <si>
    <t>ORD-01622</t>
  </si>
  <si>
    <t>ORD-02834</t>
  </si>
  <si>
    <t>ORD-00582</t>
  </si>
  <si>
    <t>ORD-01934</t>
  </si>
  <si>
    <t>ORD-00516</t>
  </si>
  <si>
    <t>ORD-02568</t>
  </si>
  <si>
    <t>ORD-02112</t>
  </si>
  <si>
    <t>ORD-02820</t>
  </si>
  <si>
    <t>ORD-00118</t>
  </si>
  <si>
    <t>ORD-00923</t>
  </si>
  <si>
    <t>ORD-02287</t>
  </si>
  <si>
    <t>ORD-02746</t>
  </si>
  <si>
    <t>ORD-02205</t>
  </si>
  <si>
    <t>ORD-02203</t>
  </si>
  <si>
    <t>ORD-01690</t>
  </si>
  <si>
    <t>ORD-01278</t>
  </si>
  <si>
    <t>ORD-02544</t>
  </si>
  <si>
    <t>ORD-01131</t>
  </si>
  <si>
    <t>ORD-02740</t>
  </si>
  <si>
    <t>ORD-01706</t>
  </si>
  <si>
    <t>ORD-01414</t>
  </si>
  <si>
    <t>ORD-01258</t>
  </si>
  <si>
    <t>ORD-00943</t>
  </si>
  <si>
    <t>ORD-02827</t>
  </si>
  <si>
    <t>ORD-00215</t>
  </si>
  <si>
    <t>ORD-01487</t>
  </si>
  <si>
    <t>ORD-01036</t>
  </si>
  <si>
    <t>ORD-01379</t>
  </si>
  <si>
    <t>ORD-01268</t>
  </si>
  <si>
    <t>ORD-02337</t>
  </si>
  <si>
    <t>ORD-01148</t>
  </si>
  <si>
    <t>ORD-00584</t>
  </si>
  <si>
    <t>ORD-01794</t>
  </si>
  <si>
    <t>ORD-01833</t>
  </si>
  <si>
    <t>ORD-00720</t>
  </si>
  <si>
    <t>ORD-01956</t>
  </si>
  <si>
    <t>ORD-02929</t>
  </si>
  <si>
    <t>ORD-02755</t>
  </si>
  <si>
    <t>ORD-02416</t>
  </si>
  <si>
    <t>ORD-00600</t>
  </si>
  <si>
    <t>ORD-01097</t>
  </si>
  <si>
    <t>ORD-02162</t>
  </si>
  <si>
    <t>ORD-01502</t>
  </si>
  <si>
    <t>ORD-00480</t>
  </si>
  <si>
    <t>ORD-00948</t>
  </si>
  <si>
    <t>ORD-02395</t>
  </si>
  <si>
    <t>ORD-01802</t>
  </si>
  <si>
    <t>ORD-01736</t>
  </si>
  <si>
    <t>ORD-00535</t>
  </si>
  <si>
    <t>ORD-01185</t>
  </si>
  <si>
    <t>ORD-00858</t>
  </si>
  <si>
    <t>ORD-01418</t>
  </si>
  <si>
    <t>ORD-00014</t>
  </si>
  <si>
    <t>ORD-00353</t>
  </si>
  <si>
    <t>ORD-00728</t>
  </si>
  <si>
    <t>ORD-00204</t>
  </si>
  <si>
    <t>ORD-02321</t>
  </si>
  <si>
    <t>ORD-00221</t>
  </si>
  <si>
    <t>ORD-00893</t>
  </si>
  <si>
    <t>ORD-01346</t>
  </si>
  <si>
    <t>ORD-02068</t>
  </si>
  <si>
    <t>ORD-01385</t>
  </si>
  <si>
    <t>ORD-01347</t>
  </si>
  <si>
    <t>ORD-00468</t>
  </si>
  <si>
    <t>ORD-01795</t>
  </si>
  <si>
    <t>ORD-01361</t>
  </si>
  <si>
    <t>ORD-00097</t>
  </si>
  <si>
    <t>ORD-00769</t>
  </si>
  <si>
    <t>ORD-01735</t>
  </si>
  <si>
    <t>ORD-02306</t>
  </si>
  <si>
    <t>ORD-00648</t>
  </si>
  <si>
    <t>ORD-02669</t>
  </si>
  <si>
    <t>ORD-00007</t>
  </si>
  <si>
    <t>ORD-02104</t>
  </si>
  <si>
    <t>ORD-01916</t>
  </si>
  <si>
    <t>ORD-02643</t>
  </si>
  <si>
    <t>ORD-02922</t>
  </si>
  <si>
    <t>ORD-00222</t>
  </si>
  <si>
    <t>ORD-01999</t>
  </si>
  <si>
    <t>ORD-02781</t>
  </si>
  <si>
    <t>ORD-02498</t>
  </si>
  <si>
    <t>ORD-02907</t>
  </si>
  <si>
    <t>ORD-02803</t>
  </si>
  <si>
    <t>ORD-00485</t>
  </si>
  <si>
    <t>ORD-00292</t>
  </si>
  <si>
    <t>ORD-01716</t>
  </si>
  <si>
    <t>ORD-01254</t>
  </si>
  <si>
    <t>ORD-01935</t>
  </si>
  <si>
    <t>ORD-00767</t>
  </si>
  <si>
    <t>ORD-00259</t>
  </si>
  <si>
    <t>ORD-02708</t>
  </si>
  <si>
    <t>ORD-01348</t>
  </si>
  <si>
    <t>ORD-02824</t>
  </si>
  <si>
    <t>ORD-01708</t>
  </si>
  <si>
    <t>ORD-00970</t>
  </si>
  <si>
    <t>ORD-00278</t>
  </si>
  <si>
    <t>ORD-00206</t>
  </si>
  <si>
    <t>ORD-01862</t>
  </si>
  <si>
    <t>ORD-02401</t>
  </si>
  <si>
    <t>ORD-02435</t>
  </si>
  <si>
    <t>ORD-01654</t>
  </si>
  <si>
    <t>ORD-00593</t>
  </si>
  <si>
    <t>ORD-01659</t>
  </si>
  <si>
    <t>ORD-00313</t>
  </si>
  <si>
    <t>ORD-00596</t>
  </si>
  <si>
    <t>ORD-02787</t>
  </si>
  <si>
    <t>ORD-00296</t>
  </si>
  <si>
    <t>ORD-00708</t>
  </si>
  <si>
    <t>ORD-02214</t>
  </si>
  <si>
    <t>ORD-01370</t>
  </si>
  <si>
    <t>ORD-02778</t>
  </si>
  <si>
    <t>ORD-01334</t>
  </si>
  <si>
    <t>ORD-01137</t>
  </si>
  <si>
    <t>ORD-00942</t>
  </si>
  <si>
    <t>ORD-02389</t>
  </si>
  <si>
    <t>ORD-02372</t>
  </si>
  <si>
    <t>ORD-00792</t>
  </si>
  <si>
    <t>ORD-01701</t>
  </si>
  <si>
    <t>ORD-01082</t>
  </si>
  <si>
    <t>ORD-02590</t>
  </si>
  <si>
    <t>ORD-02040</t>
  </si>
  <si>
    <t>ORD-01994</t>
  </si>
  <si>
    <t>ORD-00683</t>
  </si>
  <si>
    <t>ORD-01354</t>
  </si>
  <si>
    <t>ORD-00145</t>
  </si>
  <si>
    <t>ORD-00832</t>
  </si>
  <si>
    <t>ORD-00071</t>
  </si>
  <si>
    <t>ORD-02918</t>
  </si>
  <si>
    <t>ORD-02246</t>
  </si>
  <si>
    <t>ORD-01836</t>
  </si>
  <si>
    <t>ORD-02429</t>
  </si>
  <si>
    <t>ORD-00337</t>
  </si>
  <si>
    <t>ORD-02249</t>
  </si>
  <si>
    <t>ORD-00034</t>
  </si>
  <si>
    <t>ORD-02866</t>
  </si>
  <si>
    <t>ORD-01260</t>
  </si>
  <si>
    <t>ORD-00610</t>
  </si>
  <si>
    <t>ORD-00964</t>
  </si>
  <si>
    <t>ORD-01606</t>
  </si>
  <si>
    <t>ORD-02156</t>
  </si>
  <si>
    <t>ORD-02354</t>
  </si>
  <si>
    <t>ORD-02700</t>
  </si>
  <si>
    <t>ORD-00247</t>
  </si>
  <si>
    <t>ORD-01940</t>
  </si>
  <si>
    <t>ORD-00387</t>
  </si>
  <si>
    <t>ORD-01369</t>
  </si>
  <si>
    <t>ORD-03000</t>
  </si>
  <si>
    <t>ORD-00547</t>
  </si>
  <si>
    <t>ORD-00813</t>
  </si>
  <si>
    <t>ORD-02074</t>
  </si>
  <si>
    <t>ORD-02426</t>
  </si>
  <si>
    <t>ORD-02559</t>
  </si>
  <si>
    <t>ORD-01229</t>
  </si>
  <si>
    <t>ORD-01232</t>
  </si>
  <si>
    <t>ORD-01703</t>
  </si>
  <si>
    <t>ORD-01238</t>
  </si>
  <si>
    <t>ORD-00262</t>
  </si>
  <si>
    <t>ORD-01449</t>
  </si>
  <si>
    <t>ORD-01499</t>
  </si>
  <si>
    <t>ORD-00860</t>
  </si>
  <si>
    <t>ORD-00707</t>
  </si>
  <si>
    <t>ORD-01589</t>
  </si>
  <si>
    <t>ORD-00833</t>
  </si>
  <si>
    <t>ORD-02966</t>
  </si>
  <si>
    <t>ORD-02862</t>
  </si>
  <si>
    <t>ORD-02366</t>
  </si>
  <si>
    <t>ORD-02609</t>
  </si>
  <si>
    <t>ORD-02663</t>
  </si>
  <si>
    <t>ORD-01054</t>
  </si>
  <si>
    <t>ORD-02457</t>
  </si>
  <si>
    <t>ORD-00362</t>
  </si>
  <si>
    <t>ORD-00095</t>
  </si>
  <si>
    <t>ORD-00915</t>
  </si>
  <si>
    <t>ORD-02455</t>
  </si>
  <si>
    <t>ORD-01162</t>
  </si>
  <si>
    <t>ORD-02951</t>
  </si>
  <si>
    <t>ORD-00941</t>
  </si>
  <si>
    <t>ORD-00029</t>
  </si>
  <si>
    <t>ORD-00849</t>
  </si>
  <si>
    <t>ORD-00183</t>
  </si>
  <si>
    <t>ORD-02015</t>
  </si>
  <si>
    <t>ORD-02569</t>
  </si>
  <si>
    <t>ORD-00469</t>
  </si>
  <si>
    <t>ORD-01577</t>
  </si>
  <si>
    <t>ORD-01006</t>
  </si>
  <si>
    <t>ORD-02185</t>
  </si>
  <si>
    <t>ORD-02611</t>
  </si>
  <si>
    <t>ORD-01511</t>
  </si>
  <si>
    <t>ORD-00220</t>
  </si>
  <si>
    <t>ORD-00136</t>
  </si>
  <si>
    <t>ORD-00151</t>
  </si>
  <si>
    <t>ORD-02459</t>
  </si>
  <si>
    <t>ORD-02002</t>
  </si>
  <si>
    <t>ORD-01234</t>
  </si>
  <si>
    <t>ORD-02359</t>
  </si>
  <si>
    <t>ORD-00765</t>
  </si>
  <si>
    <t>ORD-00995</t>
  </si>
  <si>
    <t>ORD-01283</t>
  </si>
  <si>
    <t>ORD-00811</t>
  </si>
  <si>
    <t>ORD-00350</t>
  </si>
  <si>
    <t>ORD-02417</t>
  </si>
  <si>
    <t>ORD-02520</t>
  </si>
  <si>
    <t>ORD-01453</t>
  </si>
  <si>
    <t>ORD-00475</t>
  </si>
  <si>
    <t>ORD-00341</t>
  </si>
  <si>
    <t>ORD-02647</t>
  </si>
  <si>
    <t>ORD-00758</t>
  </si>
  <si>
    <t>ORD-01829</t>
  </si>
  <si>
    <t>ORD-00540</t>
  </si>
  <si>
    <t>ORD-00965</t>
  </si>
  <si>
    <t>ORD-00226</t>
  </si>
  <si>
    <t>ORD-01485</t>
  </si>
  <si>
    <t>ORD-02220</t>
  </si>
  <si>
    <t>ORD-01217</t>
  </si>
  <si>
    <t>ORD-00818</t>
  </si>
  <si>
    <t>ORD-02335</t>
  </si>
  <si>
    <t>ORD-00805</t>
  </si>
  <si>
    <t>ORD-00358</t>
  </si>
  <si>
    <t>ORD-00888</t>
  </si>
  <si>
    <t>ORD-01195</t>
  </si>
  <si>
    <t>ORD-02767</t>
  </si>
  <si>
    <t>ORD-01005</t>
  </si>
  <si>
    <t>ORD-01142</t>
  </si>
  <si>
    <t>ORD-02785</t>
  </si>
  <si>
    <t>ORD-01525</t>
  </si>
  <si>
    <t>ORD-00752</t>
  </si>
  <si>
    <t>ORD-01710</t>
  </si>
  <si>
    <t>ORD-01646</t>
  </si>
  <si>
    <t>ORD-00438</t>
  </si>
  <si>
    <t>ORD-01344</t>
  </si>
  <si>
    <t>ORD-00429</t>
  </si>
  <si>
    <t>ORD-00795</t>
  </si>
  <si>
    <t>ORD-02333</t>
  </si>
  <si>
    <t>ORD-01877</t>
  </si>
  <si>
    <t>ORD-00129</t>
  </si>
  <si>
    <t>ORD-01524</t>
  </si>
  <si>
    <t>ORD-01785</t>
  </si>
  <si>
    <t>ORD-00148</t>
  </si>
  <si>
    <t>ORD-02085</t>
  </si>
  <si>
    <t>ORD-00400</t>
  </si>
  <si>
    <t>ORD-01570</t>
  </si>
  <si>
    <t>ORD-00924</t>
  </si>
  <si>
    <t>ORD-00289</t>
  </si>
  <si>
    <t>ORD-01294</t>
  </si>
  <si>
    <t>ORD-01430</t>
  </si>
  <si>
    <t>ORD-00973</t>
  </si>
  <si>
    <t>ORD-02500</t>
  </si>
  <si>
    <t>ORD-01973</t>
  </si>
  <si>
    <t>ORD-02130</t>
  </si>
  <si>
    <t>ORD-01783</t>
  </si>
  <si>
    <t>ORD-02823</t>
  </si>
  <si>
    <t>ORD-02825</t>
  </si>
  <si>
    <t>ORD-02355</t>
  </si>
  <si>
    <t>ORD-00585</t>
  </si>
  <si>
    <t>ORD-00611</t>
  </si>
  <si>
    <t>ORD-01035</t>
  </si>
  <si>
    <t>ORD-02718</t>
  </si>
  <si>
    <t>ORD-02835</t>
  </si>
  <si>
    <t>ORD-00761</t>
  </si>
  <si>
    <t>ORD-00825</t>
  </si>
  <si>
    <t>ORD-02302</t>
  </si>
  <si>
    <t>ORD-02575</t>
  </si>
  <si>
    <t>ORD-01747</t>
  </si>
  <si>
    <t>ORD-02154</t>
  </si>
  <si>
    <t>ORD-01163</t>
  </si>
  <si>
    <t>ORD-00320</t>
  </si>
  <si>
    <t>ORD-02607</t>
  </si>
  <si>
    <t>ORD-02126</t>
  </si>
  <si>
    <t>ORD-02096</t>
  </si>
  <si>
    <t>ORD-00777</t>
  </si>
  <si>
    <t>ORD-01555</t>
  </si>
  <si>
    <t>ORD-01106</t>
  </si>
  <si>
    <t>ORD-02192</t>
  </si>
  <si>
    <t>ORD-02087</t>
  </si>
  <si>
    <t>ORD-00695</t>
  </si>
  <si>
    <t>ORD-01406</t>
  </si>
  <si>
    <t>ORD-00003</t>
  </si>
  <si>
    <t>ORD-00060</t>
  </si>
  <si>
    <t>ORD-01848</t>
  </si>
  <si>
    <t>ORD-02651</t>
  </si>
  <si>
    <t>ORD-00551</t>
  </si>
  <si>
    <t>ORD-00160</t>
  </si>
  <si>
    <t>ORD-00450</t>
  </si>
  <si>
    <t>ORD-00991</t>
  </si>
  <si>
    <t>ORD-00716</t>
  </si>
  <si>
    <t>ORD-02217</t>
  </si>
  <si>
    <t>ORD-02650</t>
  </si>
  <si>
    <t>ORD-01341</t>
  </si>
  <si>
    <t>ORD-01611</t>
  </si>
  <si>
    <t>ORD-00385</t>
  </si>
  <si>
    <t>ORD-02290</t>
  </si>
  <si>
    <t>ORD-00294</t>
  </si>
  <si>
    <t>ORD-00018</t>
  </si>
  <si>
    <t>ORD-00580</t>
  </si>
  <si>
    <t>ORD-01409</t>
  </si>
  <si>
    <t>ORD-01455</t>
  </si>
  <si>
    <t>ORD-02098</t>
  </si>
  <si>
    <t>ORD-02697</t>
  </si>
  <si>
    <t>ORD-01305</t>
  </si>
  <si>
    <t>ORD-00762</t>
  </si>
  <si>
    <t>ORD-00531</t>
  </si>
  <si>
    <t>ORD-01770</t>
  </si>
  <si>
    <t>ORD-01441</t>
  </si>
  <si>
    <t>ORD-01123</t>
  </si>
  <si>
    <t>ORD-02789</t>
  </si>
  <si>
    <t>ORD-01257</t>
  </si>
  <si>
    <t>ORD-02937</t>
  </si>
  <si>
    <t>ORD-00411</t>
  </si>
  <si>
    <t>ORD-02556</t>
  </si>
  <si>
    <t>ORD-01381</t>
  </si>
  <si>
    <t>ORD-00458</t>
  </si>
  <si>
    <t>ORD-00935</t>
  </si>
  <si>
    <t>ORD-00435</t>
  </si>
  <si>
    <t>ORD-02832</t>
  </si>
  <si>
    <t>ORD-00178</t>
  </si>
  <si>
    <t>ORD-02580</t>
  </si>
  <si>
    <t>ORD-01377</t>
  </si>
  <si>
    <t>ORD-02349</t>
  </si>
  <si>
    <t>ORD-02978</t>
  </si>
  <si>
    <t>ORD-00023</t>
  </si>
  <si>
    <t>ORD-02451</t>
  </si>
  <si>
    <t>ORD-00279</t>
  </si>
  <si>
    <t>ORD-01888</t>
  </si>
  <si>
    <t>ORD-01929</t>
  </si>
  <si>
    <t>ORD-01023</t>
  </si>
  <si>
    <t>ORD-01034</t>
  </si>
  <si>
    <t>ORD-00978</t>
  </si>
  <si>
    <t>ORD-01636</t>
  </si>
  <si>
    <t>ORD-01791</t>
  </si>
  <si>
    <t>ORD-01161</t>
  </si>
  <si>
    <t>ORD-01199</t>
  </si>
  <si>
    <t>ORD-02877</t>
  </si>
  <si>
    <t>ORD-01505</t>
  </si>
  <si>
    <t>ORD-01652</t>
  </si>
  <si>
    <t>ORD-01507</t>
  </si>
  <si>
    <t>ORD-02316</t>
  </si>
  <si>
    <t>ORD-01926</t>
  </si>
  <si>
    <t>ORD-02005</t>
  </si>
  <si>
    <t>ORD-00662</t>
  </si>
  <si>
    <t>ORD-02053</t>
  </si>
  <si>
    <t>ORD-01855</t>
  </si>
  <si>
    <t>ORD-02741</t>
  </si>
  <si>
    <t>ORD-00510</t>
  </si>
  <si>
    <t>ORD-01024</t>
  </si>
  <si>
    <t>ORD-00730</t>
  </si>
  <si>
    <t>ORD-01976</t>
  </si>
  <si>
    <t>ORD-01190</t>
  </si>
  <si>
    <t>ORD-01261</t>
  </si>
  <si>
    <t>ORD-02050</t>
  </si>
  <si>
    <t>ORD-00674</t>
  </si>
  <si>
    <t>ORD-02504</t>
  </si>
  <si>
    <t>ORD-01719</t>
  </si>
  <si>
    <t>ORD-00979</t>
  </si>
  <si>
    <t>ORD-00135</t>
  </si>
  <si>
    <t>ORD-00821</t>
  </si>
  <si>
    <t>ORD-02882</t>
  </si>
  <si>
    <t>ORD-02083</t>
  </si>
  <si>
    <t>ORD-00671</t>
  </si>
  <si>
    <t>ORD-01741</t>
  </si>
  <si>
    <t>ORD-00356</t>
  </si>
  <si>
    <t>ORD-02493</t>
  </si>
  <si>
    <t>ORD-01885</t>
  </si>
  <si>
    <t>ORD-02422</t>
  </si>
  <si>
    <t>ORD-02668</t>
  </si>
  <si>
    <t>ORD-00558</t>
  </si>
  <si>
    <t>ORD-02579</t>
  </si>
  <si>
    <t>ORD-00789</t>
  </si>
  <si>
    <t>ORD-01933</t>
  </si>
  <si>
    <t>ORD-02906</t>
  </si>
  <si>
    <t>ORD-01558</t>
  </si>
  <si>
    <t>ORD-01858</t>
  </si>
  <si>
    <t>ORD-01918</t>
  </si>
  <si>
    <t>ORD-00624</t>
  </si>
  <si>
    <t>ORD-02562</t>
  </si>
  <si>
    <t>ORD-02017</t>
  </si>
  <si>
    <t>ORD-02536</t>
  </si>
  <si>
    <t>ORD-02812</t>
  </si>
  <si>
    <t>ORD-02449</t>
  </si>
  <si>
    <t>ORD-02967</t>
  </si>
  <si>
    <t>ORD-00518</t>
  </si>
  <si>
    <t>ORD-02563</t>
  </si>
  <si>
    <t>ORD-00783</t>
  </si>
  <si>
    <t>ORD-02656</t>
  </si>
  <si>
    <t>ORD-02883</t>
  </si>
  <si>
    <t>ORD-02997</t>
  </si>
  <si>
    <t>ORD-00686</t>
  </si>
  <si>
    <t>ORD-01853</t>
  </si>
  <si>
    <t>ORD-00334</t>
  </si>
  <si>
    <t>ORD-00676</t>
  </si>
  <si>
    <t>ORD-02968</t>
  </si>
  <si>
    <t>ORD-02122</t>
  </si>
  <si>
    <t>ORD-00252</t>
  </si>
  <si>
    <t>ORD-02871</t>
  </si>
  <si>
    <t>ORD-00928</t>
  </si>
  <si>
    <t>ORD-00408</t>
  </si>
  <si>
    <t>ORD-00303</t>
  </si>
  <si>
    <t>ORD-00663</t>
  </si>
  <si>
    <t>ORD-00933</t>
  </si>
  <si>
    <t>ORD-00556</t>
  </si>
  <si>
    <t>ORD-01231</t>
  </si>
  <si>
    <t>ORD-01330</t>
  </si>
  <si>
    <t>ORD-02265</t>
  </si>
  <si>
    <t>ORD-00987</t>
  </si>
  <si>
    <t>ORD-00631</t>
  </si>
  <si>
    <t>ORD-00434</t>
  </si>
  <si>
    <t>ORD-01431</t>
  </si>
  <si>
    <t>ORD-02231</t>
  </si>
  <si>
    <t>ORD-02917</t>
  </si>
  <si>
    <t>ORD-02732</t>
  </si>
  <si>
    <t>ORD-00395</t>
  </si>
  <si>
    <t>ORD-00099</t>
  </si>
  <si>
    <t>ORD-00201</t>
  </si>
  <si>
    <t>ORD-01042</t>
  </si>
  <si>
    <t>ORD-00192</t>
  </si>
  <si>
    <t>ORD-01635</t>
  </si>
  <si>
    <t>ORD-00011</t>
  </si>
  <si>
    <t>ORD-02915</t>
  </si>
  <si>
    <t>ORD-02887</t>
  </si>
  <si>
    <t>ORD-02703</t>
  </si>
  <si>
    <t>ORD-01907</t>
  </si>
  <si>
    <t>ORD-02298</t>
  </si>
  <si>
    <t>ORD-00163</t>
  </si>
  <si>
    <t>ORD-00092</t>
  </si>
  <si>
    <t>ORD-00599</t>
  </si>
  <si>
    <t>ORD-01269</t>
  </si>
  <si>
    <t>ORD-00307</t>
  </si>
  <si>
    <t>ORD-00375</t>
  </si>
  <si>
    <t>ORD-01728</t>
  </si>
  <si>
    <t>ORD-02931</t>
  </si>
  <si>
    <t>ORD-01512</t>
  </si>
  <si>
    <t>ORD-00653</t>
  </si>
  <si>
    <t>ORD-00339</t>
  </si>
  <si>
    <t>ORD-01993</t>
  </si>
  <si>
    <t>ORD-00910</t>
  </si>
  <si>
    <t>ORD-01129</t>
  </si>
  <si>
    <t>ORD-00067</t>
  </si>
  <si>
    <t>ORD-02902</t>
  </si>
  <si>
    <t>ORD-01164</t>
  </si>
  <si>
    <t>ORD-00776</t>
  </si>
  <si>
    <t>ORD-00239</t>
  </si>
  <si>
    <t>ORD-01957</t>
  </si>
  <si>
    <t>ORD-02061</t>
  </si>
  <si>
    <t>ORD-02846</t>
  </si>
  <si>
    <t>ORD-02391</t>
  </si>
  <si>
    <t>ORD-00009</t>
  </si>
  <si>
    <t>ORD-01437</t>
  </si>
  <si>
    <t>ORD-00426</t>
  </si>
  <si>
    <t>ORD-00536</t>
  </si>
  <si>
    <t>ORD-02477</t>
  </si>
  <si>
    <t>ORD-00712</t>
  </si>
  <si>
    <t>ORD-00734</t>
  </si>
  <si>
    <t>ORD-02041</t>
  </si>
  <si>
    <t>ORD-02810</t>
  </si>
  <si>
    <t>ORD-00896</t>
  </si>
  <si>
    <t>ORD-00522</t>
  </si>
  <si>
    <t>ORD-01134</t>
  </si>
  <si>
    <t>ORD-00578</t>
  </si>
  <si>
    <t>ORD-02962</t>
  </si>
  <si>
    <t>ORD-00121</t>
  </si>
  <si>
    <t>ORD-01974</t>
  </si>
  <si>
    <t>ORD-00549</t>
  </si>
  <si>
    <t>ORD-00669</t>
  </si>
  <si>
    <t>ORD-00697</t>
  </si>
  <si>
    <t>ORD-01523</t>
  </si>
  <si>
    <t>ORD-02757</t>
  </si>
  <si>
    <t>ORD-01980</t>
  </si>
  <si>
    <t>ORD-00209</t>
  </si>
  <si>
    <t>ORD-00892</t>
  </si>
  <si>
    <t>ORD-01021</t>
  </si>
  <si>
    <t>ORD-02471</t>
  </si>
  <si>
    <t>ORD-02307</t>
  </si>
  <si>
    <t>ORD-00055</t>
  </si>
  <si>
    <t>ORD-02730</t>
  </si>
  <si>
    <t>ORD-01376</t>
  </si>
  <si>
    <t>ORD-00794</t>
  </si>
  <si>
    <t>ORD-01019</t>
  </si>
  <si>
    <t>ORD-02524</t>
  </si>
  <si>
    <t>ORD-02233</t>
  </si>
  <si>
    <t>ORD-00191</t>
  </si>
  <si>
    <t>ORD-02943</t>
  </si>
  <si>
    <t>ORD-02454</t>
  </si>
  <si>
    <t>ORD-01157</t>
  </si>
  <si>
    <t>ORD-02734</t>
  </si>
  <si>
    <t>ORD-00457</t>
  </si>
  <si>
    <t>ORD-01049</t>
  </si>
  <si>
    <t>ORD-00381</t>
  </si>
  <si>
    <t>ORD-00030</t>
  </si>
  <si>
    <t>ORD-00801</t>
  </si>
  <si>
    <t>ORD-02909</t>
  </si>
  <si>
    <t>ORD-01155</t>
  </si>
  <si>
    <t>ORD-01743</t>
  </si>
  <si>
    <t>ORD-00717</t>
  </si>
  <si>
    <t>ORD-00019</t>
  </si>
  <si>
    <t>ORD-02946</t>
  </si>
  <si>
    <t>ORD-02021</t>
  </si>
  <si>
    <t>ORD-00033</t>
  </si>
  <si>
    <t>ORD-02138</t>
  </si>
  <si>
    <t>ORD-00956</t>
  </si>
  <si>
    <t>ORD-02911</t>
  </si>
  <si>
    <t>ORD-01666</t>
  </si>
  <si>
    <t>ORD-01694</t>
  </si>
  <si>
    <t>ORD-01678</t>
  </si>
  <si>
    <t>ORD-00319</t>
  </si>
  <si>
    <t>ORD-00324</t>
  </si>
  <si>
    <t>ORD-01274</t>
  </si>
  <si>
    <t>ORD-00926</t>
  </si>
  <si>
    <t>ORD-01808</t>
  </si>
  <si>
    <t>ORD-02494</t>
  </si>
  <si>
    <t>ORD-01594</t>
  </si>
  <si>
    <t>ORD-01559</t>
  </si>
  <si>
    <t>ORD-00244</t>
  </si>
  <si>
    <t>ORD-01310</t>
  </si>
  <si>
    <t>ORD-01245</t>
  </si>
  <si>
    <t>ORD-00781</t>
  </si>
  <si>
    <t>ORD-01985</t>
  </si>
  <si>
    <t>ORD-01902</t>
  </si>
  <si>
    <t>ORD-00392</t>
  </si>
  <si>
    <t>ORD-02889</t>
  </si>
  <si>
    <t>ORD-02332</t>
  </si>
  <si>
    <t>ORD-00680</t>
  </si>
  <si>
    <t>ORD-00213</t>
  </si>
  <si>
    <t>ORD-01121</t>
  </si>
  <si>
    <t>ORD-02181</t>
  </si>
  <si>
    <t>ORD-02486</t>
  </si>
  <si>
    <t>ORD-01070</t>
  </si>
  <si>
    <t>ORD-02352</t>
  </si>
  <si>
    <t>ORD-02072</t>
  </si>
  <si>
    <t>ORD-02672</t>
  </si>
  <si>
    <t>ORD-01205</t>
  </si>
  <si>
    <t>ORD-01824</t>
  </si>
  <si>
    <t>ORD-00620</t>
  </si>
  <si>
    <t>ORD-02222</t>
  </si>
  <si>
    <t>ORD-00374</t>
  </si>
  <si>
    <t>ORD-02630</t>
  </si>
  <si>
    <t>ORD-02089</t>
  </si>
  <si>
    <t>ORD-01366</t>
  </si>
  <si>
    <t>ORD-01913</t>
  </si>
  <si>
    <t>ORD-01634</t>
  </si>
  <si>
    <t>ORD-01582</t>
  </si>
  <si>
    <t>ORD-01733</t>
  </si>
  <si>
    <t>ORD-00812</t>
  </si>
  <si>
    <t>ORD-01725</t>
  </si>
  <si>
    <t>ORD-00785</t>
  </si>
  <si>
    <t>ORD-02160</t>
  </si>
  <si>
    <t>ORD-02186</t>
  </si>
  <si>
    <t>ORD-01689</t>
  </si>
  <si>
    <t>ORD-01460</t>
  </si>
  <si>
    <t>ORD-00113</t>
  </si>
  <si>
    <t>ORD-00993</t>
  </si>
  <si>
    <t>ORD-02950</t>
  </si>
  <si>
    <t>ORD-01368</t>
  </si>
  <si>
    <t>ORD-01350</t>
  </si>
  <si>
    <t>ORD-01335</t>
  </si>
  <si>
    <t>ORD-02375</t>
  </si>
  <si>
    <t>ORD-01834</t>
  </si>
  <si>
    <t>ORD-00235</t>
  </si>
  <si>
    <t>ORD-02170</t>
  </si>
  <si>
    <t>ORD-02164</t>
  </si>
  <si>
    <t>ORD-01619</t>
  </si>
  <si>
    <t>ORD-02612</t>
  </si>
  <si>
    <t>ORD-00344</t>
  </si>
  <si>
    <t>ORD-02230</t>
  </si>
  <si>
    <t>ORD-00500</t>
  </si>
  <si>
    <t>ORD-00318</t>
  </si>
  <si>
    <t>ORD-02387</t>
  </si>
  <si>
    <t>ORD-01160</t>
  </si>
  <si>
    <t>ORD-02666</t>
  </si>
  <si>
    <t>ORD-01966</t>
  </si>
  <si>
    <t>ORD-00346</t>
  </si>
  <si>
    <t>ORD-02998</t>
  </si>
  <si>
    <t>ORD-00658</t>
  </si>
  <si>
    <t>ORD-00310</t>
  </si>
  <si>
    <t>ORD-02585</t>
  </si>
  <si>
    <t>ORD-02604</t>
  </si>
  <si>
    <t>ORD-00302</t>
  </si>
  <si>
    <t>ORD-02482</t>
  </si>
  <si>
    <t>ORD-01440</t>
  </si>
  <si>
    <t>ORD-00627</t>
  </si>
  <si>
    <t>ORD-01181</t>
  </si>
  <si>
    <t>ORD-00237</t>
  </si>
  <si>
    <t>ORD-00093</t>
  </si>
  <si>
    <t>ORD-02711</t>
  </si>
  <si>
    <t>ORD-01497</t>
  </si>
  <si>
    <t>ORD-00999</t>
  </si>
  <si>
    <t>ORD-02381</t>
  </si>
  <si>
    <t>ORD-00489</t>
  </si>
  <si>
    <t>ORD-02077</t>
  </si>
  <si>
    <t>ORD-00445</t>
  </si>
  <si>
    <t>ORD-00675</t>
  </si>
  <si>
    <t>ORD-00799</t>
  </si>
  <si>
    <t>ORD-02939</t>
  </si>
  <si>
    <t>ORD-02111</t>
  </si>
  <si>
    <t>ORD-02447</t>
  </si>
  <si>
    <t>ORD-02462</t>
  </si>
  <si>
    <t>ORD-00925</t>
  </si>
  <si>
    <t>ORD-00276</t>
  </si>
  <si>
    <t>ORD-01852</t>
  </si>
  <si>
    <t>ORD-02613</t>
  </si>
  <si>
    <t>ORD-00701</t>
  </si>
  <si>
    <t>ORD-02745</t>
  </si>
  <si>
    <t>ORD-01501</t>
  </si>
  <si>
    <t>ORD-01503</t>
  </si>
  <si>
    <t>ORD-00005</t>
  </si>
  <si>
    <t>ORD-01267</t>
  </si>
  <si>
    <t>ORD-00847</t>
  </si>
  <si>
    <t>ORD-02620</t>
  </si>
  <si>
    <t>ORD-00443</t>
  </si>
  <si>
    <t>ORD-02027</t>
  </si>
  <si>
    <t>ORD-01774</t>
  </si>
  <si>
    <t>ORD-02125</t>
  </si>
  <si>
    <t>ORD-00106</t>
  </si>
  <si>
    <t>ORD-02596</t>
  </si>
  <si>
    <t>ORD-01876</t>
  </si>
  <si>
    <t>ORD-02842</t>
  </si>
  <si>
    <t>ORD-02566</t>
  </si>
  <si>
    <t>ORD-00628</t>
  </si>
  <si>
    <t>ORD-01572</t>
  </si>
  <si>
    <t>ORD-01448</t>
  </si>
  <si>
    <t>ORD-01903</t>
  </si>
  <si>
    <t>ORD-02876</t>
  </si>
  <si>
    <t>ORD-01196</t>
  </si>
  <si>
    <t>ORD-01080</t>
  </si>
  <si>
    <t>ORD-01016</t>
  </si>
  <si>
    <t>ORD-01340</t>
  </si>
  <si>
    <t>ORD-01203</t>
  </si>
  <si>
    <t>ORD-00654</t>
  </si>
  <si>
    <t>ORD-01632</t>
  </si>
  <si>
    <t>ORD-00058</t>
  </si>
  <si>
    <t>ORD-01459</t>
  </si>
  <si>
    <t>ORD-00194</t>
  </si>
  <si>
    <t>ORD-00298</t>
  </si>
  <si>
    <t>ORD-01303</t>
  </si>
  <si>
    <t>ORD-02654</t>
  </si>
  <si>
    <t>ORD-01277</t>
  </si>
  <si>
    <t>ORD-02583</t>
  </si>
  <si>
    <t>ORD-01125</t>
  </si>
  <si>
    <t>ORD-01078</t>
  </si>
  <si>
    <t>ORD-01008</t>
  </si>
  <si>
    <t>ORD-02470</t>
  </si>
  <si>
    <t>ORD-01782</t>
  </si>
  <si>
    <t>ORD-02602</t>
  </si>
  <si>
    <t>ORD-00241</t>
  </si>
  <si>
    <t>ORD-02334</t>
  </si>
  <si>
    <t>ORD-00248</t>
  </si>
  <si>
    <t>ORD-02107</t>
  </si>
  <si>
    <t>ORD-01320</t>
  </si>
  <si>
    <t>ORD-01040</t>
  </si>
  <si>
    <t>ORD-00427</t>
  </si>
  <si>
    <t>ORD-00147</t>
  </si>
  <si>
    <t>ORD-02649</t>
  </si>
  <si>
    <t>ORD-00677</t>
  </si>
  <si>
    <t>ORD-02648</t>
  </si>
  <si>
    <t>ORD-00657</t>
  </si>
  <si>
    <t>ORD-02687</t>
  </si>
  <si>
    <t>ORD-01285</t>
  </si>
  <si>
    <t>ORD-00900</t>
  </si>
  <si>
    <t>ORD-02081</t>
  </si>
  <si>
    <t>ORD-02822</t>
  </si>
  <si>
    <t>ORD-02213</t>
  </si>
  <si>
    <t>ORD-00912</t>
  </si>
  <si>
    <t>ORD-00126</t>
  </si>
  <si>
    <t>ORD-00644</t>
  </si>
  <si>
    <t>ORD-00172</t>
  </si>
  <si>
    <t>ORD-02010</t>
  </si>
  <si>
    <t>ORD-00882</t>
  </si>
  <si>
    <t>ORD-01481</t>
  </si>
  <si>
    <t>ORD-01248</t>
  </si>
  <si>
    <t>ORD-00586</t>
  </si>
  <si>
    <t>ORD-01182</t>
  </si>
  <si>
    <t>ORD-02377</t>
  </si>
  <si>
    <t>ORD-01998</t>
  </si>
  <si>
    <t>ORD-00267</t>
  </si>
  <si>
    <t>ORD-00419</t>
  </si>
  <si>
    <t>ORD-02322</t>
  </si>
  <si>
    <t>ORD-00814</t>
  </si>
  <si>
    <t>ORD-02458</t>
  </si>
  <si>
    <t>ORD-02960</t>
  </si>
  <si>
    <t>ORD-00543</t>
  </si>
  <si>
    <t>ORD-02526</t>
  </si>
  <si>
    <t>ORD-02048</t>
  </si>
  <si>
    <t>ORD-01479</t>
  </si>
  <si>
    <t>ORD-01259</t>
  </si>
  <si>
    <t>ORD-00214</t>
  </si>
  <si>
    <t>ORD-01053</t>
  </si>
  <si>
    <t>ORD-00863</t>
  </si>
  <si>
    <t>ORD-00200</t>
  </si>
  <si>
    <t>ORD-01997</t>
  </si>
  <si>
    <t>ORD-01098</t>
  </si>
  <si>
    <t>ORD-02693</t>
  </si>
  <si>
    <t>ORD-00576</t>
  </si>
  <si>
    <t>ORD-02283</t>
  </si>
  <si>
    <t>ORD-02045</t>
  </si>
  <si>
    <t>ORD-01650</t>
  </si>
  <si>
    <t>ORD-00459</t>
  </si>
  <si>
    <t>ORD-00052</t>
  </si>
  <si>
    <t>ORD-01964</t>
  </si>
  <si>
    <t>ORD-00946</t>
  </si>
  <si>
    <t>ORD-02710</t>
  </si>
  <si>
    <t>ORD-01618</t>
  </si>
  <si>
    <t>ORD-02972</t>
  </si>
  <si>
    <t>ORD-01064</t>
  </si>
  <si>
    <t>ORD-02637</t>
  </si>
  <si>
    <t>ORD-00876</t>
  </si>
  <si>
    <t>ORD-00053</t>
  </si>
  <si>
    <t>ORD-00088</t>
  </si>
  <si>
    <t>ORD-00661</t>
  </si>
  <si>
    <t>ORD-02993</t>
  </si>
  <si>
    <t>ORD-02147</t>
  </si>
  <si>
    <t>ORD-00401</t>
  </si>
  <si>
    <t>ORD-02025</t>
  </si>
  <si>
    <t>ORD-00169</t>
  </si>
  <si>
    <t>ORD-01083</t>
  </si>
  <si>
    <t>ORD-02402</t>
  </si>
  <si>
    <t>ORD-00660</t>
  </si>
  <si>
    <t>ORD-01938</t>
  </si>
  <si>
    <t>ORD-02749</t>
  </si>
  <si>
    <t>ORD-00609</t>
  </si>
  <si>
    <t>ORD-02608</t>
  </si>
  <si>
    <t>ORD-00141</t>
  </si>
  <si>
    <t>ORD-00517</t>
  </si>
  <si>
    <t>ORD-01298</t>
  </si>
  <si>
    <t>ORD-01312</t>
  </si>
  <si>
    <t>ORD-00929</t>
  </si>
  <si>
    <t>ORD-02875</t>
  </si>
  <si>
    <t>ORD-02678</t>
  </si>
  <si>
    <t>ORD-00228</t>
  </si>
  <si>
    <t>ORD-00881</t>
  </si>
  <si>
    <t>ORD-01711</t>
  </si>
  <si>
    <t>ORD-00673</t>
  </si>
  <si>
    <t>ORD-02272</t>
  </si>
  <si>
    <t>ORD-02384</t>
  </si>
  <si>
    <t>ORD-02828</t>
  </si>
  <si>
    <t>ORD-00185</t>
  </si>
  <si>
    <t>ORD-01223</t>
  </si>
  <si>
    <t>ORD-00529</t>
  </si>
  <si>
    <t>ORD-02735</t>
  </si>
  <si>
    <t>ORD-02847</t>
  </si>
  <si>
    <t>ORD-02792</t>
  </si>
  <si>
    <t>ORD-01491</t>
  </si>
  <si>
    <t>ORD-01363</t>
  </si>
  <si>
    <t>ORD-00503</t>
  </si>
  <si>
    <t>ORD-02223</t>
  </si>
  <si>
    <t>ORD-01732</t>
  </si>
  <si>
    <t>ORD-02539</t>
  </si>
  <si>
    <t>ORD-00947</t>
  </si>
  <si>
    <t>ORD-00835</t>
  </si>
  <si>
    <t>ORD-00124</t>
  </si>
  <si>
    <t>ORD-01872</t>
  </si>
  <si>
    <t>ORD-01168</t>
  </si>
  <si>
    <t>ORD-02826</t>
  </si>
  <si>
    <t>ORD-01740</t>
  </si>
  <si>
    <t>ORD-01828</t>
  </si>
  <si>
    <t>ORD-00064</t>
  </si>
  <si>
    <t>ORD-02516</t>
  </si>
  <si>
    <t>ORD-00272</t>
  </si>
  <si>
    <t>ORD-00994</t>
  </si>
  <si>
    <t>ORD-02314</t>
  </si>
  <si>
    <t>ORD-02497</t>
  </si>
  <si>
    <t>ORD-02635</t>
  </si>
  <si>
    <t>ORD-00132</t>
  </si>
  <si>
    <t>ORD-00062</t>
  </si>
  <si>
    <t>ORD-01738</t>
  </si>
  <si>
    <t>ORD-00140</t>
  </si>
  <si>
    <t>ORD-00958</t>
  </si>
  <si>
    <t>ORD-01058</t>
  </si>
  <si>
    <t>ORD-02550</t>
  </si>
  <si>
    <t>ORD-00842</t>
  </si>
  <si>
    <t>ORD-01012</t>
  </si>
  <si>
    <t>ORD-02833</t>
  </si>
  <si>
    <t>ORD-02117</t>
  </si>
  <si>
    <t>ORD-02762</t>
  </si>
  <si>
    <t>ORD-01194</t>
  </si>
  <si>
    <t>ORD-02813</t>
  </si>
  <si>
    <t>ORD-00735</t>
  </si>
  <si>
    <t>ORD-02208</t>
  </si>
  <si>
    <t>ORD-01532</t>
  </si>
  <si>
    <t>ORD-02030</t>
  </si>
  <si>
    <t>ORD-02144</t>
  </si>
  <si>
    <t>ORD-01551</t>
  </si>
  <si>
    <t>ORD-02867</t>
  </si>
  <si>
    <t>ORD-02492</t>
  </si>
  <si>
    <t>ORD-02627</t>
  </si>
  <si>
    <t>ORD-01077</t>
  </si>
  <si>
    <t>ORD-02226</t>
  </si>
  <si>
    <t>ORD-02914</t>
  </si>
  <si>
    <t>ORD-02999</t>
  </si>
  <si>
    <t>ORD-01211</t>
  </si>
  <si>
    <t>ORD-01447</t>
  </si>
  <si>
    <t>ORD-01193</t>
  </si>
  <si>
    <t>ORD-00164</t>
  </si>
  <si>
    <t>ORD-02039</t>
  </si>
  <si>
    <t>ORD-00316</t>
  </si>
  <si>
    <t>ORD-02305</t>
  </si>
  <si>
    <t>ORD-02965</t>
  </si>
  <si>
    <t>ORD-02018</t>
  </si>
  <si>
    <t>ORD-02109</t>
  </si>
  <si>
    <t>ORD-01219</t>
  </si>
  <si>
    <t>ORD-02505</t>
  </si>
  <si>
    <t>ORD-02408</t>
  </si>
  <si>
    <t>ORD-00899</t>
  </si>
  <si>
    <t>ORD-01988</t>
  </si>
  <si>
    <t>ORD-01003</t>
  </si>
  <si>
    <t>ORD-00679</t>
  </si>
  <si>
    <t>ORD-02706</t>
  </si>
  <si>
    <t>ORD-00139</t>
  </si>
  <si>
    <t>ORD-01832</t>
  </si>
  <si>
    <t>ORD-00281</t>
  </si>
  <si>
    <t>ORD-02712</t>
  </si>
  <si>
    <t>ORD-02636</t>
  </si>
  <si>
    <t>ORD-01145</t>
  </si>
  <si>
    <t>ORD-02815</t>
  </si>
  <si>
    <t>ORD-01533</t>
  </si>
  <si>
    <t>ORD-00037</t>
  </si>
  <si>
    <t>ORD-00866</t>
  </si>
  <si>
    <t>ORD-00568</t>
  </si>
  <si>
    <t>ORD-00255</t>
  </si>
  <si>
    <t>ORD-00309</t>
  </si>
  <si>
    <t>ORD-02312</t>
  </si>
  <si>
    <t>ORD-02309</t>
  </si>
  <si>
    <t>ORD-01713</t>
  </si>
  <si>
    <t>ORD-01375</t>
  </si>
  <si>
    <t>ORD-00405</t>
  </si>
  <si>
    <t>ORD-00234</t>
  </si>
  <si>
    <t>ORD-00283</t>
  </si>
  <si>
    <t>ORD-02816</t>
  </si>
  <si>
    <t>ORD-02804</t>
  </si>
  <si>
    <t>ORD-00351</t>
  </si>
  <si>
    <t>ORD-01886</t>
  </si>
  <si>
    <t>ORD-00980</t>
  </si>
  <si>
    <t>ORD-02157</t>
  </si>
  <si>
    <t>ORD-01820</t>
  </si>
  <si>
    <t>ORD-00897</t>
  </si>
  <si>
    <t>ORD-00420</t>
  </si>
  <si>
    <t>ORD-02341</t>
  </si>
  <si>
    <t>ORD-00921</t>
  </si>
  <si>
    <t>ORD-01374</t>
  </si>
  <si>
    <t>ORD-01201</t>
  </si>
  <si>
    <t>ORD-02679</t>
  </si>
  <si>
    <t>ORD-00949</t>
  </si>
  <si>
    <t>ORD-00981</t>
  </si>
  <si>
    <t>ORD-00098</t>
  </si>
  <si>
    <t>ORD-01236</t>
  </si>
  <si>
    <t>ORD-02026</t>
  </si>
  <si>
    <t>ORD-02461</t>
  </si>
  <si>
    <t>ORD-02153</t>
  </si>
  <si>
    <t>ORD-00217</t>
  </si>
  <si>
    <t>ORD-00270</t>
  </si>
  <si>
    <t>ORD-02799</t>
  </si>
  <si>
    <t>ORD-01965</t>
  </si>
  <si>
    <t>ORD-01818</t>
  </si>
  <si>
    <t>ORD-01669</t>
  </si>
  <si>
    <t>ORD-01674</t>
  </si>
  <si>
    <t>ORD-02052</t>
  </si>
  <si>
    <t>ORD-00383</t>
  </si>
  <si>
    <t>ORD-02996</t>
  </si>
  <si>
    <t>ORD-01904</t>
  </si>
  <si>
    <t>ORD-00732</t>
  </si>
  <si>
    <t>ORD-00091</t>
  </si>
  <si>
    <t>ORD-00483</t>
  </si>
  <si>
    <t>ORD-00065</t>
  </si>
  <si>
    <t>ORD-02991</t>
  </si>
  <si>
    <t>ORD-02051</t>
  </si>
  <si>
    <t>ORD-01300</t>
  </si>
  <si>
    <t>ORD-00840</t>
  </si>
  <si>
    <t>ORD-00484</t>
  </si>
  <si>
    <t>ORD-00733</t>
  </si>
  <si>
    <t>ORD-02353</t>
  </si>
  <si>
    <t>ORD-01060</t>
  </si>
  <si>
    <t>ORD-02304</t>
  </si>
  <si>
    <t>ORD-00238</t>
  </si>
  <si>
    <t>ORD-00166</t>
  </si>
  <si>
    <t>ORD-00263</t>
  </si>
  <si>
    <t>ORD-02252</t>
  </si>
  <si>
    <t>ORD-02079</t>
  </si>
  <si>
    <t>ORD-01299</t>
  </si>
  <si>
    <t>ORD-01777</t>
  </si>
  <si>
    <t>ORD-00922</t>
  </si>
  <si>
    <t>ORD-01809</t>
  </si>
  <si>
    <t>ORD-02901</t>
  </si>
  <si>
    <t>ORD-02800</t>
  </si>
  <si>
    <t>ORD-01113</t>
  </si>
  <si>
    <t>ORD-02019</t>
  </si>
  <si>
    <t>ORD-00501</t>
  </si>
  <si>
    <t>ORD-02444</t>
  </si>
  <si>
    <t>ORD-01616</t>
  </si>
  <si>
    <t>ORD-02431</t>
  </si>
  <si>
    <t>ORD-01496</t>
  </si>
  <si>
    <t>ORD-00511</t>
  </si>
  <si>
    <t>ORD-02970</t>
  </si>
  <si>
    <t>ORD-00477</t>
  </si>
  <si>
    <t>ORD-01990</t>
  </si>
  <si>
    <t>ORD-02603</t>
  </si>
  <si>
    <t>ORD-02118</t>
  </si>
  <si>
    <t>ORD-00370</t>
  </si>
  <si>
    <t>ORD-02646</t>
  </si>
  <si>
    <t>ORD-02188</t>
  </si>
  <si>
    <t>ORD-01968</t>
  </si>
  <si>
    <t>ORD-01963</t>
  </si>
  <si>
    <t>ORD-01331</t>
  </si>
  <si>
    <t>ORD-00534</t>
  </si>
  <si>
    <t>ORD-02724</t>
  </si>
  <si>
    <t>ORD-02631</t>
  </si>
  <si>
    <t>ORD-02100</t>
  </si>
  <si>
    <t>ORD-02865</t>
  </si>
  <si>
    <t>ORD-02110</t>
  </si>
  <si>
    <t>ORD-00726</t>
  </si>
  <si>
    <t>ORD-01585</t>
  </si>
  <si>
    <t>ORD-00919</t>
  </si>
  <si>
    <t>ORD-01839</t>
  </si>
  <si>
    <t>ORD-00741</t>
  </si>
  <si>
    <t>ORD-02280</t>
  </si>
  <si>
    <t>ORD-00254</t>
  </si>
  <si>
    <t>ORD-02123</t>
  </si>
  <si>
    <t>ORD-02976</t>
  </si>
  <si>
    <t>ORD-00345</t>
  </si>
  <si>
    <t>ORD-00969</t>
  </si>
  <si>
    <t>ORD-01426</t>
  </si>
  <si>
    <t>ORD-01991</t>
  </si>
  <si>
    <t>ORD-02701</t>
  </si>
  <si>
    <t>ORD-01495</t>
  </si>
  <si>
    <t>ORD-00474</t>
  </si>
  <si>
    <t>ORD-00930</t>
  </si>
  <si>
    <t>ORD-02219</t>
  </si>
  <si>
    <t>ORD-02480</t>
  </si>
  <si>
    <t>ORD-01489</t>
  </si>
  <si>
    <t>ORD-01022</t>
  </si>
  <si>
    <t>ORD-02753</t>
  </si>
  <si>
    <t>ORD-02744</t>
  </si>
  <si>
    <t>ORD-02661</t>
  </si>
  <si>
    <t>ORD-00874</t>
  </si>
  <si>
    <t>ORD-02916</t>
  </si>
  <si>
    <t>ORD-00323</t>
  </si>
  <si>
    <t>ORD-02769</t>
  </si>
  <si>
    <t>ORD-01206</t>
  </si>
  <si>
    <t>ORD-01076</t>
  </si>
  <si>
    <t>ORD-02873</t>
  </si>
  <si>
    <t>ORD-01695</t>
  </si>
  <si>
    <t>ORD-02982</t>
  </si>
  <si>
    <t>ORD-02817</t>
  </si>
  <si>
    <t>ORD-01762</t>
  </si>
  <si>
    <t>ORD-01018</t>
  </si>
  <si>
    <t>ORD-01133</t>
  </si>
  <si>
    <t>ORD-01396</t>
  </si>
  <si>
    <t>ORD-02770</t>
  </si>
  <si>
    <t>ORD-00424</t>
  </si>
  <si>
    <t>ORD-01992</t>
  </si>
  <si>
    <t>ORD-00186</t>
  </si>
  <si>
    <t>ORD-01775</t>
  </si>
  <si>
    <t>ORD-01574</t>
  </si>
  <si>
    <t>ORD-02282</t>
  </si>
  <si>
    <t>ORD-01621</t>
  </si>
  <si>
    <t>ORD-01204</t>
  </si>
  <si>
    <t>ORD-01188</t>
  </si>
  <si>
    <t>ORD-02007</t>
  </si>
  <si>
    <t>ORD-01467</t>
  </si>
  <si>
    <t>ORD-00240</t>
  </si>
  <si>
    <t>ORD-01474</t>
  </si>
  <si>
    <t>ORD-01879</t>
  </si>
  <si>
    <t>ORD-01356</t>
  </si>
  <si>
    <t>ORD-02400</t>
  </si>
  <si>
    <t>ORD-02531</t>
  </si>
  <si>
    <t>ORD-01648</t>
  </si>
  <si>
    <t>ORD-00992</t>
  </si>
  <si>
    <t>ORD-01526</t>
  </si>
  <si>
    <t>ORD-02793</t>
  </si>
  <si>
    <t>ORD-01593</t>
  </si>
  <si>
    <t>ORD-02473</t>
  </si>
  <si>
    <t>ORD-00112</t>
  </si>
  <si>
    <t>ORD-01209</t>
  </si>
  <si>
    <t>ORD-02807</t>
  </si>
  <si>
    <t>ORD-00643</t>
  </si>
  <si>
    <t>ORD-01692</t>
  </si>
  <si>
    <t>ORD-01552</t>
  </si>
  <si>
    <t>ORD-01598</t>
  </si>
  <si>
    <t>ORD-01796</t>
  </si>
  <si>
    <t>ORD-01580</t>
  </si>
  <si>
    <t>ORD-01866</t>
  </si>
  <si>
    <t>ORD-00619</t>
  </si>
  <si>
    <t>ORD-01567</t>
  </si>
  <si>
    <t>ORD-01435</t>
  </si>
  <si>
    <t>ORD-01434</t>
  </si>
  <si>
    <t>ORD-00780</t>
  </si>
  <si>
    <t>ORD-02977</t>
  </si>
  <si>
    <t>ORD-00102</t>
  </si>
  <si>
    <t>ORD-01522</t>
  </si>
  <si>
    <t>ORD-01989</t>
  </si>
  <si>
    <t>ORD-02066</t>
  </si>
  <si>
    <t>ORD-01220</t>
  </si>
  <si>
    <t>ORD-02726</t>
  </si>
  <si>
    <t>ORD-01537</t>
  </si>
  <si>
    <t>ORD-00317</t>
  </si>
  <si>
    <t>ORD-00083</t>
  </si>
  <si>
    <t>ORD-02720</t>
  </si>
  <si>
    <t>ORD-01410</t>
  </si>
  <si>
    <t>ORD-01801</t>
  </si>
  <si>
    <t>ORD-01462</t>
  </si>
  <si>
    <t>ORD-02809</t>
  </si>
  <si>
    <t>ORD-02496</t>
  </si>
  <si>
    <t>ORD-01074</t>
  </si>
  <si>
    <t>ORD-02131</t>
  </si>
  <si>
    <t>ORD-00070</t>
  </si>
  <si>
    <t>ORD-01517</t>
  </si>
  <si>
    <t>ORD-02538</t>
  </si>
  <si>
    <t>ORD-00056</t>
  </si>
  <si>
    <t>ORD-02713</t>
  </si>
  <si>
    <t>ORD-00880</t>
  </si>
  <si>
    <t>ORD-02466</t>
  </si>
  <si>
    <t>ORD-00945</t>
  </si>
  <si>
    <t>ORD-01857</t>
  </si>
  <si>
    <t>ORD-02975</t>
  </si>
  <si>
    <t>ORD-02343</t>
  </si>
  <si>
    <t>ORD-00114</t>
  </si>
  <si>
    <t>ORD-01898</t>
  </si>
  <si>
    <t>ORD-00951</t>
  </si>
  <si>
    <t>ORD-00690</t>
  </si>
  <si>
    <t>ORD-01324</t>
  </si>
  <si>
    <t>ORD-00837</t>
  </si>
  <si>
    <t>ORD-00243</t>
  </si>
  <si>
    <t>ORD-01617</t>
  </si>
  <si>
    <t>ORD-02012</t>
  </si>
  <si>
    <t>ORD-02797</t>
  </si>
  <si>
    <t>ORD-00512</t>
  </si>
  <si>
    <t>ORD-01271</t>
  </si>
  <si>
    <t>ORD-00693</t>
  </si>
  <si>
    <t>ORD-01408</t>
  </si>
  <si>
    <t>ORD-01883</t>
  </si>
  <si>
    <t>ORD-00322</t>
  </si>
  <si>
    <t>ORD-00803</t>
  </si>
  <si>
    <t>ORD-00040</t>
  </si>
  <si>
    <t>ORD-00883</t>
  </si>
  <si>
    <t>ORD-02303</t>
  </si>
  <si>
    <t>ORD-01183</t>
  </si>
  <si>
    <t>ORD-02410</t>
  </si>
  <si>
    <t>ORD-01469</t>
  </si>
  <si>
    <t>ORD-01568</t>
  </si>
  <si>
    <t>ORD-02644</t>
  </si>
  <si>
    <t>ORD-02540</t>
  </si>
  <si>
    <t>ORD-01627</t>
  </si>
  <si>
    <t>ORD-01931</t>
  </si>
  <si>
    <t>ORD-02577</t>
  </si>
  <si>
    <t>ORD-00117</t>
  </si>
  <si>
    <t>ORD-01380</t>
  </si>
  <si>
    <t>ORD-01626</t>
  </si>
  <si>
    <t>ORD-01823</t>
  </si>
  <si>
    <t>ORD-00542</t>
  </si>
  <si>
    <t>ORD-02042</t>
  </si>
  <si>
    <t>ORD-01176</t>
  </si>
  <si>
    <t>ORD-01835</t>
  </si>
  <si>
    <t>ORD-01128</t>
  </si>
  <si>
    <t>ORD-02623</t>
  </si>
  <si>
    <t>ORD-02270</t>
  </si>
  <si>
    <t>ORD-01187</t>
  </si>
  <si>
    <t>ORD-01276</t>
  </si>
  <si>
    <t>ORD-01119</t>
  </si>
  <si>
    <t>ORD-02082</t>
  </si>
  <si>
    <t>ORD-00495</t>
  </si>
  <si>
    <t>ORD-00560</t>
  </si>
  <si>
    <t>ORD-01251</t>
  </si>
  <si>
    <t>ORD-02682</t>
  </si>
  <si>
    <t>ORD-02476</t>
  </si>
  <si>
    <t>ORD-02634</t>
  </si>
  <si>
    <t>ORD-00074</t>
  </si>
  <si>
    <t>ORD-00740</t>
  </si>
  <si>
    <t>ORD-02276</t>
  </si>
  <si>
    <t>ORD-00330</t>
  </si>
  <si>
    <t>ORD-01314</t>
  </si>
  <si>
    <t>ORD-02121</t>
  </si>
  <si>
    <t>ORD-02245</t>
  </si>
  <si>
    <t>ORD-01590</t>
  </si>
  <si>
    <t>ORD-02183</t>
  </si>
  <si>
    <t>ORD-01905</t>
  </si>
  <si>
    <t>ORD-01244</t>
  </si>
  <si>
    <t>ORD-00523</t>
  </si>
  <si>
    <t>ORD-00565</t>
  </si>
  <si>
    <t>ORD-00288</t>
  </si>
  <si>
    <t>ORD-02519</t>
  </si>
  <si>
    <t>ORD-02987</t>
  </si>
  <si>
    <t>ORD-02958</t>
  </si>
  <si>
    <t>ORD-00233</t>
  </si>
  <si>
    <t>ORD-00505</t>
  </si>
  <si>
    <t>ORD-01742</t>
  </si>
  <si>
    <t>ORD-01056</t>
  </si>
  <si>
    <t>ORD-00035</t>
  </si>
  <si>
    <t>ORD-00786</t>
  </si>
  <si>
    <t>ORD-02595</t>
  </si>
  <si>
    <t>ORD-00764</t>
  </si>
  <si>
    <t>ORD-02851</t>
  </si>
  <si>
    <t>ORD-01020</t>
  </si>
  <si>
    <t>ORD-00340</t>
  </si>
  <si>
    <t>ORD-00024</t>
  </si>
  <si>
    <t>ORD-02990</t>
  </si>
  <si>
    <t>ORD-01198</t>
  </si>
  <si>
    <t>ORD-00603</t>
  </si>
  <si>
    <t>ORD-02547</t>
  </si>
  <si>
    <t>ORD-02777</t>
  </si>
  <si>
    <t>ORD-02940</t>
  </si>
  <si>
    <t>ORD-01969</t>
  </si>
  <si>
    <t>ORD-00748</t>
  </si>
  <si>
    <t>ORD-02266</t>
  </si>
  <si>
    <t>ORD-01061</t>
  </si>
  <si>
    <t>ORD-01986</t>
  </si>
  <si>
    <t>ORD-02499</t>
  </si>
  <si>
    <t>ORD-02438</t>
  </si>
  <si>
    <t>ORD-00203</t>
  </si>
  <si>
    <t>ORD-01894</t>
  </si>
  <si>
    <t>ORD-00787</t>
  </si>
  <si>
    <t>ORD-01776</t>
  </si>
  <si>
    <t>ORD-01773</t>
  </si>
  <si>
    <t>ORD-01995</t>
  </si>
  <si>
    <t>ORD-01900</t>
  </si>
  <si>
    <t>ORD-01975</t>
  </si>
  <si>
    <t>ORD-01727</t>
  </si>
  <si>
    <t>ORD-01250</t>
  </si>
  <si>
    <t>ORD-02238</t>
  </si>
  <si>
    <t>ORD-00528</t>
  </si>
  <si>
    <t>ORD-01553</t>
  </si>
  <si>
    <t>ORD-02796</t>
  </si>
  <si>
    <t>ORD-02588</t>
  </si>
  <si>
    <t>ORD-02216</t>
  </si>
  <si>
    <t>ORD-02173</t>
  </si>
  <si>
    <t>ORD-02925</t>
  </si>
  <si>
    <t>ORD-01896</t>
  </si>
  <si>
    <t>ORD-01724</t>
  </si>
  <si>
    <t>ORD-00759</t>
  </si>
  <si>
    <t>ORD-01275</t>
  </si>
  <si>
    <t>ORD-00879</t>
  </si>
  <si>
    <t>ORD-00109</t>
  </si>
  <si>
    <t>ORD-02681</t>
  </si>
  <si>
    <t>ORD-02151</t>
  </si>
  <si>
    <t>ORD-00120</t>
  </si>
  <si>
    <t>ORD-01528</t>
  </si>
  <si>
    <t>ORD-00831</t>
  </si>
  <si>
    <t>ORD-00398</t>
  </si>
  <si>
    <t>ORD-01709</t>
  </si>
  <si>
    <t>ORD-01705</t>
  </si>
  <si>
    <t>ORD-02985</t>
  </si>
  <si>
    <t>ORD-01446</t>
  </si>
  <si>
    <t>ORD-02065</t>
  </si>
  <si>
    <t>ORD-01420</t>
  </si>
  <si>
    <t>ORD-00437</t>
  </si>
  <si>
    <t>ORD-00743</t>
  </si>
  <si>
    <t>ORD-02638</t>
  </si>
  <si>
    <t>ORD-00983</t>
  </si>
  <si>
    <t>ORD-01667</t>
  </si>
  <si>
    <t>ORD-01286</t>
  </si>
  <si>
    <t>ORD-02795</t>
  </si>
  <si>
    <t>ORD-02344</t>
  </si>
  <si>
    <t>ORD-00490</t>
  </si>
  <si>
    <t>ORD-02191</t>
  </si>
  <si>
    <t>ORD-00770</t>
  </si>
  <si>
    <t>ORD-02324</t>
  </si>
  <si>
    <t>ORD-01241</t>
  </si>
  <si>
    <t>ORD-00464</t>
  </si>
  <si>
    <t>ORD-00284</t>
  </si>
  <si>
    <t>ORD-01641</t>
  </si>
  <si>
    <t>ORD-01110</t>
  </si>
  <si>
    <t>ORD-01962</t>
  </si>
  <si>
    <t>ORD-02243</t>
  </si>
  <si>
    <t>ORD-01114</t>
  </si>
  <si>
    <t>ORD-02576</t>
  </si>
  <si>
    <t>ORD-00314</t>
  </si>
  <si>
    <t>ORD-02295</t>
  </si>
  <si>
    <t>ORD-00386</t>
  </si>
  <si>
    <t>ORD-00647</t>
  </si>
  <si>
    <t>ORD-01817</t>
  </si>
  <si>
    <t>ORD-02920</t>
  </si>
  <si>
    <t>ORD-02378</t>
  </si>
  <si>
    <t>ORD-01543</t>
  </si>
  <si>
    <t>ORD-00455</t>
  </si>
  <si>
    <t>ORD-00080</t>
  </si>
  <si>
    <t>ORD-01087</t>
  </si>
  <si>
    <t>ORD-00451</t>
  </si>
  <si>
    <t>ORD-00738</t>
  </si>
  <si>
    <t>ORD-01841</t>
  </si>
  <si>
    <t>ORD-00447</t>
  </si>
  <si>
    <t>ORD-01498</t>
  </si>
  <si>
    <t>ORD-01471</t>
  </si>
  <si>
    <t>ORD-02439</t>
  </si>
  <si>
    <t>ORD-01422</t>
  </si>
  <si>
    <t>ORD-02032</t>
  </si>
  <si>
    <t>ORD-02885</t>
  </si>
  <si>
    <t>ORD-00524</t>
  </si>
  <si>
    <t>ORD-00038</t>
  </si>
  <si>
    <t>ORD-02325</t>
  </si>
  <si>
    <t>ORD-02139</t>
  </si>
  <si>
    <t>ORD-02091</t>
  </si>
  <si>
    <t>ORD-02908</t>
  </si>
  <si>
    <t>ORD-02264</t>
  </si>
  <si>
    <t>ORD-00299</t>
  </si>
  <si>
    <t>ORD-00308</t>
  </si>
  <si>
    <t>ORD-00202</t>
  </si>
  <si>
    <t>ORD-01322</t>
  </si>
  <si>
    <t>ORD-00768</t>
  </si>
  <si>
    <t>ORD-00668</t>
  </si>
  <si>
    <t>ORD-00043</t>
  </si>
  <si>
    <t>ORD-00756</t>
  </si>
  <si>
    <t>ORD-00016</t>
  </si>
  <si>
    <t>ORD-00256</t>
  </si>
  <si>
    <t>ORD-01153</t>
  </si>
  <si>
    <t>ORD-00138</t>
  </si>
  <si>
    <t>ORD-02731</t>
  </si>
  <si>
    <t>ORD-02000</t>
  </si>
  <si>
    <t>ORD-02145</t>
  </si>
  <si>
    <t>ORD-00525</t>
  </si>
  <si>
    <t>ORD-02286</t>
  </si>
  <si>
    <t>ORD-00271</t>
  </si>
  <si>
    <t>ORD-00010</t>
  </si>
  <si>
    <t>ORD-00219</t>
  </si>
  <si>
    <t>ORD-00918</t>
  </si>
  <si>
    <t>ORD-01697</t>
  </si>
  <si>
    <t>ORD-01433</t>
  </si>
  <si>
    <t>ORD-01812</t>
  </si>
  <si>
    <t>ORD-00094</t>
  </si>
  <si>
    <t>ORD-02593</t>
  </si>
  <si>
    <t>ORD-02054</t>
  </si>
  <si>
    <t>ORD-01316</t>
  </si>
  <si>
    <t>ORD-00936</t>
  </si>
  <si>
    <t>ORD-01081</t>
  </si>
  <si>
    <t>ORD-00815</t>
  </si>
  <si>
    <t>ORD-02610</t>
  </si>
  <si>
    <t>ORD-01486</t>
  </si>
  <si>
    <t>ORD-02548</t>
  </si>
  <si>
    <t>ORD-01575</t>
  </si>
  <si>
    <t>ORD-00800</t>
  </si>
  <si>
    <t>ORD-00699</t>
  </si>
  <si>
    <t>ORD-01950</t>
  </si>
  <si>
    <t>ORD-02248</t>
  </si>
  <si>
    <t>ORD-02190</t>
  </si>
  <si>
    <t>ORD-00365</t>
  </si>
  <si>
    <t>ORD-00985</t>
  </si>
  <si>
    <t>ORD-01587</t>
  </si>
  <si>
    <t>ORD-01797</t>
  </si>
  <si>
    <t>ORD-02895</t>
  </si>
  <si>
    <t>ORD-01620</t>
  </si>
  <si>
    <t>ORD-01378</t>
  </si>
  <si>
    <t>ORD-00846</t>
  </si>
  <si>
    <t>ORD-02689</t>
  </si>
  <si>
    <t>ORD-01534</t>
  </si>
  <si>
    <t>ORD-02393</t>
  </si>
  <si>
    <t>ORD-01364</t>
  </si>
  <si>
    <t>ORD-01531</t>
  </si>
  <si>
    <t>ORD-02212</t>
  </si>
  <si>
    <t>ORD-02570</t>
  </si>
  <si>
    <t>ORD-02954</t>
  </si>
  <si>
    <t>ORD-01149</t>
  </si>
  <si>
    <t>ORD-01262</t>
  </si>
  <si>
    <t>ORD-02092</t>
  </si>
  <si>
    <t>ORD-01391</t>
  </si>
  <si>
    <t>ORD-02642</t>
  </si>
  <si>
    <t>ORD-02641</t>
  </si>
  <si>
    <t>ORD-02158</t>
  </si>
  <si>
    <t>ORD-02821</t>
  </si>
  <si>
    <t>ORD-02046</t>
  </si>
  <si>
    <t>ORD-01359</t>
  </si>
  <si>
    <t>ORD-01688</t>
  </si>
  <si>
    <t>ORD-01416</t>
  </si>
  <si>
    <t>ORD-02114</t>
  </si>
  <si>
    <t>ORD-02269</t>
  </si>
  <si>
    <t>ORD-02427</t>
  </si>
  <si>
    <t>ORD-02764</t>
  </si>
  <si>
    <t>ORD-01191</t>
  </si>
  <si>
    <t>ORD-00410</t>
  </si>
  <si>
    <t>ORD-01656</t>
  </si>
  <si>
    <t>ORD-01612</t>
  </si>
  <si>
    <t>ORD-00826</t>
  </si>
  <si>
    <t>ORD-00920</t>
  </si>
  <si>
    <t>ORD-00974</t>
  </si>
  <si>
    <t>ORD-02523</t>
  </si>
  <si>
    <t>ORD-02587</t>
  </si>
  <si>
    <t>ORD-02165</t>
  </si>
  <si>
    <t>ORD-00649</t>
  </si>
  <si>
    <t>ORD-02537</t>
  </si>
  <si>
    <t>ORD-02979</t>
  </si>
  <si>
    <t>ORD-00848</t>
  </si>
  <si>
    <t>ORD-01367</t>
  </si>
  <si>
    <t>ORD-01224</t>
  </si>
  <si>
    <t>ORD-01752</t>
  </si>
  <si>
    <t>ORD-02747</t>
  </si>
  <si>
    <t>ORD-01504</t>
  </si>
  <si>
    <t>ORD-00418</t>
  </si>
  <si>
    <t>ORD-01915</t>
  </si>
  <si>
    <t>ORD-01599</t>
  </si>
  <si>
    <t>ORD-01466</t>
  </si>
  <si>
    <t>ORD-00875</t>
  </si>
  <si>
    <t>ORD-01027</t>
  </si>
  <si>
    <t>ORD-00997</t>
  </si>
  <si>
    <t>ORD-01561</t>
  </si>
  <si>
    <t>ORD-02695</t>
  </si>
  <si>
    <t>ORD-02289</t>
  </si>
  <si>
    <t>ORD-00909</t>
  </si>
  <si>
    <t>ORD-01815</t>
  </si>
  <si>
    <t>ORD-01308</t>
  </si>
  <si>
    <t>ORD-02995</t>
  </si>
  <si>
    <t>ORD-01282</t>
  </si>
  <si>
    <t>ORD-02798</t>
  </si>
  <si>
    <t>ORD-02814</t>
  </si>
  <si>
    <t>ORD-00655</t>
  </si>
  <si>
    <t>ORD-02443</t>
  </si>
  <si>
    <t>ORD-02176</t>
  </si>
  <si>
    <t>ORD-00325</t>
  </si>
  <si>
    <t>ORD-02686</t>
  </si>
  <si>
    <t>ORD-00988</t>
  </si>
  <si>
    <t>ORD-01959</t>
  </si>
  <si>
    <t>ORD-01790</t>
  </si>
  <si>
    <t>ORD-02766</t>
  </si>
  <si>
    <t>ORD-01529</t>
  </si>
  <si>
    <t>ORD-00587</t>
  </si>
  <si>
    <t>ORD-00934</t>
  </si>
  <si>
    <t>ORD-02685</t>
  </si>
  <si>
    <t>ORD-01045</t>
  </si>
  <si>
    <t>ORD-01287</t>
  </si>
  <si>
    <t>ORD-00509</t>
  </si>
  <si>
    <t>ORD-00736</t>
  </si>
  <si>
    <t>ORD-01099</t>
  </si>
  <si>
    <t>ORD-01218</t>
  </si>
  <si>
    <t>ORD-00865</t>
  </si>
  <si>
    <t>ORD-01763</t>
  </si>
  <si>
    <t>ORD-01597</t>
  </si>
  <si>
    <t>ORD-00086</t>
  </si>
  <si>
    <t>ORD-01668</t>
  </si>
  <si>
    <t>ORD-02905</t>
  </si>
  <si>
    <t>ORD-02869</t>
  </si>
  <si>
    <t>ORD-00731</t>
  </si>
  <si>
    <t>ORD-01614</t>
  </si>
  <si>
    <t>ORD-02532</t>
  </si>
  <si>
    <t>ORD-02928</t>
  </si>
  <si>
    <t>ORD-00562</t>
  </si>
  <si>
    <t>ORD-00703</t>
  </si>
  <si>
    <t>ORD-01519</t>
  </si>
  <si>
    <t>ORD-02119</t>
  </si>
  <si>
    <t>ORD-00713</t>
  </si>
  <si>
    <t>ORD-01139</t>
  </si>
  <si>
    <t>ORD-00641</t>
  </si>
  <si>
    <t>ORD-00851</t>
  </si>
  <si>
    <t>ORD-01865</t>
  </si>
  <si>
    <t>ORD-00887</t>
  </si>
  <si>
    <t>ORD-01132</t>
  </si>
  <si>
    <t>ORD-00901</t>
  </si>
  <si>
    <t>ORD-02515</t>
  </si>
  <si>
    <t>ORD-00953</t>
  </si>
  <si>
    <t>ORD-00575</t>
  </si>
  <si>
    <t>ORD-01306</t>
  </si>
  <si>
    <t>ORD-01141</t>
  </si>
  <si>
    <t>ORD-02594</t>
  </si>
  <si>
    <t>ORD-00567</t>
  </si>
  <si>
    <t>ORD-00393</t>
  </si>
  <si>
    <t>ORD-00076</t>
  </si>
  <si>
    <t>ORD-02696</t>
  </si>
  <si>
    <t>ORD-02484</t>
  </si>
  <si>
    <t>ORD-02450</t>
  </si>
  <si>
    <t>ORD-00331</t>
  </si>
  <si>
    <t>ORD-01515</t>
  </si>
  <si>
    <t>ORD-00632</t>
  </si>
  <si>
    <t>ORD-02371</t>
  </si>
  <si>
    <t>ORD-01639</t>
  </si>
  <si>
    <t>ORD-00210</t>
  </si>
  <si>
    <t>ORD-00473</t>
  </si>
  <si>
    <t>ORD-02565</t>
  </si>
  <si>
    <t>ORD-01349</t>
  </si>
  <si>
    <t>ORD-02868</t>
  </si>
  <si>
    <t>ORD-01723</t>
  </si>
  <si>
    <t>ORD-00682</t>
  </si>
  <si>
    <t>ORD-02020</t>
  </si>
  <si>
    <t>ORD-01092</t>
  </si>
  <si>
    <t>ORD-00041</t>
  </si>
  <si>
    <t>ORD-01221</t>
  </si>
  <si>
    <t>ORD-01887</t>
  </si>
  <si>
    <t>ORD-01304</t>
  </si>
  <si>
    <t>ORD-01720</t>
  </si>
  <si>
    <t>ORD-01400</t>
  </si>
  <si>
    <t>ORD-00090</t>
  </si>
  <si>
    <t>ORD-02275</t>
  </si>
  <si>
    <t>ORD-00718</t>
  </si>
  <si>
    <t>ORD-00742</t>
  </si>
  <si>
    <t>ORD-00057</t>
  </si>
  <si>
    <t>ORD-01140</t>
  </si>
  <si>
    <t>ORD-01458</t>
  </si>
  <si>
    <t>ORD-00724</t>
  </si>
  <si>
    <t>ORD-00634</t>
  </si>
  <si>
    <t>ORD-00472</t>
  </si>
  <si>
    <t>ORD-01438</t>
  </si>
  <si>
    <t>ORD-00066</t>
  </si>
  <si>
    <t>ORD-00332</t>
  </si>
  <si>
    <t>ORD-02586</t>
  </si>
  <si>
    <t>ORD-00698</t>
  </si>
  <si>
    <t>ORD-00306</t>
  </si>
  <si>
    <t>ORD-01216</t>
  </si>
  <si>
    <t>ORD-00196</t>
  </si>
  <si>
    <t>ORD-02062</t>
  </si>
  <si>
    <t>ORD-00436</t>
  </si>
  <si>
    <t>ORD-00431</t>
  </si>
  <si>
    <t>ORD-02838</t>
  </si>
  <si>
    <t>ORD-02709</t>
  </si>
  <si>
    <t>ORD-00670</t>
  </si>
  <si>
    <t>ORD-02829</t>
  </si>
  <si>
    <t>ORD-01253</t>
  </si>
  <si>
    <t>ORD-00642</t>
  </si>
  <si>
    <t>ORD-01452</t>
  </si>
  <si>
    <t>ORD-02346</t>
  </si>
  <si>
    <t>ORD-01685</t>
  </si>
  <si>
    <t>ORD-01942</t>
  </si>
  <si>
    <t>ORD-02394</t>
  </si>
  <si>
    <t>ORD-00008</t>
  </si>
  <si>
    <t>ORD-00700</t>
  </si>
  <si>
    <t>ORD-02340</t>
  </si>
  <si>
    <t>ORD-00225</t>
  </si>
  <si>
    <t>ORD-00042</t>
  </si>
  <si>
    <t>ORD-02677</t>
  </si>
  <si>
    <t>ORD-00266</t>
  </si>
  <si>
    <t>ORD-02773</t>
  </si>
  <si>
    <t>ORD-01799</t>
  </si>
  <si>
    <t>ORD-00189</t>
  </si>
  <si>
    <t>ORD-01150</t>
  </si>
  <si>
    <t>ORD-00621</t>
  </si>
  <si>
    <t>ORD-00157</t>
  </si>
  <si>
    <t>ORD-02348</t>
  </si>
  <si>
    <t>ORD-00579</t>
  </si>
  <si>
    <t>ORD-00952</t>
  </si>
  <si>
    <t>ORD-00441</t>
  </si>
  <si>
    <t>ORD-02984</t>
  </si>
  <si>
    <t>ORD-02132</t>
  </si>
  <si>
    <t>ORD-00595</t>
  </si>
  <si>
    <t>ORD-02076</t>
  </si>
  <si>
    <t>ORD-01840</t>
  </si>
  <si>
    <t>ORD-02574</t>
  </si>
  <si>
    <t>ORD-00103</t>
  </si>
  <si>
    <t>ORD-01633</t>
  </si>
  <si>
    <t>ORD-02546</t>
  </si>
  <si>
    <t>ORD-02229</t>
  </si>
  <si>
    <t>ORD-00089</t>
  </si>
  <si>
    <t>ORD-00622</t>
  </si>
  <si>
    <t>ORD-02474</t>
  </si>
  <si>
    <t>ORD-01730</t>
  </si>
  <si>
    <t>ORD-01892</t>
  </si>
  <si>
    <t>ORD-02487</t>
  </si>
  <si>
    <t>ORD-01492</t>
  </si>
  <si>
    <t>ORD-02014</t>
  </si>
  <si>
    <t>ORD-00853</t>
  </si>
  <si>
    <t>ORD-01521</t>
  </si>
  <si>
    <t>ORD-02959</t>
  </si>
  <si>
    <t>ORD-00343</t>
  </si>
  <si>
    <t>ORD-00476</t>
  </si>
  <si>
    <t>ORD-02510</t>
  </si>
  <si>
    <t>ORD-00539</t>
  </si>
  <si>
    <t>ORD-02419</t>
  </si>
  <si>
    <t>ORD-01482</t>
  </si>
  <si>
    <t>ORD-02854</t>
  </si>
  <si>
    <t>ORD-02374</t>
  </si>
  <si>
    <t>ORD-00301</t>
  </si>
  <si>
    <t>ORD-01600</t>
  </si>
  <si>
    <t>ORD-01046</t>
  </si>
  <si>
    <t>ORD-01921</t>
  </si>
  <si>
    <t>ORD-02468</t>
  </si>
  <si>
    <t>ORD-02336</t>
  </si>
  <si>
    <t>ORD-01026</t>
  </si>
  <si>
    <t>ORD-02382</t>
  </si>
  <si>
    <t>ORD-02665</t>
  </si>
  <si>
    <t>ORD-00013</t>
  </si>
  <si>
    <t>ORD-02934</t>
  </si>
  <si>
    <t>ORD-02758</t>
  </si>
  <si>
    <t>ORD-00719</t>
  </si>
  <si>
    <t>ORD-01112</t>
  </si>
  <si>
    <t>ORD-02475</t>
  </si>
  <si>
    <t>ORD-02933</t>
  </si>
  <si>
    <t>ORD-01242</t>
  </si>
  <si>
    <t>ORD-02855</t>
  </si>
  <si>
    <t>ORD-02376</t>
  </si>
  <si>
    <t>ORD-01544</t>
  </si>
  <si>
    <t>ORD-02392</t>
  </si>
  <si>
    <t>ORD-02358</t>
  </si>
  <si>
    <t>ORD-02597</t>
  </si>
  <si>
    <t>ORD-02788</t>
  </si>
  <si>
    <t>ORD-02491</t>
  </si>
  <si>
    <t>ORD-01970</t>
  </si>
  <si>
    <t>ORD-00589</t>
  </si>
  <si>
    <t>ORD-00861</t>
  </si>
  <si>
    <t>ORD-01707</t>
  </si>
  <si>
    <t>ORD-00903</t>
  </si>
  <si>
    <t>ORD-02257</t>
  </si>
  <si>
    <t>ORD-00100</t>
  </si>
  <si>
    <t>ORD-01514</t>
  </si>
  <si>
    <t>ORD-02204</t>
  </si>
  <si>
    <t>ORD-01399</t>
  </si>
  <si>
    <t>ORD-01197</t>
  </si>
  <si>
    <t>ORD-01451</t>
  </si>
  <si>
    <t>ORD-02490</t>
  </si>
  <si>
    <t>ORD-02618</t>
  </si>
  <si>
    <t>ORD-01442</t>
  </si>
  <si>
    <t>ORD-02281</t>
  </si>
  <si>
    <t>ORD-00773</t>
  </si>
  <si>
    <t>ORD-00954</t>
  </si>
  <si>
    <t>ORD-01215</t>
  </si>
  <si>
    <t>ORD-02522</t>
  </si>
  <si>
    <t>ORD-00432</t>
  </si>
  <si>
    <t>ORD-00027</t>
  </si>
  <si>
    <t>ORD-00295</t>
  </si>
  <si>
    <t>ORD-00906</t>
  </si>
  <si>
    <t>ORD-02857</t>
  </si>
  <si>
    <t>ORD-01473</t>
  </si>
  <si>
    <t>ORD-00168</t>
  </si>
  <si>
    <t>ORD-01564</t>
  </si>
  <si>
    <t>ORD-02357</t>
  </si>
  <si>
    <t>ORD-01158</t>
  </si>
  <si>
    <t>ORD-00050</t>
  </si>
  <si>
    <t>ORD-00327</t>
  </si>
  <si>
    <t>ORD-02195</t>
  </si>
  <si>
    <t>ORD-02193</t>
  </si>
  <si>
    <t>ORD-00260</t>
  </si>
  <si>
    <t>ORD-01311</t>
  </si>
  <si>
    <t>ORD-02739</t>
  </si>
  <si>
    <t>ORD-00704</t>
  </si>
  <si>
    <t>ORD-00133</t>
  </si>
  <si>
    <t>ORD-01687</t>
  </si>
  <si>
    <t>ORD-01645</t>
  </si>
  <si>
    <t>ORD-02763</t>
  </si>
  <si>
    <t>ORD-00950</t>
  </si>
  <si>
    <t>ORD-02133</t>
  </si>
  <si>
    <t>ORD-01722</t>
  </si>
  <si>
    <t>ORD-02224</t>
  </si>
  <si>
    <t>ORD-02197</t>
  </si>
  <si>
    <t>ORD-02543</t>
  </si>
  <si>
    <t>ORD-01043</t>
  </si>
  <si>
    <t>ORD-00862</t>
  </si>
  <si>
    <t>ORD-00868</t>
  </si>
  <si>
    <t>ORD-00131</t>
  </si>
  <si>
    <t>ORD-02037</t>
  </si>
  <si>
    <t>ORD-01961</t>
  </si>
  <si>
    <t>ORD-01745</t>
  </si>
  <si>
    <t>ORD-01845</t>
  </si>
  <si>
    <t>ORD-00446</t>
  </si>
  <si>
    <t>ORD-00521</t>
  </si>
  <si>
    <t>ORD-02506</t>
  </si>
  <si>
    <t>ORD-02964</t>
  </si>
  <si>
    <t>ORD-00750</t>
  </si>
  <si>
    <t>ORD-00305</t>
  </si>
  <si>
    <t>ORD-01767</t>
  </si>
  <si>
    <t>ORD-02692</t>
  </si>
  <si>
    <t>ORD-00857</t>
  </si>
  <si>
    <t>ORD-01360</t>
  </si>
  <si>
    <t>ORD-02625</t>
  </si>
  <si>
    <t>ORD-00021</t>
  </si>
  <si>
    <t>ORD-01586</t>
  </si>
  <si>
    <t>ORD-00541</t>
  </si>
  <si>
    <t>ORD-02628</t>
  </si>
  <si>
    <t>ORD-02900</t>
  </si>
  <si>
    <t>ORD-00666</t>
  </si>
  <si>
    <t>ORD-00605</t>
  </si>
  <si>
    <t>ORD-01039</t>
  </si>
  <si>
    <t>ORD-01658</t>
  </si>
  <si>
    <t>ORD-00508</t>
  </si>
  <si>
    <t>ORD-00448</t>
  </si>
  <si>
    <t>ORD-01693</t>
  </si>
  <si>
    <t>ORD-00664</t>
  </si>
  <si>
    <t>ORD-00125</t>
  </si>
  <si>
    <t>ORD-00570</t>
  </si>
  <si>
    <t>ORD-01819</t>
  </si>
  <si>
    <t>ORD-02640</t>
  </si>
  <si>
    <t>ORD-01169</t>
  </si>
  <si>
    <t>ORD-01739</t>
  </si>
  <si>
    <t>ORD-02108</t>
  </si>
  <si>
    <t>ORD-00986</t>
  </si>
  <si>
    <t>ORD-00015</t>
  </si>
  <si>
    <t>ORD-00623</t>
  </si>
  <si>
    <t>ORD-02225</t>
  </si>
  <si>
    <t>ORD-01805</t>
  </si>
  <si>
    <t>ORD-00462</t>
  </si>
  <si>
    <t>ORD-02478</t>
  </si>
  <si>
    <t>ORD-01456</t>
  </si>
  <si>
    <t>ORD-02071</t>
  </si>
  <si>
    <t>ORD-00075</t>
  </si>
  <si>
    <t>ORD-01086</t>
  </si>
  <si>
    <t>ORD-00827</t>
  </si>
  <si>
    <t>ORD-02234</t>
  </si>
  <si>
    <t>ORD-00297</t>
  </si>
  <si>
    <t>ORD-01037</t>
  </si>
  <si>
    <t>ORD-01071</t>
  </si>
  <si>
    <t>ORD-02327</t>
  </si>
  <si>
    <t>ORD-00460</t>
  </si>
  <si>
    <t>ORD-01353</t>
  </si>
  <si>
    <t>ORD-00212</t>
  </si>
  <si>
    <t>ORD-02784</t>
  </si>
  <si>
    <t>ORD-01138</t>
  </si>
  <si>
    <t>ORD-02115</t>
  </si>
  <si>
    <t>ORD-00146</t>
  </si>
  <si>
    <t>ORD-01177</t>
  </si>
  <si>
    <t>ORD-00207</t>
  </si>
  <si>
    <t>ORD-01281</t>
  </si>
  <si>
    <t>ORD-00453</t>
  </si>
  <si>
    <t>ORD-01315</t>
  </si>
  <si>
    <t>ORD-01765</t>
  </si>
  <si>
    <t>ORD-02456</t>
  </si>
  <si>
    <t>ORD-00046</t>
  </si>
  <si>
    <t>ORD-00959</t>
  </si>
  <si>
    <t>ORD-01951</t>
  </si>
  <si>
    <t>ORD-00779</t>
  </si>
  <si>
    <t>ORD-01744</t>
  </si>
  <si>
    <t>ORD-00216</t>
  </si>
  <si>
    <t>ORD-01955</t>
  </si>
  <si>
    <t>ORD-02172</t>
  </si>
  <si>
    <t>ORD-01804</t>
  </si>
  <si>
    <t>ORD-01093</t>
  </si>
  <si>
    <t>ORD-00105</t>
  </si>
  <si>
    <t>ORD-02899</t>
  </si>
  <si>
    <t>ORD-02253</t>
  </si>
  <si>
    <t>ORD-01660</t>
  </si>
  <si>
    <t>ORD-01412</t>
  </si>
  <si>
    <t>ORD-01704</t>
  </si>
  <si>
    <t>ORD-01699</t>
  </si>
  <si>
    <t>ORD-02103</t>
  </si>
  <si>
    <t>ORD-00955</t>
  </si>
  <si>
    <t>ORD-02508</t>
  </si>
  <si>
    <t>ORD-02780</t>
  </si>
  <si>
    <t>ORD-00152</t>
  </si>
  <si>
    <t>ORD-02890</t>
  </si>
  <si>
    <t>ORD-00321</t>
  </si>
  <si>
    <t>ORD-00514</t>
  </si>
  <si>
    <t>ORD-00809</t>
  </si>
  <si>
    <t>ORD-01911</t>
  </si>
  <si>
    <t>ORD-02288</t>
  </si>
  <si>
    <t>ORD-02385</t>
  </si>
  <si>
    <t>ORD-01424</t>
  </si>
  <si>
    <t>ORD-01357</t>
  </si>
  <si>
    <t>ORD-00342</t>
  </si>
  <si>
    <t>ORD-00688</t>
  </si>
  <si>
    <t>ORD-00652</t>
  </si>
  <si>
    <t>ORD-02274</t>
  </si>
  <si>
    <t>ORD-00348</t>
  </si>
  <si>
    <t>ORD-02363</t>
  </si>
  <si>
    <t>ORD-00273</t>
  </si>
  <si>
    <t>ORD-02716</t>
  </si>
  <si>
    <t>ORD-00845</t>
  </si>
  <si>
    <t>ORD-00569</t>
  </si>
  <si>
    <t>ORD-00249</t>
  </si>
  <si>
    <t>ORD-01856</t>
  </si>
  <si>
    <t>ORD-02557</t>
  </si>
  <si>
    <t>ORD-01714</t>
  </si>
  <si>
    <t>ORD-01404</t>
  </si>
  <si>
    <t>ORD-00932</t>
  </si>
  <si>
    <t>ORD-02599</t>
  </si>
  <si>
    <t>ORD-01930</t>
  </si>
  <si>
    <t>ORD-01686</t>
  </si>
  <si>
    <t>ORD-00884</t>
  </si>
  <si>
    <t>ORD-02503</t>
  </si>
  <si>
    <t>ORD-02413</t>
  </si>
  <si>
    <t>ORD-01010</t>
  </si>
  <si>
    <t>ORD-00878</t>
  </si>
  <si>
    <t>ORD-02903</t>
  </si>
  <si>
    <t>ORD-00223</t>
  </si>
  <si>
    <t>ORD-00127</t>
  </si>
  <si>
    <t>ORD-00859</t>
  </si>
  <si>
    <t>ORD-01981</t>
  </si>
  <si>
    <t>ORD-01084</t>
  </si>
  <si>
    <t>ORD-01014</t>
  </si>
  <si>
    <t>ORD-01135</t>
  </si>
  <si>
    <t>ORD-01595</t>
  </si>
  <si>
    <t>ORD-02633</t>
  </si>
  <si>
    <t>ORD-01484</t>
  </si>
  <si>
    <t>ORD-02969</t>
  </si>
  <si>
    <t>ORD-00372</t>
  </si>
  <si>
    <t>ORD-01642</t>
  </si>
  <si>
    <t>ORD-02146</t>
  </si>
  <si>
    <t>ORD-01830</t>
  </si>
  <si>
    <t>ORD-02311</t>
  </si>
  <si>
    <t>ORD-00096</t>
  </si>
  <si>
    <t>ORD-00173</t>
  </si>
  <si>
    <t>ORD-00998</t>
  </si>
  <si>
    <t>ORD-01413</t>
  </si>
  <si>
    <t>ORD-02615</t>
  </si>
  <si>
    <t>ORD-00771</t>
  </si>
  <si>
    <t>ORD-00444</t>
  </si>
  <si>
    <t>ORD-02553</t>
  </si>
  <si>
    <t>ORD-01784</t>
  </si>
  <si>
    <t>ORD-00757</t>
  </si>
  <si>
    <t>ORD-01657</t>
  </si>
  <si>
    <t>ORD-01869</t>
  </si>
  <si>
    <t>ORD-00440</t>
  </si>
  <si>
    <t>ORD-02765</t>
  </si>
  <si>
    <t>ORD-02752</t>
  </si>
  <si>
    <t>ORD-00082</t>
  </si>
  <si>
    <t>ORD-01178</t>
  </si>
  <si>
    <t>ORD-00914</t>
  </si>
  <si>
    <t>ORD-01651</t>
  </si>
  <si>
    <t>ORD-00709</t>
  </si>
  <si>
    <t>ORD-01541</t>
  </si>
  <si>
    <t>ORD-00384</t>
  </si>
  <si>
    <t>ORD-00493</t>
  </si>
  <si>
    <t>ORD-01351</t>
  </si>
  <si>
    <t>ORD-02600</t>
  </si>
  <si>
    <t>ORD-01509</t>
  </si>
  <si>
    <t>ORD-01677</t>
  </si>
  <si>
    <t>ORD-00532</t>
  </si>
  <si>
    <t>ORD-00604</t>
  </si>
  <si>
    <t>ORD-00390</t>
  </si>
  <si>
    <t>ORD-00012</t>
  </si>
  <si>
    <t>ORD-02418</t>
  </si>
  <si>
    <t>ORD-02849</t>
  </si>
  <si>
    <t>ORD-01673</t>
  </si>
  <si>
    <t>ORD-01318</t>
  </si>
  <si>
    <t>ORD-01925</t>
  </si>
  <si>
    <t>ORD-00231</t>
  </si>
  <si>
    <t>ORD-02626</t>
  </si>
  <si>
    <t>ORD-02300</t>
  </si>
  <si>
    <t>ORD-02452</t>
  </si>
  <si>
    <t>ORD-01813</t>
  </si>
  <si>
    <t>ORD-02584</t>
  </si>
  <si>
    <t>ORD-02200</t>
  </si>
  <si>
    <t>ORD-02605</t>
  </si>
  <si>
    <t>ORD-01601</t>
  </si>
  <si>
    <t>ORD-01398</t>
  </si>
  <si>
    <t>ORD-02680</t>
  </si>
  <si>
    <t>ORD-01090</t>
  </si>
  <si>
    <t>ORD-00417</t>
  </si>
  <si>
    <t>ORD-02856</t>
  </si>
  <si>
    <t>ORD-02558</t>
  </si>
  <si>
    <t>ORD-01547</t>
  </si>
  <si>
    <t>ORD-01184</t>
  </si>
  <si>
    <t>ORD-02533</t>
  </si>
  <si>
    <t>ORD-00054</t>
  </si>
  <si>
    <t>ORD-02178</t>
  </si>
  <si>
    <t>ORD-02163</t>
  </si>
  <si>
    <t>ORD-02775</t>
  </si>
  <si>
    <t>ORD-00048</t>
  </si>
  <si>
    <t>ORD-01681</t>
  </si>
  <si>
    <t>ORD-01297</t>
  </si>
  <si>
    <t>ORD-02210</t>
  </si>
  <si>
    <t>ORD-02033</t>
  </si>
  <si>
    <t>ORD-01889</t>
  </si>
  <si>
    <t>ORD-01302</t>
  </si>
  <si>
    <t>ORD-00039</t>
  </si>
  <si>
    <t>ORD-02949</t>
  </si>
  <si>
    <t>ORD-00639</t>
  </si>
  <si>
    <t>ORD-01649</t>
  </si>
  <si>
    <t>ORD-01680</t>
  </si>
  <si>
    <t>ORD-02469</t>
  </si>
  <si>
    <t>ORD-00328</t>
  </si>
  <si>
    <t>ORD-01610</t>
  </si>
  <si>
    <t>ORD-02839</t>
  </si>
  <si>
    <t>ORD-02511</t>
  </si>
  <si>
    <t>ORD-01982</t>
  </si>
  <si>
    <t>ORD-00804</t>
  </si>
  <si>
    <t>ORD-01421</t>
  </si>
  <si>
    <t>ORD-00830</t>
  </si>
  <si>
    <t>ORD-02806</t>
  </si>
  <si>
    <t>ORD-01874</t>
  </si>
  <si>
    <t>ORD-01336</t>
  </si>
  <si>
    <t>ORD-00355</t>
  </si>
  <si>
    <t>ORD-02879</t>
  </si>
  <si>
    <t>ORD-02729</t>
  </si>
  <si>
    <t>ORD-00911</t>
  </si>
  <si>
    <t>ORD-02446</t>
  </si>
  <si>
    <t>ORD-00479</t>
  </si>
  <si>
    <t>ORD-00650</t>
  </si>
  <si>
    <t>ORD-01867</t>
  </si>
  <si>
    <t>ORD-02525</t>
  </si>
  <si>
    <t>ORD-02776</t>
  </si>
  <si>
    <t>ORD-01996</t>
  </si>
  <si>
    <t>ORD-00045</t>
  </si>
  <si>
    <t>ORD-01884</t>
  </si>
  <si>
    <t>ORD-00808</t>
  </si>
  <si>
    <t>ORD-01243</t>
  </si>
  <si>
    <t>ORD-00051</t>
  </si>
  <si>
    <t>ORD-01237</t>
  </si>
  <si>
    <t>ORD-01826</t>
  </si>
  <si>
    <t>ORD-00751</t>
  </si>
  <si>
    <t>ORD-00020</t>
  </si>
  <si>
    <t>ORD-02038</t>
  </si>
  <si>
    <t>ORD-01910</t>
  </si>
  <si>
    <t>ORD-00966</t>
  </si>
  <si>
    <t>ORD-00564</t>
  </si>
  <si>
    <t>ORD-00689</t>
  </si>
  <si>
    <t>ORD-02811</t>
  </si>
  <si>
    <t>ORD-00778</t>
  </si>
  <si>
    <t>ORD-01101</t>
  </si>
  <si>
    <t>ORD-02690</t>
  </si>
  <si>
    <t>ORD-00442</t>
  </si>
  <si>
    <t>ORD-00290</t>
  </si>
  <si>
    <t>ORD-01702</t>
  </si>
  <si>
    <t>ORD-01581</t>
  </si>
  <si>
    <t>ORD-02284</t>
  </si>
  <si>
    <t>ORD-01919</t>
  </si>
  <si>
    <t>ORD-02759</t>
  </si>
  <si>
    <t>ORD-00044</t>
  </si>
  <si>
    <t>ORD-00905</t>
  </si>
  <si>
    <t>ORD-00793</t>
  </si>
  <si>
    <t>ORD-00977</t>
  </si>
  <si>
    <t>ORD-02733</t>
  </si>
  <si>
    <t>ORD-00972</t>
  </si>
  <si>
    <t>ORD-00084</t>
  </si>
  <si>
    <t>ORD-01675</t>
  </si>
  <si>
    <t>ORD-02858</t>
  </si>
  <si>
    <t>ORD-01844</t>
  </si>
  <si>
    <t>ORD-00533</t>
  </si>
  <si>
    <t>ORD-02127</t>
  </si>
  <si>
    <t>ORD-01072</t>
  </si>
  <si>
    <t>ORD-01624</t>
  </si>
  <si>
    <t>ORD-01465</t>
  </si>
  <si>
    <t>ORD-00791</t>
  </si>
  <si>
    <t>ORD-01684</t>
  </si>
  <si>
    <t>ORD-02364</t>
  </si>
  <si>
    <t>ORD-02974</t>
  </si>
  <si>
    <t>ORD-00829</t>
  </si>
  <si>
    <t>ORD-01296</t>
  </si>
  <si>
    <t>ORD-02808</t>
  </si>
  <si>
    <t>ORD-02472</t>
  </si>
  <si>
    <t>ORD-01263</t>
  </si>
  <si>
    <t>ORD-02167</t>
  </si>
  <si>
    <t>ORD-01015</t>
  </si>
  <si>
    <t>ORD-02003</t>
  </si>
  <si>
    <t>ORD-01386</t>
  </si>
  <si>
    <t>ORD-00389</t>
  </si>
  <si>
    <t>ORD-01778</t>
  </si>
  <si>
    <t>ORD-02932</t>
  </si>
  <si>
    <t>ORD-02297</t>
  </si>
  <si>
    <t>ORD-01758</t>
  </si>
  <si>
    <t>ORD-02184</t>
  </si>
  <si>
    <t>ORD-01397</t>
  </si>
  <si>
    <t>ORD-02501</t>
  </si>
  <si>
    <t>ORD-02031</t>
  </si>
  <si>
    <t>ORD-01156</t>
  </si>
  <si>
    <t>ORD-02578</t>
  </si>
  <si>
    <t>ORD-01882</t>
  </si>
  <si>
    <t>ORD-02293</t>
  </si>
  <si>
    <t>ORD-00085</t>
  </si>
  <si>
    <t>ORD-01200</t>
  </si>
  <si>
    <t>ORD-02870</t>
  </si>
  <si>
    <t>ORD-02768</t>
  </si>
  <si>
    <t>ORD-02182</t>
  </si>
  <si>
    <t>ORD-00175</t>
  </si>
  <si>
    <t>ORD-00982</t>
  </si>
  <si>
    <t>ORD-02802</t>
  </si>
  <si>
    <t>ORD-01041</t>
  </si>
  <si>
    <t>ORD-01843</t>
  </si>
  <si>
    <t>ORD-01983</t>
  </si>
  <si>
    <t>ORD-00618</t>
  </si>
  <si>
    <t>ORD-01390</t>
  </si>
  <si>
    <t>ORD-00122</t>
  </si>
  <si>
    <t>ORD-02029</t>
  </si>
  <si>
    <t>ORD-00574</t>
  </si>
  <si>
    <t>ORD-02465</t>
  </si>
  <si>
    <t>ORD-00519</t>
  </si>
  <si>
    <t>ORD-02831</t>
  </si>
  <si>
    <t>ORD-00430</t>
  </si>
  <si>
    <t>ORD-00672</t>
  </si>
  <si>
    <t>ORD-01107</t>
  </si>
  <si>
    <t>ORD-02124</t>
  </si>
  <si>
    <t>ORD-00496</t>
  </si>
  <si>
    <t>ORD-01130</t>
  </si>
  <si>
    <t>ORD-02326</t>
  </si>
  <si>
    <t>ORD-02955</t>
  </si>
  <si>
    <t>ORD-00612</t>
  </si>
  <si>
    <t>ORD-00190</t>
  </si>
  <si>
    <t>ORD-00402</t>
  </si>
  <si>
    <t>ORD-00409</t>
  </si>
  <si>
    <t>ORD-00449</t>
  </si>
  <si>
    <t>ORD-01578</t>
  </si>
  <si>
    <t>ORD-01640</t>
  </si>
  <si>
    <t>ORD-01461</t>
  </si>
  <si>
    <t>ORD-01816</t>
  </si>
  <si>
    <t>ORD-01313</t>
  </si>
  <si>
    <t>ORD-02273</t>
  </si>
  <si>
    <t>ORD-02512</t>
  </si>
  <si>
    <t>ORD-00746</t>
  </si>
  <si>
    <t>ORD-01861</t>
  </si>
  <si>
    <t>ORD-00725</t>
  </si>
  <si>
    <t>ORD-01927</t>
  </si>
  <si>
    <t>ORD-00989</t>
  </si>
  <si>
    <t>ORD-02573</t>
  </si>
  <si>
    <t>ORD-01864</t>
  </si>
  <si>
    <t>ORD-01088</t>
  </si>
  <si>
    <t>ORD-01631</t>
  </si>
  <si>
    <t>ORD-02738</t>
  </si>
  <si>
    <t>ORD-02356</t>
  </si>
  <si>
    <t>ORD-02339</t>
  </si>
  <si>
    <t>ORD-02113</t>
  </si>
  <si>
    <t>ORD-00081</t>
  </si>
  <si>
    <t>ORD-01450</t>
  </si>
  <si>
    <t>ORD-00026</t>
  </si>
  <si>
    <t>ORD-02169</t>
  </si>
  <si>
    <t>ORD-00028</t>
  </si>
  <si>
    <t>ORD-02527</t>
  </si>
  <si>
    <t>ORD-01483</t>
  </si>
  <si>
    <t>ORD-02621</t>
  </si>
  <si>
    <t>ORD-01057</t>
  </si>
  <si>
    <t>ORD-00269</t>
  </si>
  <si>
    <t>ORD-00577</t>
  </si>
  <si>
    <t>ORD-02090</t>
  </si>
  <si>
    <t>ORD-01017</t>
  </si>
  <si>
    <t>ORD-01405</t>
  </si>
  <si>
    <t>ORD-02069</t>
  </si>
  <si>
    <t>ORD-00229</t>
  </si>
  <si>
    <t>ORD-01116</t>
  </si>
  <si>
    <t>ORD-02373</t>
  </si>
  <si>
    <t>ORD-01029</t>
  </si>
  <si>
    <t>ORD-01117</t>
  </si>
  <si>
    <t>ORD-01786</t>
  </si>
  <si>
    <t>ORD-02714</t>
  </si>
  <si>
    <t>ORD-02320</t>
  </si>
  <si>
    <t>ORD-01755</t>
  </si>
  <si>
    <t>ORD-02308</t>
  </si>
  <si>
    <t>ORD-00439</t>
  </si>
  <si>
    <t>ORD-01625</t>
  </si>
  <si>
    <t>ORD-00891</t>
  </si>
  <si>
    <t>ORD-01798</t>
  </si>
  <si>
    <t>ORD-00838</t>
  </si>
  <si>
    <t>ORD-01395</t>
  </si>
  <si>
    <t>ORD-02330</t>
  </si>
  <si>
    <t>ORD-01715</t>
  </si>
  <si>
    <t>ORD-01033</t>
  </si>
  <si>
    <t>ORD-02467</t>
  </si>
  <si>
    <t>ORD-02888</t>
  </si>
  <si>
    <t>ORD-00962</t>
  </si>
  <si>
    <t>ORD-01793</t>
  </si>
  <si>
    <t>ORD-02892</t>
  </si>
  <si>
    <t>ORD-00465</t>
  </si>
  <si>
    <t>ORD-01584</t>
  </si>
  <si>
    <t>ORD-00563</t>
  </si>
  <si>
    <t>ORD-02619</t>
  </si>
  <si>
    <t>ORD-02872</t>
  </si>
  <si>
    <t>ORD-01030</t>
  </si>
  <si>
    <t>ORD-00265</t>
  </si>
  <si>
    <t>ORD-00601</t>
  </si>
  <si>
    <t>ORD-01506</t>
  </si>
  <si>
    <t>ORD-02368</t>
  </si>
  <si>
    <t>ORD-00258</t>
  </si>
  <si>
    <t>ORD-02209</t>
  </si>
  <si>
    <t>ORD-01803</t>
  </si>
  <si>
    <t>ORD-02953</t>
  </si>
  <si>
    <t>ORD-01936</t>
  </si>
  <si>
    <t>ORD-00304</t>
  </si>
  <si>
    <t>ORD-00087</t>
  </si>
  <si>
    <t>ORD-01780</t>
  </si>
  <si>
    <t>ORD-02136</t>
  </si>
  <si>
    <t>ORD-01095</t>
  </si>
  <si>
    <t>ORD-00996</t>
  </si>
  <si>
    <t>ORD-02078</t>
  </si>
  <si>
    <t>ORD-00774</t>
  </si>
  <si>
    <t>ORD-02227</t>
  </si>
  <si>
    <t>ORD-02653</t>
  </si>
  <si>
    <t>ORD-01445</t>
  </si>
  <si>
    <t>ORD-00486</t>
  </si>
  <si>
    <t>ORD-02396</t>
  </si>
  <si>
    <t>ORD-01103</t>
  </si>
  <si>
    <t>ORD-02150</t>
  </si>
  <si>
    <t>ORD-00315</t>
  </si>
  <si>
    <t>ORD-02365</t>
  </si>
  <si>
    <t>ORD-02830</t>
  </si>
  <si>
    <t>ORD-02549</t>
  </si>
  <si>
    <t>ORD-02675</t>
  </si>
  <si>
    <t>ORD-01063</t>
  </si>
  <si>
    <t>ORD-01009</t>
  </si>
  <si>
    <t>ORD-02852</t>
  </si>
  <si>
    <t>ORD-02310</t>
  </si>
  <si>
    <t>ORD-01923</t>
  </si>
  <si>
    <t>ORD-00285</t>
  </si>
  <si>
    <t>ORD-02957</t>
  </si>
  <si>
    <t>ORD-00251</t>
  </si>
  <si>
    <t>ORD-01516</t>
  </si>
  <si>
    <t>ORD-01863</t>
  </si>
  <si>
    <t>ORD-02291</t>
  </si>
  <si>
    <t>ORD-01246</t>
  </si>
  <si>
    <t>ORD-02404</t>
  </si>
  <si>
    <t>ORD-01096</t>
  </si>
  <si>
    <t>ORD-00116</t>
  </si>
  <si>
    <t>ORD-01953</t>
  </si>
  <si>
    <t>ORD-01476</t>
  </si>
  <si>
    <t>ORD-02059</t>
  </si>
  <si>
    <t>ORD-01175</t>
  </si>
  <si>
    <t>ORD-01284</t>
  </si>
  <si>
    <t>ORD-02412</t>
  </si>
  <si>
    <t>ORD-01851</t>
  </si>
  <si>
    <t>ORD-02983</t>
  </si>
  <si>
    <t>ORD-01629</t>
  </si>
  <si>
    <t>ORD-02415</t>
  </si>
  <si>
    <t>ORD-02736</t>
  </si>
  <si>
    <t>ORD-01280</t>
  </si>
  <si>
    <t>ORD-02128</t>
  </si>
  <si>
    <t>ORD-00538</t>
  </si>
  <si>
    <t>ORD-01837</t>
  </si>
  <si>
    <t>ORD-01588</t>
  </si>
  <si>
    <t>ORD-02137</t>
  </si>
  <si>
    <t>ORD-01967</t>
  </si>
  <si>
    <t>ORD-00364</t>
  </si>
  <si>
    <t>ORD-02912</t>
  </si>
  <si>
    <t>ORD-01207</t>
  </si>
  <si>
    <t>ORD-02936</t>
  </si>
  <si>
    <t>ORD-02530</t>
  </si>
  <si>
    <t>ORD-01180</t>
  </si>
  <si>
    <t>ORD-00061</t>
  </si>
  <si>
    <t>ORD-02896</t>
  </si>
  <si>
    <t>ORD-01289</t>
  </si>
  <si>
    <t>ORD-02004</t>
  </si>
  <si>
    <t>ORD-02924</t>
  </si>
  <si>
    <t>ORD-01226</t>
  </si>
  <si>
    <t>ORD-00063</t>
  </si>
  <si>
    <t>ORD-02436</t>
  </si>
  <si>
    <t>ORD-01290</t>
  </si>
  <si>
    <t>ORD-01548</t>
  </si>
  <si>
    <t>ORD-02168</t>
  </si>
  <si>
    <t>ORD-02727</t>
  </si>
  <si>
    <t>ORD-02894</t>
  </si>
  <si>
    <t>ORD-01004</t>
  </si>
  <si>
    <t>ORD-01949</t>
  </si>
  <si>
    <t>ORD-01048</t>
  </si>
  <si>
    <t>ORD-01044</t>
  </si>
  <si>
    <t>ORD-01002</t>
  </si>
  <si>
    <t>ORD-00422</t>
  </si>
  <si>
    <t>ORD-02271</t>
  </si>
  <si>
    <t>ORD-01971</t>
  </si>
  <si>
    <t>ORD-00300</t>
  </si>
  <si>
    <t>ORD-00607</t>
  </si>
  <si>
    <t>ORD-02166</t>
  </si>
  <si>
    <t>ORD-02502</t>
  </si>
  <si>
    <t>ORD-01937</t>
  </si>
  <si>
    <t>ORD-00802</t>
  </si>
  <si>
    <t>ORD-00137</t>
  </si>
  <si>
    <t>ORD-00456</t>
  </si>
  <si>
    <t>ORD-01273</t>
  </si>
  <si>
    <t>ORD-00197</t>
  </si>
  <si>
    <t>ORD-01603</t>
  </si>
  <si>
    <t>ORD-02699</t>
  </si>
  <si>
    <t>ORD-01831</t>
  </si>
  <si>
    <t>ORD-02453</t>
  </si>
  <si>
    <t>ORD-00841</t>
  </si>
  <si>
    <t>ORD-00467</t>
  </si>
  <si>
    <t>ORD-01771</t>
  </si>
  <si>
    <t>ORD-02945</t>
  </si>
  <si>
    <t>ORD-01954</t>
  </si>
  <si>
    <t>ORD-00507</t>
  </si>
  <si>
    <t>ORD-02840</t>
  </si>
  <si>
    <t>ORD-01429</t>
  </si>
  <si>
    <t>ORD-01958</t>
  </si>
  <si>
    <t>ORD-00119</t>
  </si>
  <si>
    <t>ORD-00913</t>
  </si>
  <si>
    <t>ORD-01480</t>
  </si>
  <si>
    <t>ORD-02187</t>
  </si>
  <si>
    <t>ORD-01189</t>
  </si>
  <si>
    <t>ORD-02261</t>
  </si>
  <si>
    <t>ORD-02704</t>
  </si>
  <si>
    <t>ORD-00068</t>
  </si>
  <si>
    <t>ORD-00594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</si>
  <si>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</si>
  <si>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</si>
  <si>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</si>
  <si>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</si>
  <si>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</si>
  <si>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</si>
  <si>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</si>
  <si>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</si>
  <si>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</si>
  <si>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</si>
  <si>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</si>
  <si>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</si>
  <si>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</si>
  <si>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</si>
  <si>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</si>
  <si>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</si>
  <si>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Sum of Profit</t>
  </si>
  <si>
    <t>Count of Order_ID</t>
  </si>
  <si>
    <t>Sum of Quantity</t>
  </si>
  <si>
    <t>Total Sales</t>
  </si>
  <si>
    <t>Total Profit</t>
  </si>
  <si>
    <t>Profit Margin</t>
  </si>
  <si>
    <t>RETAIL SALES PERFORMANCE DASHBOARD</t>
  </si>
  <si>
    <t>TOTAL SALES</t>
  </si>
  <si>
    <t>TOTAL PROFIT</t>
  </si>
  <si>
    <t>PROFIT MARGIN</t>
  </si>
  <si>
    <t>TOTAL ORDERS</t>
  </si>
  <si>
    <t>UNITS SOLD</t>
  </si>
  <si>
    <t>KEY INSIGHTS</t>
  </si>
  <si>
    <t>• Technology was the highest-performing category, generating $3.03M in sales.</t>
  </si>
  <si>
    <t>• South region generated the highest sales at $1.47M.</t>
  </si>
  <si>
    <t>• Technology generated the highest profit at approximately $963K.</t>
  </si>
  <si>
    <t>• Overall profit margin was 31.60%, indicating a strong level of profitability.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</si>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</sst>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3" fontId="3" fillId="0" borderId="2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5" fontId="3" fillId="0" borderId="2" xfId="0" applyNumberFormat="1" applyFont="1" applyBorder="1"/>
    <xf numFmtId="165" fontId="3" fillId="0" borderId="9" xfId="0" applyNumberFormat="1" applyFont="1" applyBorder="1"/>
    <xf numFmtId="10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164" formatCode="\$#,##0.00"/>
    </dxf>
    <dxf>
      <numFmt numFmtId="164" formatCode="\$#,##0.00"/>
    </dxf>
    <dxf>
      <numFmt numFmtId="164" formatCode="\$#,##0.00"/>
    </dxf>
    <dxf>
      <numFmt numFmtId="13" formatCode="0%"/>
    </dxf>
    <dxf>
      <numFmt numFmtId="164" formatCode="\$#,##0.00"/>
    </dxf>
    <dxf>
      <numFmt numFmtId="166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Dashboard.xlsx]Monthly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Monthly Sales Trend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Sales'!$B$4:$B$17</c:f>
              <c:numCache>
                <c:formatCode>"$"#,##0.00</c:formatCode>
                <c:ptCount val="12"/>
                <c:pt idx="0">
                  <c:v>538615.43000000005</c:v>
                </c:pt>
                <c:pt idx="1">
                  <c:v>421228.17000000022</c:v>
                </c:pt>
                <c:pt idx="2">
                  <c:v>463546.7300000001</c:v>
                </c:pt>
                <c:pt idx="3">
                  <c:v>411896.87999999989</c:v>
                </c:pt>
                <c:pt idx="4">
                  <c:v>520548.49000000005</c:v>
                </c:pt>
                <c:pt idx="5">
                  <c:v>410749.86999999982</c:v>
                </c:pt>
                <c:pt idx="6">
                  <c:v>407110.55</c:v>
                </c:pt>
                <c:pt idx="7">
                  <c:v>403825.08999999997</c:v>
                </c:pt>
                <c:pt idx="8">
                  <c:v>395237.53</c:v>
                </c:pt>
                <c:pt idx="9">
                  <c:v>395528.91999999981</c:v>
                </c:pt>
                <c:pt idx="10">
                  <c:v>472247.60000000003</c:v>
                </c:pt>
                <c:pt idx="11">
                  <c:v>515941.64000000007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8-4420-9690-EB4EA362A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650543"/>
        <c:axId val="369644303"/>
      </c:lineChart>
      <c:catAx>
        <c:axId val="36965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44303"/>
        <c:crosses val="autoZero"/>
        <c:auto val="1"/>
        <c:lblAlgn val="ctr"/>
        <c:lblOffset val="100"/>
        <c:noMultiLvlLbl val="0"/>
      </c:catAx>
      <c:valAx>
        <c:axId val="3696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Dashboard.xlsx]Sales by Region!PivotTable1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Sales by Region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1200165.5199999998</c:v>
                </c:pt>
                <c:pt idx="1">
                  <c:v>1331476.4200000006</c:v>
                </c:pt>
                <c:pt idx="2">
                  <c:v>1469662.6300000006</c:v>
                </c:pt>
                <c:pt idx="3">
                  <c:v>1355172.3300000024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C-43E9-B5D9-3F581E0B2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015247"/>
        <c:axId val="534737487"/>
      </c:barChart>
      <c:catAx>
        <c:axId val="25401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37487"/>
        <c:crosses val="autoZero"/>
        <c:auto val="1"/>
        <c:lblAlgn val="ctr"/>
        <c:lblOffset val="100"/>
        <c:noMultiLvlLbl val="0"/>
      </c:catAx>
      <c:valAx>
        <c:axId val="5347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1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Dashboard.xlsx]Sales by Category!PivotTable2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Sales by Category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1690982.4600000014</c:v>
                </c:pt>
                <c:pt idx="1">
                  <c:v>632888.27999999875</c:v>
                </c:pt>
                <c:pt idx="2">
                  <c:v>3032606.1599999988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6-44DE-A461-B3E2D3F7E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247007"/>
        <c:axId val="533244607"/>
      </c:barChart>
      <c:catAx>
        <c:axId val="53324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44607"/>
        <c:crosses val="autoZero"/>
        <c:auto val="1"/>
        <c:lblAlgn val="ctr"/>
        <c:lblOffset val="100"/>
        <c:noMultiLvlLbl val="0"/>
      </c:catAx>
      <c:valAx>
        <c:axId val="5332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Dashboard.xlsx]Profit by Category!PivotTable4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Profit by Category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530029.0199999992</c:v>
                </c:pt>
                <c:pt idx="1">
                  <c:v>199560.03999999972</c:v>
                </c:pt>
                <c:pt idx="2">
                  <c:v>963163.59000000008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7-44BF-B3FE-FC7F75F4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698255"/>
        <c:axId val="543699215"/>
      </c:barChart>
      <c:catAx>
        <c:axId val="54369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99215"/>
        <c:crosses val="autoZero"/>
        <c:auto val="1"/>
        <c:lblAlgn val="ctr"/>
        <c:lblOffset val="100"/>
        <c:noMultiLvlLbl val="0"/>
      </c:catAx>
      <c:valAx>
        <c:axId val="54369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9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Dashboard.xlsx]Sales by Segment!PivotTable5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Sales by Customer Segment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D8-4FAB-8EC6-4BADD4D850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8-4FAB-8EC6-4BADD4D850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D8-4FAB-8EC6-4BADD4D85062}"/>
              </c:ext>
            </c:extLst>
          </c:dPt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'Sales by Segment'!$B$4:$B$7</c:f>
              <c:numCache>
                <c:formatCode>"$"#,##0.00</c:formatCode>
                <c:ptCount val="3"/>
                <c:pt idx="0">
                  <c:v>2559591.9200000027</c:v>
                </c:pt>
                <c:pt idx="1">
                  <c:v>1742850.7300000009</c:v>
                </c:pt>
                <c:pt idx="2">
                  <c:v>1054034.2500000002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D8-4FAB-8EC6-4BADD4D8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742950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4C440-57BD-41CE-AD95-849C9079F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141111</xdr:colOff>
      <xdr:row>9</xdr:row>
      <xdr:rowOff>70556</xdr:rowOff>
    </xdr:from>
    <xdr:to>
      <xdr:col>12</xdr:col>
      <xdr:colOff>14110</xdr:colOff>
      <xdr:row>22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1EC6DA-88AC-452A-9EAB-E39587F65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9524</xdr:rowOff>
    </xdr:from>
    <xdr:to>
      <xdr:col>6</xdr:col>
      <xdr:colOff>9525</xdr:colOff>
      <xdr:row>37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84A66A-DF0A-46DC-BB41-0B34349E4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114301</xdr:colOff>
      <xdr:row>24</xdr:row>
      <xdr:rowOff>9525</xdr:rowOff>
    </xdr:from>
    <xdr:to>
      <xdr:col>12</xdr:col>
      <xdr:colOff>25400</xdr:colOff>
      <xdr:row>38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EA6FD0-B070-49BD-A271-25DBC0762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218722</xdr:colOff>
      <xdr:row>9</xdr:row>
      <xdr:rowOff>47977</xdr:rowOff>
    </xdr:from>
    <xdr:to>
      <xdr:col>17</xdr:col>
      <xdr:colOff>249413</xdr:colOff>
      <xdr:row>23</xdr:row>
      <xdr:rowOff>35983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0CF347-684B-4751-9102-A3C29DCD6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dula, Amrutha" refreshedDate="46244.471215509257" createdVersion="8" refreshedVersion="8" minRefreshableVersion="3" recordCount="3000" xr:uid="{D74DB16A-E61F-4FD1-A020-3A29E31BCD2A}">
  <cacheSource type="worksheet">
    <worksheetSource name="SalesData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8"/>
    </cacheField>
    <cacheField name="Region" numFmtId="0">
      <sharedItems count="4">
        <s v="West"/>
        <s v="South"/>
        <s v="Northeast"/>
        <s v="Midwest"/>
      </sharedItems>
    </cacheField>
    <cacheField name="State" numFmtId="0">
      <sharedItems/>
    </cacheField>
    <cacheField name="City" numFmtId="0">
      <sharedItems/>
    </cacheField>
    <cacheField name="Salesperson" numFmtId="0">
      <sharedItems/>
    </cacheField>
    <cacheField name="Customer_Segment" numFmtId="0">
      <sharedItems count="3">
        <s v="Consumer"/>
        <s v="Small Business"/>
        <s v="Corporate"/>
      </sharedItems>
    </cacheField>
    <cacheField name="Category" numFmtId="0">
      <sharedItems count="3">
        <s v="Office Supplies"/>
        <s v="Technology"/>
        <s v="Furniture"/>
      </sharedItems>
    </cacheField>
    <cacheField name="Sub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164">
      <sharedItems containsSemiMixedTypes="0" containsString="0" containsNumber="1" minValue="5" maxValue="1796.86"/>
    </cacheField>
    <cacheField name="Discount" numFmtId="9">
      <sharedItems containsSemiMixedTypes="0" containsString="0" containsNumber="1" minValue="0" maxValue="0.2"/>
    </cacheField>
    <cacheField name="Sales" numFmtId="164">
      <sharedItems containsSemiMixedTypes="0" containsString="0" containsNumber="1" minValue="6.54" maxValue="17707.599999999999"/>
    </cacheField>
    <cacheField name="Cost" numFmtId="164">
      <sharedItems containsSemiMixedTypes="0" containsString="0" containsNumber="1" minValue="4.1900000000000004" maxValue="12148.61"/>
    </cacheField>
    <cacheField name="Profit" numFmtId="164">
      <sharedItems containsSemiMixedTypes="0" containsString="0" containsNumber="1" minValue="1.41" maxValue="7472.21"/>
    </cacheField>
    <cacheField name="Payment_Method" numFmtId="0">
      <sharedItems/>
    </cacheField>
    <cacheField name="Months (Order_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Years (Order_Date)" numFmtId="0" databaseField="0">
      <fieldGroup base="1">
        <rangePr groupBy="years" startDate="2025-01-01T00:00:00" endDate="2026-01-01T00:00:00"/>
        <groupItems count="4">
          <s v="&lt;1/1/2025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RD-00885"/>
    <x v="0"/>
    <x v="0"/>
    <s v="Washington"/>
    <s v="Tacoma"/>
    <s v="Riley Wilson"/>
    <x v="0"/>
    <x v="0"/>
    <s v="Binders"/>
    <s v="Presentation Binder"/>
    <n v="5"/>
    <n v="7.87"/>
    <n v="0.05"/>
    <n v="37.380000000000003"/>
    <n v="30.23"/>
    <n v="7.15"/>
    <s v="Credit Card"/>
  </r>
  <r>
    <s v="ORD-00548"/>
    <x v="0"/>
    <x v="0"/>
    <s v="Arizona"/>
    <s v="Mesa"/>
    <s v="Avery Johnson"/>
    <x v="0"/>
    <x v="1"/>
    <s v="Laptops"/>
    <s v="Business Laptop"/>
    <n v="10"/>
    <n v="1689.31"/>
    <n v="0"/>
    <n v="16893.099999999999"/>
    <n v="10442.450000000001"/>
    <n v="6450.65"/>
    <s v="PayPal"/>
  </r>
  <r>
    <s v="ORD-01607"/>
    <x v="0"/>
    <x v="1"/>
    <s v="Georgia"/>
    <s v="Augusta"/>
    <s v="Jamie Miller"/>
    <x v="0"/>
    <x v="1"/>
    <s v="Headsets"/>
    <s v="Wireless Headset"/>
    <n v="2"/>
    <n v="100.49"/>
    <n v="0"/>
    <n v="200.98"/>
    <n v="146.06"/>
    <n v="54.92"/>
    <s v="Credit Card"/>
  </r>
  <r>
    <s v="ORD-01463"/>
    <x v="0"/>
    <x v="2"/>
    <s v="Pennsylvania"/>
    <s v="Allentown"/>
    <s v="Drew Anderson"/>
    <x v="0"/>
    <x v="2"/>
    <s v="Desks"/>
    <s v="Work Desk"/>
    <n v="8"/>
    <n v="774.93"/>
    <n v="0.05"/>
    <n v="5889.47"/>
    <n v="3271.24"/>
    <n v="2618.23"/>
    <s v="PayPal"/>
  </r>
  <r>
    <s v="ORD-02707"/>
    <x v="0"/>
    <x v="2"/>
    <s v="Massachusetts"/>
    <s v="Springfield"/>
    <s v="Casey Brown"/>
    <x v="1"/>
    <x v="0"/>
    <s v="Pens"/>
    <s v="Ballpoint Pens"/>
    <n v="5"/>
    <n v="14.29"/>
    <n v="0.1"/>
    <n v="64.3"/>
    <n v="48.74"/>
    <n v="15.56"/>
    <s v="Bank Transfer"/>
  </r>
  <r>
    <s v="ORD-01737"/>
    <x v="0"/>
    <x v="2"/>
    <s v="Massachusetts"/>
    <s v="Worcester"/>
    <s v="Alex Morgan"/>
    <x v="1"/>
    <x v="0"/>
    <s v="Binders"/>
    <s v="Presentation Binder"/>
    <n v="6"/>
    <n v="17.62"/>
    <n v="0"/>
    <n v="105.72"/>
    <n v="77.599999999999994"/>
    <n v="28.12"/>
    <s v="Debit Card"/>
  </r>
  <r>
    <s v="ORD-02345"/>
    <x v="0"/>
    <x v="2"/>
    <s v="Massachusetts"/>
    <s v="Boston"/>
    <s v="Drew Anderson"/>
    <x v="0"/>
    <x v="1"/>
    <s v="Keyboards"/>
    <s v="Mechanical Keyboard"/>
    <n v="3"/>
    <n v="156.07"/>
    <n v="0"/>
    <n v="468.21"/>
    <n v="332.49"/>
    <n v="135.72"/>
    <s v="Credit Card"/>
  </r>
  <r>
    <s v="ORD-01213"/>
    <x v="1"/>
    <x v="1"/>
    <s v="Texas"/>
    <s v="Houston"/>
    <s v="Cameron Clark"/>
    <x v="0"/>
    <x v="1"/>
    <s v="Laptops"/>
    <s v="Business Laptop"/>
    <n v="4"/>
    <n v="1399.75"/>
    <n v="0.2"/>
    <n v="4479.2"/>
    <n v="3562"/>
    <n v="917.2"/>
    <s v="PayPal"/>
  </r>
  <r>
    <s v="ORD-00890"/>
    <x v="1"/>
    <x v="2"/>
    <s v="Massachusetts"/>
    <s v="Boston"/>
    <s v="Taylor Smith"/>
    <x v="0"/>
    <x v="1"/>
    <s v="Headsets"/>
    <s v="Wireless Headset"/>
    <n v="7"/>
    <n v="73.44"/>
    <n v="0.15"/>
    <n v="436.97"/>
    <n v="241.91"/>
    <n v="195.06"/>
    <s v="Credit Card"/>
  </r>
  <r>
    <s v="ORD-02750"/>
    <x v="1"/>
    <x v="1"/>
    <s v="North Carolina"/>
    <s v="Durham"/>
    <s v="Alex Morgan"/>
    <x v="2"/>
    <x v="0"/>
    <s v="Pens"/>
    <s v="Ballpoint Pens"/>
    <n v="10"/>
    <n v="11.64"/>
    <n v="0.2"/>
    <n v="93.12"/>
    <n v="52.65"/>
    <n v="40.47"/>
    <s v="Credit Card"/>
  </r>
  <r>
    <s v="ORD-02328"/>
    <x v="1"/>
    <x v="3"/>
    <s v="Illinois"/>
    <s v="Springfield"/>
    <s v="Drew Anderson"/>
    <x v="2"/>
    <x v="0"/>
    <s v="Printers"/>
    <s v="All-in-One Printer"/>
    <n v="1"/>
    <n v="495.79"/>
    <n v="0.15"/>
    <n v="421.42"/>
    <n v="283.33"/>
    <n v="138.09"/>
    <s v="PayPal"/>
  </r>
  <r>
    <s v="ORD-01789"/>
    <x v="1"/>
    <x v="2"/>
    <s v="Pennsylvania"/>
    <s v="Philadelphia"/>
    <s v="Drew Anderson"/>
    <x v="0"/>
    <x v="0"/>
    <s v="Paper"/>
    <s v="Premium Paper"/>
    <n v="2"/>
    <n v="18.77"/>
    <n v="0.05"/>
    <n v="35.659999999999997"/>
    <n v="28.69"/>
    <n v="6.97"/>
    <s v="Bank Transfer"/>
  </r>
  <r>
    <s v="ORD-00678"/>
    <x v="1"/>
    <x v="0"/>
    <s v="Oregon"/>
    <s v="Salem"/>
    <s v="Taylor Smith"/>
    <x v="2"/>
    <x v="0"/>
    <s v="Pens"/>
    <s v="Ballpoint Pens"/>
    <n v="1"/>
    <n v="11.51"/>
    <n v="0.05"/>
    <n v="10.93"/>
    <n v="8.44"/>
    <n v="2.4900000000000002"/>
    <s v="Bank Transfer"/>
  </r>
  <r>
    <s v="ORD-00452"/>
    <x v="1"/>
    <x v="1"/>
    <s v="North Carolina"/>
    <s v="Durham"/>
    <s v="Alex Morgan"/>
    <x v="0"/>
    <x v="2"/>
    <s v="Bookcases"/>
    <s v="5-Shelf Bookcase"/>
    <n v="5"/>
    <n v="395.32"/>
    <n v="0.15"/>
    <n v="1680.11"/>
    <n v="1232.6600000000001"/>
    <n v="447.45"/>
    <s v="PayPal"/>
  </r>
  <r>
    <s v="ORD-02660"/>
    <x v="1"/>
    <x v="0"/>
    <s v="Oregon"/>
    <s v="Eugene"/>
    <s v="Alex Morgan"/>
    <x v="0"/>
    <x v="2"/>
    <s v="Desks"/>
    <s v="Executive Desk"/>
    <n v="2"/>
    <n v="703.28"/>
    <n v="0"/>
    <n v="1406.56"/>
    <n v="936.86"/>
    <n v="469.7"/>
    <s v="Credit Card"/>
  </r>
  <r>
    <s v="ORD-01754"/>
    <x v="1"/>
    <x v="3"/>
    <s v="Minnesota"/>
    <s v="Minneapolis"/>
    <s v="Alex Morgan"/>
    <x v="1"/>
    <x v="2"/>
    <s v="Chairs"/>
    <s v="Task Chair"/>
    <n v="2"/>
    <n v="206.26"/>
    <n v="0.1"/>
    <n v="371.27"/>
    <n v="234"/>
    <n v="137.27000000000001"/>
    <s v="Credit Card"/>
  </r>
  <r>
    <s v="ORD-02554"/>
    <x v="1"/>
    <x v="0"/>
    <s v="Washington"/>
    <s v="Spokane"/>
    <s v="Cameron Clark"/>
    <x v="0"/>
    <x v="1"/>
    <s v="Headsets"/>
    <s v="Wireless Headset"/>
    <n v="9"/>
    <n v="135.88999999999999"/>
    <n v="0.1"/>
    <n v="1100.71"/>
    <n v="699.75"/>
    <n v="400.96"/>
    <s v="Bank Transfer"/>
  </r>
  <r>
    <s v="ORD-00077"/>
    <x v="1"/>
    <x v="0"/>
    <s v="Washington"/>
    <s v="Spokane"/>
    <s v="Drew Anderson"/>
    <x v="0"/>
    <x v="0"/>
    <s v="Pens"/>
    <s v="Fine Tip Pens"/>
    <n v="7"/>
    <n v="6.75"/>
    <n v="0"/>
    <n v="47.25"/>
    <n v="33.700000000000003"/>
    <n v="13.55"/>
    <s v="PayPal"/>
  </r>
  <r>
    <s v="ORD-02073"/>
    <x v="2"/>
    <x v="0"/>
    <s v="Washington"/>
    <s v="Spokane"/>
    <s v="Riley Wilson"/>
    <x v="2"/>
    <x v="1"/>
    <s v="Laptops"/>
    <s v="Workstation Laptop"/>
    <n v="6"/>
    <n v="1134.05"/>
    <n v="0.1"/>
    <n v="6123.87"/>
    <n v="4426.83"/>
    <n v="1697.04"/>
    <s v="Credit Card"/>
  </r>
  <r>
    <s v="ORD-02944"/>
    <x v="2"/>
    <x v="3"/>
    <s v="Michigan"/>
    <s v="Detroit"/>
    <s v="Casey Brown"/>
    <x v="2"/>
    <x v="0"/>
    <s v="Binders"/>
    <s v="Heavy-Duty Binder"/>
    <n v="6"/>
    <n v="19.41"/>
    <n v="0.1"/>
    <n v="104.81"/>
    <n v="69.28"/>
    <n v="35.53"/>
    <s v="PayPal"/>
  </r>
  <r>
    <s v="ORD-02721"/>
    <x v="2"/>
    <x v="1"/>
    <s v="Virginia"/>
    <s v="Arlington"/>
    <s v="Cameron Clark"/>
    <x v="0"/>
    <x v="1"/>
    <s v="Monitors"/>
    <s v="24in Monitor"/>
    <n v="8"/>
    <n v="386.59"/>
    <n v="0.05"/>
    <n v="2938.08"/>
    <n v="2335.7800000000002"/>
    <n v="602.29999999999995"/>
    <s v="Bank Transfer"/>
  </r>
  <r>
    <s v="ORD-01557"/>
    <x v="2"/>
    <x v="1"/>
    <s v="Virginia"/>
    <s v="Norfolk"/>
    <s v="Alex Morgan"/>
    <x v="0"/>
    <x v="2"/>
    <s v="Chairs"/>
    <s v="Executive Chair"/>
    <n v="10"/>
    <n v="453.84"/>
    <n v="0.05"/>
    <n v="4311.4799999999996"/>
    <n v="3259.03"/>
    <n v="1052.45"/>
    <s v="Debit Card"/>
  </r>
  <r>
    <s v="ORD-01228"/>
    <x v="2"/>
    <x v="0"/>
    <s v="Washington"/>
    <s v="Seattle"/>
    <s v="Casey Brown"/>
    <x v="0"/>
    <x v="1"/>
    <s v="Laptops"/>
    <s v="Workstation Laptop"/>
    <n v="2"/>
    <n v="1723.81"/>
    <n v="0"/>
    <n v="3447.62"/>
    <n v="2067.61"/>
    <n v="1380.01"/>
    <s v="PayPal"/>
  </r>
  <r>
    <s v="ORD-01527"/>
    <x v="2"/>
    <x v="3"/>
    <s v="Michigan"/>
    <s v="Detroit"/>
    <s v="Riley Wilson"/>
    <x v="1"/>
    <x v="0"/>
    <s v="Paper"/>
    <s v="Recycled Paper"/>
    <n v="3"/>
    <n v="31.65"/>
    <n v="0"/>
    <n v="94.95"/>
    <n v="65.06"/>
    <n v="29.89"/>
    <s v="Debit Card"/>
  </r>
  <r>
    <s v="ORD-02927"/>
    <x v="2"/>
    <x v="0"/>
    <s v="Oregon"/>
    <s v="Salem"/>
    <s v="Cameron Clark"/>
    <x v="0"/>
    <x v="1"/>
    <s v="Headsets"/>
    <s v="Noise-Canceling Headset"/>
    <n v="2"/>
    <n v="202.91"/>
    <n v="0.15"/>
    <n v="344.95"/>
    <n v="218.14"/>
    <n v="126.81"/>
    <s v="Credit Card"/>
  </r>
  <r>
    <s v="ORD-00721"/>
    <x v="3"/>
    <x v="1"/>
    <s v="Georgia"/>
    <s v="Augusta"/>
    <s v="Drew Anderson"/>
    <x v="0"/>
    <x v="2"/>
    <s v="Chairs"/>
    <s v="Executive Chair"/>
    <n v="3"/>
    <n v="239.54"/>
    <n v="0.1"/>
    <n v="646.76"/>
    <n v="436.96"/>
    <n v="209.8"/>
    <s v="Debit Card"/>
  </r>
  <r>
    <s v="ORD-01779"/>
    <x v="3"/>
    <x v="0"/>
    <s v="Washington"/>
    <s v="Spokane"/>
    <s v="Drew Anderson"/>
    <x v="1"/>
    <x v="0"/>
    <s v="Binders"/>
    <s v="Presentation Binder"/>
    <n v="4"/>
    <n v="6.94"/>
    <n v="0.2"/>
    <n v="22.21"/>
    <n v="12.58"/>
    <n v="9.6300000000000008"/>
    <s v="Bank Transfer"/>
  </r>
  <r>
    <s v="ORD-01825"/>
    <x v="3"/>
    <x v="2"/>
    <s v="Massachusetts"/>
    <s v="Worcester"/>
    <s v="Avery Johnson"/>
    <x v="2"/>
    <x v="1"/>
    <s v="Keyboards"/>
    <s v="Ergonomic Keyboard"/>
    <n v="5"/>
    <n v="118.33"/>
    <n v="0"/>
    <n v="591.65"/>
    <n v="458.22"/>
    <n v="133.43"/>
    <s v="Bank Transfer"/>
  </r>
  <r>
    <s v="ORD-01592"/>
    <x v="3"/>
    <x v="3"/>
    <s v="Indiana"/>
    <s v="Indianapolis"/>
    <s v="Jordan Lee"/>
    <x v="2"/>
    <x v="0"/>
    <s v="Paper"/>
    <s v="Copy Paper"/>
    <n v="1"/>
    <n v="31.33"/>
    <n v="0.15"/>
    <n v="26.63"/>
    <n v="17.61"/>
    <n v="9.02"/>
    <s v="PayPal"/>
  </r>
  <r>
    <s v="ORD-00561"/>
    <x v="3"/>
    <x v="0"/>
    <s v="California"/>
    <s v="Los Angeles"/>
    <s v="Drew Anderson"/>
    <x v="2"/>
    <x v="0"/>
    <s v="Pens"/>
    <s v="Ballpoint Pens"/>
    <n v="2"/>
    <n v="14.09"/>
    <n v="0"/>
    <n v="28.18"/>
    <n v="22.7"/>
    <n v="5.48"/>
    <s v="Credit Card"/>
  </r>
  <r>
    <s v="ORD-00165"/>
    <x v="3"/>
    <x v="1"/>
    <s v="Texas"/>
    <s v="Houston"/>
    <s v="Cameron Clark"/>
    <x v="1"/>
    <x v="1"/>
    <s v="Monitors"/>
    <s v="27in Monitor"/>
    <n v="7"/>
    <n v="245.81"/>
    <n v="0.1"/>
    <n v="1548.6"/>
    <n v="1089.49"/>
    <n v="459.11"/>
    <s v="Debit Card"/>
  </r>
  <r>
    <s v="ORD-01972"/>
    <x v="3"/>
    <x v="2"/>
    <s v="Massachusetts"/>
    <s v="Boston"/>
    <s v="Morgan Davis"/>
    <x v="2"/>
    <x v="0"/>
    <s v="Pens"/>
    <s v="Ballpoint Pens"/>
    <n v="7"/>
    <n v="20.34"/>
    <n v="0"/>
    <n v="142.38"/>
    <n v="82.28"/>
    <n v="60.1"/>
    <s v="Bank Transfer"/>
  </r>
  <r>
    <s v="ORD-01530"/>
    <x v="3"/>
    <x v="0"/>
    <s v="Oregon"/>
    <s v="Portland"/>
    <s v="Alex Morgan"/>
    <x v="0"/>
    <x v="2"/>
    <s v="Tables"/>
    <s v="Conference Table"/>
    <n v="8"/>
    <n v="722.9"/>
    <n v="0.1"/>
    <n v="5204.88"/>
    <n v="3027.22"/>
    <n v="2177.66"/>
    <s v="Bank Transfer"/>
  </r>
  <r>
    <s v="ORD-01939"/>
    <x v="3"/>
    <x v="1"/>
    <s v="Florida"/>
    <s v="Orlando"/>
    <s v="Casey Brown"/>
    <x v="1"/>
    <x v="2"/>
    <s v="Chairs"/>
    <s v="Task Chair"/>
    <n v="8"/>
    <n v="571.79"/>
    <n v="0.2"/>
    <n v="3659.46"/>
    <n v="2256.29"/>
    <n v="1403.17"/>
    <s v="Debit Card"/>
  </r>
  <r>
    <s v="ORD-02318"/>
    <x v="4"/>
    <x v="2"/>
    <s v="Pennsylvania"/>
    <s v="Pittsburgh"/>
    <s v="Avery Johnson"/>
    <x v="0"/>
    <x v="0"/>
    <s v="Pens"/>
    <s v="Fine Tip Pens"/>
    <n v="7"/>
    <n v="22.76"/>
    <n v="0.1"/>
    <n v="143.38999999999999"/>
    <n v="105.98"/>
    <n v="37.409999999999997"/>
    <s v="Credit Card"/>
  </r>
  <r>
    <s v="ORD-00796"/>
    <x v="4"/>
    <x v="3"/>
    <s v="Ohio"/>
    <s v="Cincinnati"/>
    <s v="Casey Brown"/>
    <x v="0"/>
    <x v="2"/>
    <s v="Desks"/>
    <s v="Work Desk"/>
    <n v="5"/>
    <n v="238.91"/>
    <n v="0.05"/>
    <n v="1134.82"/>
    <n v="902.16"/>
    <n v="232.66"/>
    <s v="Bank Transfer"/>
  </r>
  <r>
    <s v="ORD-02331"/>
    <x v="4"/>
    <x v="0"/>
    <s v="Colorado"/>
    <s v="Boulder"/>
    <s v="Jamie Miller"/>
    <x v="0"/>
    <x v="0"/>
    <s v="Pens"/>
    <s v="Ballpoint Pens"/>
    <n v="7"/>
    <n v="24.08"/>
    <n v="0.05"/>
    <n v="160.13"/>
    <n v="92.18"/>
    <n v="67.95"/>
    <s v="Debit Card"/>
  </r>
  <r>
    <s v="ORD-02463"/>
    <x v="4"/>
    <x v="3"/>
    <s v="Indiana"/>
    <s v="Evansville"/>
    <s v="Taylor Smith"/>
    <x v="0"/>
    <x v="1"/>
    <s v="Keyboards"/>
    <s v="Mechanical Keyboard"/>
    <n v="6"/>
    <n v="43.65"/>
    <n v="0"/>
    <n v="261.89999999999998"/>
    <n v="193.74"/>
    <n v="68.16"/>
    <s v="PayPal"/>
  </r>
  <r>
    <s v="ORD-00898"/>
    <x v="4"/>
    <x v="0"/>
    <s v="Arizona"/>
    <s v="Phoenix"/>
    <s v="Jordan Lee"/>
    <x v="2"/>
    <x v="1"/>
    <s v="Laptops"/>
    <s v="Business Laptop"/>
    <n v="4"/>
    <n v="1477.86"/>
    <n v="0.05"/>
    <n v="5615.87"/>
    <n v="3719.54"/>
    <n v="1896.33"/>
    <s v="Bank Transfer"/>
  </r>
  <r>
    <s v="ORD-01343"/>
    <x v="5"/>
    <x v="3"/>
    <s v="Indiana"/>
    <s v="Fort Wayne"/>
    <s v="Cameron Clark"/>
    <x v="2"/>
    <x v="1"/>
    <s v="Monitors"/>
    <s v="27in Monitor"/>
    <n v="5"/>
    <n v="369.07"/>
    <n v="0.05"/>
    <n v="1753.08"/>
    <n v="1108.1099999999999"/>
    <n v="644.97"/>
    <s v="PayPal"/>
  </r>
  <r>
    <s v="ORD-02938"/>
    <x v="5"/>
    <x v="2"/>
    <s v="Vermont"/>
    <s v="Montpelier"/>
    <s v="Cameron Clark"/>
    <x v="0"/>
    <x v="0"/>
    <s v="Pens"/>
    <s v="Fine Tip Pens"/>
    <n v="1"/>
    <n v="13.8"/>
    <n v="0.05"/>
    <n v="13.11"/>
    <n v="8.34"/>
    <n v="4.7699999999999996"/>
    <s v="Bank Transfer"/>
  </r>
  <r>
    <s v="ORD-00739"/>
    <x v="5"/>
    <x v="2"/>
    <s v="Massachusetts"/>
    <s v="Worcester"/>
    <s v="Riley Wilson"/>
    <x v="2"/>
    <x v="2"/>
    <s v="Desks"/>
    <s v="Standing Desk"/>
    <n v="2"/>
    <n v="879.47"/>
    <n v="0"/>
    <n v="1758.94"/>
    <n v="1238.49"/>
    <n v="520.45000000000005"/>
    <s v="Bank Transfer"/>
  </r>
  <r>
    <s v="ORD-01478"/>
    <x v="5"/>
    <x v="0"/>
    <s v="Colorado"/>
    <s v="Colorado Springs"/>
    <s v="Jordan Lee"/>
    <x v="0"/>
    <x v="1"/>
    <s v="Keyboards"/>
    <s v="Mechanical Keyboard"/>
    <n v="10"/>
    <n v="160.19"/>
    <n v="0.1"/>
    <n v="1441.71"/>
    <n v="976.93"/>
    <n v="464.78"/>
    <s v="Bank Transfer"/>
  </r>
  <r>
    <s v="ORD-00902"/>
    <x v="5"/>
    <x v="0"/>
    <s v="Arizona"/>
    <s v="Phoenix"/>
    <s v="Casey Brown"/>
    <x v="2"/>
    <x v="2"/>
    <s v="Chairs"/>
    <s v="Ergonomic Chair"/>
    <n v="7"/>
    <n v="121.18"/>
    <n v="0"/>
    <n v="848.26"/>
    <n v="661.69"/>
    <n v="186.57"/>
    <s v="Credit Card"/>
  </r>
  <r>
    <s v="ORD-00822"/>
    <x v="5"/>
    <x v="0"/>
    <s v="Arizona"/>
    <s v="Tucson"/>
    <s v="Cameron Clark"/>
    <x v="1"/>
    <x v="1"/>
    <s v="Monitors"/>
    <s v="24in Monitor"/>
    <n v="3"/>
    <n v="350.65"/>
    <n v="0.15"/>
    <n v="894.16"/>
    <n v="540.66999999999996"/>
    <n v="353.49"/>
    <s v="Credit Card"/>
  </r>
  <r>
    <s v="ORD-01118"/>
    <x v="5"/>
    <x v="2"/>
    <s v="Vermont"/>
    <s v="Burlington"/>
    <s v="Taylor Smith"/>
    <x v="2"/>
    <x v="0"/>
    <s v="Pens"/>
    <s v="Gel Pens"/>
    <n v="7"/>
    <n v="13.05"/>
    <n v="0"/>
    <n v="91.35"/>
    <n v="73.44"/>
    <n v="17.91"/>
    <s v="Credit Card"/>
  </r>
  <r>
    <s v="ORD-02292"/>
    <x v="5"/>
    <x v="0"/>
    <s v="Oregon"/>
    <s v="Eugene"/>
    <s v="Cameron Clark"/>
    <x v="2"/>
    <x v="1"/>
    <s v="Headsets"/>
    <s v="Wireless Headset"/>
    <n v="10"/>
    <n v="194.87"/>
    <n v="0"/>
    <n v="1948.7"/>
    <n v="1521.95"/>
    <n v="426.75"/>
    <s v="Debit Card"/>
  </r>
  <r>
    <s v="ORD-00807"/>
    <x v="6"/>
    <x v="0"/>
    <s v="Arizona"/>
    <s v="Mesa"/>
    <s v="Morgan Davis"/>
    <x v="2"/>
    <x v="1"/>
    <s v="Monitors"/>
    <s v="34in Monitor"/>
    <n v="8"/>
    <n v="225.79"/>
    <n v="0.05"/>
    <n v="1716"/>
    <n v="1245.8800000000001"/>
    <n v="470.12"/>
    <s v="Bank Transfer"/>
  </r>
  <r>
    <s v="ORD-02981"/>
    <x v="6"/>
    <x v="2"/>
    <s v="Massachusetts"/>
    <s v="Worcester"/>
    <s v="Morgan Davis"/>
    <x v="0"/>
    <x v="1"/>
    <s v="Monitors"/>
    <s v="24in Monitor"/>
    <n v="7"/>
    <n v="503.46"/>
    <n v="0"/>
    <n v="3524.22"/>
    <n v="2361.0500000000002"/>
    <n v="1163.17"/>
    <s v="PayPal"/>
  </r>
  <r>
    <s v="ORD-01051"/>
    <x v="6"/>
    <x v="1"/>
    <s v="Virginia"/>
    <s v="Arlington"/>
    <s v="Alex Morgan"/>
    <x v="0"/>
    <x v="0"/>
    <s v="Printers"/>
    <s v="Laser Printer"/>
    <n v="9"/>
    <n v="251.98"/>
    <n v="0.05"/>
    <n v="2154.4299999999998"/>
    <n v="1668.76"/>
    <n v="485.67"/>
    <s v="Bank Transfer"/>
  </r>
  <r>
    <s v="ORD-01756"/>
    <x v="6"/>
    <x v="0"/>
    <s v="Arizona"/>
    <s v="Tucson"/>
    <s v="Jamie Miller"/>
    <x v="0"/>
    <x v="1"/>
    <s v="Monitors"/>
    <s v="34in Monitor"/>
    <n v="9"/>
    <n v="323.83999999999997"/>
    <n v="0.05"/>
    <n v="2768.83"/>
    <n v="2105.08"/>
    <n v="663.75"/>
    <s v="Debit Card"/>
  </r>
  <r>
    <s v="ORD-02589"/>
    <x v="6"/>
    <x v="1"/>
    <s v="Texas"/>
    <s v="Houston"/>
    <s v="Drew Anderson"/>
    <x v="0"/>
    <x v="0"/>
    <s v="Printers"/>
    <s v="All-in-One Printer"/>
    <n v="5"/>
    <n v="194.16"/>
    <n v="0.1"/>
    <n v="873.72"/>
    <n v="695.37"/>
    <n v="178.35"/>
    <s v="Debit Card"/>
  </r>
  <r>
    <s v="ORD-00597"/>
    <x v="6"/>
    <x v="2"/>
    <s v="Vermont"/>
    <s v="Burlington"/>
    <s v="Alex Morgan"/>
    <x v="2"/>
    <x v="0"/>
    <s v="Paper"/>
    <s v="Copy Paper"/>
    <n v="4"/>
    <n v="20.88"/>
    <n v="0.05"/>
    <n v="79.34"/>
    <n v="50.47"/>
    <n v="28.87"/>
    <s v="PayPal"/>
  </r>
  <r>
    <s v="ORD-01751"/>
    <x v="6"/>
    <x v="0"/>
    <s v="Oregon"/>
    <s v="Eugene"/>
    <s v="Jordan Lee"/>
    <x v="1"/>
    <x v="1"/>
    <s v="Laptops"/>
    <s v="Business Laptop"/>
    <n v="6"/>
    <n v="1208.8399999999999"/>
    <n v="0.1"/>
    <n v="6527.74"/>
    <n v="4273.3599999999997"/>
    <n v="2254.38"/>
    <s v="Debit Card"/>
  </r>
  <r>
    <s v="ORD-00428"/>
    <x v="6"/>
    <x v="0"/>
    <s v="Colorado"/>
    <s v="Denver"/>
    <s v="Jordan Lee"/>
    <x v="2"/>
    <x v="1"/>
    <s v="Headsets"/>
    <s v="Noise-Canceling Headset"/>
    <n v="7"/>
    <n v="249.93"/>
    <n v="0"/>
    <n v="1749.51"/>
    <n v="1402"/>
    <n v="347.51"/>
    <s v="Debit Card"/>
  </r>
  <r>
    <s v="ORD-01272"/>
    <x v="6"/>
    <x v="1"/>
    <s v="Georgia"/>
    <s v="Atlanta"/>
    <s v="Casey Brown"/>
    <x v="2"/>
    <x v="0"/>
    <s v="Pens"/>
    <s v="Fine Tip Pens"/>
    <n v="8"/>
    <n v="10.59"/>
    <n v="0.1"/>
    <n v="76.25"/>
    <n v="48.16"/>
    <n v="28.09"/>
    <s v="Credit Card"/>
  </r>
  <r>
    <s v="ORD-01352"/>
    <x v="6"/>
    <x v="0"/>
    <s v="Oregon"/>
    <s v="Salem"/>
    <s v="Casey Brown"/>
    <x v="0"/>
    <x v="1"/>
    <s v="Keyboards"/>
    <s v="Ergonomic Keyboard"/>
    <n v="2"/>
    <n v="177.42"/>
    <n v="0.05"/>
    <n v="337.1"/>
    <n v="225.97"/>
    <n v="111.13"/>
    <s v="Credit Card"/>
  </r>
  <r>
    <s v="ORD-00635"/>
    <x v="7"/>
    <x v="1"/>
    <s v="North Carolina"/>
    <s v="Durham"/>
    <s v="Alex Morgan"/>
    <x v="2"/>
    <x v="0"/>
    <s v="Binders"/>
    <s v="Presentation Binder"/>
    <n v="8"/>
    <n v="23.13"/>
    <n v="0.1"/>
    <n v="166.54"/>
    <n v="106.27"/>
    <n v="60.27"/>
    <s v="Bank Transfer"/>
  </r>
  <r>
    <s v="ORD-02878"/>
    <x v="7"/>
    <x v="0"/>
    <s v="Arizona"/>
    <s v="Mesa"/>
    <s v="Taylor Smith"/>
    <x v="2"/>
    <x v="1"/>
    <s v="Keyboards"/>
    <s v="Ergonomic Keyboard"/>
    <n v="1"/>
    <n v="39.32"/>
    <n v="0"/>
    <n v="39.32"/>
    <n v="24.77"/>
    <n v="14.55"/>
    <s v="Debit Card"/>
  </r>
  <r>
    <s v="ORD-00696"/>
    <x v="7"/>
    <x v="0"/>
    <s v="Washington"/>
    <s v="Tacoma"/>
    <s v="Riley Wilson"/>
    <x v="1"/>
    <x v="2"/>
    <s v="Desks"/>
    <s v="Work Desk"/>
    <n v="1"/>
    <n v="763.63"/>
    <n v="0.05"/>
    <n v="725.45"/>
    <n v="497.01"/>
    <n v="228.44"/>
    <s v="PayPal"/>
  </r>
  <r>
    <s v="ORD-00763"/>
    <x v="7"/>
    <x v="2"/>
    <s v="Vermont"/>
    <s v="Burlington"/>
    <s v="Taylor Smith"/>
    <x v="2"/>
    <x v="2"/>
    <s v="Chairs"/>
    <s v="Ergonomic Chair"/>
    <n v="10"/>
    <n v="192.96"/>
    <n v="0.15"/>
    <n v="1640.16"/>
    <n v="1121.8399999999999"/>
    <n v="518.32000000000005"/>
    <s v="PayPal"/>
  </r>
  <r>
    <s v="ORD-01748"/>
    <x v="7"/>
    <x v="2"/>
    <s v="Massachusetts"/>
    <s v="Boston"/>
    <s v="Drew Anderson"/>
    <x v="0"/>
    <x v="2"/>
    <s v="Chairs"/>
    <s v="Task Chair"/>
    <n v="2"/>
    <n v="357.37"/>
    <n v="0.05"/>
    <n v="679"/>
    <n v="440.09"/>
    <n v="238.91"/>
    <s v="Credit Card"/>
  </r>
  <r>
    <s v="ORD-00111"/>
    <x v="7"/>
    <x v="0"/>
    <s v="Washington"/>
    <s v="Spokane"/>
    <s v="Morgan Davis"/>
    <x v="2"/>
    <x v="2"/>
    <s v="Chairs"/>
    <s v="Executive Chair"/>
    <n v="8"/>
    <n v="219.2"/>
    <n v="0.1"/>
    <n v="1578.24"/>
    <n v="889.04"/>
    <n v="689.2"/>
    <s v="Credit Card"/>
  </r>
  <r>
    <s v="ORD-00277"/>
    <x v="7"/>
    <x v="2"/>
    <s v="Massachusetts"/>
    <s v="Boston"/>
    <s v="Alex Morgan"/>
    <x v="0"/>
    <x v="0"/>
    <s v="Pens"/>
    <s v="Gel Pens"/>
    <n v="5"/>
    <n v="18.22"/>
    <n v="0.15"/>
    <n v="77.430000000000007"/>
    <n v="60.85"/>
    <n v="16.579999999999998"/>
    <s v="Credit Card"/>
  </r>
  <r>
    <s v="ORD-02067"/>
    <x v="8"/>
    <x v="0"/>
    <s v="California"/>
    <s v="San Diego"/>
    <s v="Casey Brown"/>
    <x v="0"/>
    <x v="0"/>
    <s v="Printers"/>
    <s v="All-in-One Printer"/>
    <n v="3"/>
    <n v="541.17999999999995"/>
    <n v="0.15"/>
    <n v="1380.01"/>
    <n v="1029.79"/>
    <n v="350.22"/>
    <s v="Credit Card"/>
  </r>
  <r>
    <s v="ORD-02737"/>
    <x v="8"/>
    <x v="3"/>
    <s v="Minnesota"/>
    <s v="Minneapolis"/>
    <s v="Jordan Lee"/>
    <x v="2"/>
    <x v="2"/>
    <s v="Chairs"/>
    <s v="Task Chair"/>
    <n v="5"/>
    <n v="371.3"/>
    <n v="0"/>
    <n v="1856.5"/>
    <n v="1224.4100000000001"/>
    <n v="632.09"/>
    <s v="Bank Transfer"/>
  </r>
  <r>
    <s v="ORD-01676"/>
    <x v="8"/>
    <x v="2"/>
    <s v="Massachusetts"/>
    <s v="Boston"/>
    <s v="Alex Morgan"/>
    <x v="1"/>
    <x v="0"/>
    <s v="Binders"/>
    <s v="Presentation Binder"/>
    <n v="7"/>
    <n v="24.73"/>
    <n v="0.15"/>
    <n v="147.13999999999999"/>
    <n v="82.99"/>
    <n v="64.150000000000006"/>
    <s v="Credit Card"/>
  </r>
  <r>
    <s v="ORD-01878"/>
    <x v="8"/>
    <x v="1"/>
    <s v="Virginia"/>
    <s v="Norfolk"/>
    <s v="Drew Anderson"/>
    <x v="2"/>
    <x v="2"/>
    <s v="Tables"/>
    <s v="Training Table"/>
    <n v="6"/>
    <n v="306.41000000000003"/>
    <n v="0.2"/>
    <n v="1470.77"/>
    <n v="941.71"/>
    <n v="529.05999999999995"/>
    <s v="Debit Card"/>
  </r>
  <r>
    <s v="ORD-02383"/>
    <x v="8"/>
    <x v="1"/>
    <s v="Virginia"/>
    <s v="Richmond"/>
    <s v="Taylor Smith"/>
    <x v="1"/>
    <x v="2"/>
    <s v="Bookcases"/>
    <s v="3-Shelf Bookcase"/>
    <n v="1"/>
    <n v="179.86"/>
    <n v="0.1"/>
    <n v="161.87"/>
    <n v="106.3"/>
    <n v="55.57"/>
    <s v="PayPal"/>
  </r>
  <r>
    <s v="ORD-01871"/>
    <x v="8"/>
    <x v="3"/>
    <s v="Ohio"/>
    <s v="Columbus"/>
    <s v="Drew Anderson"/>
    <x v="2"/>
    <x v="2"/>
    <s v="Chairs"/>
    <s v="Task Chair"/>
    <n v="3"/>
    <n v="212.68"/>
    <n v="0.1"/>
    <n v="574.24"/>
    <n v="368.51"/>
    <n v="205.73"/>
    <s v="Debit Card"/>
  </r>
  <r>
    <s v="ORD-01800"/>
    <x v="8"/>
    <x v="2"/>
    <s v="New Jersey"/>
    <s v="Newark"/>
    <s v="Taylor Smith"/>
    <x v="2"/>
    <x v="1"/>
    <s v="Headsets"/>
    <s v="Wireless Headset"/>
    <n v="6"/>
    <n v="193.48"/>
    <n v="0.1"/>
    <n v="1044.79"/>
    <n v="630.87"/>
    <n v="413.92"/>
    <s v="Credit Card"/>
  </r>
  <r>
    <s v="ORD-01914"/>
    <x v="8"/>
    <x v="1"/>
    <s v="Georgia"/>
    <s v="Atlanta"/>
    <s v="Casey Brown"/>
    <x v="0"/>
    <x v="1"/>
    <s v="Laptops"/>
    <s v="Business Laptop"/>
    <n v="1"/>
    <n v="951.37"/>
    <n v="0.05"/>
    <n v="903.8"/>
    <n v="676.8"/>
    <n v="227"/>
    <s v="PayPal"/>
  </r>
  <r>
    <s v="ORD-00176"/>
    <x v="8"/>
    <x v="1"/>
    <s v="North Carolina"/>
    <s v="Charlotte"/>
    <s v="Riley Wilson"/>
    <x v="1"/>
    <x v="2"/>
    <s v="Tables"/>
    <s v="Conference Table"/>
    <n v="2"/>
    <n v="556.66999999999996"/>
    <n v="0"/>
    <n v="1113.3399999999999"/>
    <n v="632.14"/>
    <n v="481.2"/>
    <s v="PayPal"/>
  </r>
  <r>
    <s v="ORD-01850"/>
    <x v="8"/>
    <x v="1"/>
    <s v="Florida"/>
    <s v="Tampa"/>
    <s v="Avery Johnson"/>
    <x v="2"/>
    <x v="0"/>
    <s v="Binders"/>
    <s v="Heavy-Duty Binder"/>
    <n v="8"/>
    <n v="26.99"/>
    <n v="0"/>
    <n v="215.92"/>
    <n v="158.30000000000001"/>
    <n v="57.62"/>
    <s v="Debit Card"/>
  </r>
  <r>
    <s v="ORD-00198"/>
    <x v="9"/>
    <x v="0"/>
    <s v="Colorado"/>
    <s v="Colorado Springs"/>
    <s v="Riley Wilson"/>
    <x v="2"/>
    <x v="1"/>
    <s v="Headsets"/>
    <s v="USB Headset"/>
    <n v="5"/>
    <n v="55.83"/>
    <n v="0.15"/>
    <n v="237.28"/>
    <n v="169.13"/>
    <n v="68.150000000000006"/>
    <s v="PayPal"/>
  </r>
  <r>
    <s v="ORD-01769"/>
    <x v="9"/>
    <x v="3"/>
    <s v="Ohio"/>
    <s v="Columbus"/>
    <s v="Morgan Davis"/>
    <x v="0"/>
    <x v="2"/>
    <s v="Chairs"/>
    <s v="Ergonomic Chair"/>
    <n v="3"/>
    <n v="598.71"/>
    <n v="0.1"/>
    <n v="1616.52"/>
    <n v="921.63"/>
    <n v="694.89"/>
    <s v="Bank Transfer"/>
  </r>
  <r>
    <s v="ORD-01550"/>
    <x v="9"/>
    <x v="0"/>
    <s v="Arizona"/>
    <s v="Mesa"/>
    <s v="Jordan Lee"/>
    <x v="0"/>
    <x v="0"/>
    <s v="Binders"/>
    <s v="Presentation Binder"/>
    <n v="9"/>
    <n v="16.88"/>
    <n v="0"/>
    <n v="151.91999999999999"/>
    <n v="100.41"/>
    <n v="51.51"/>
    <s v="PayPal"/>
  </r>
  <r>
    <s v="ORD-00396"/>
    <x v="9"/>
    <x v="0"/>
    <s v="Arizona"/>
    <s v="Phoenix"/>
    <s v="Drew Anderson"/>
    <x v="2"/>
    <x v="0"/>
    <s v="Binders"/>
    <s v="3-Ring Binder"/>
    <n v="2"/>
    <n v="15.74"/>
    <n v="0.15"/>
    <n v="26.76"/>
    <n v="18.64"/>
    <n v="8.1199999999999992"/>
    <s v="PayPal"/>
  </r>
  <r>
    <s v="ORD-01108"/>
    <x v="9"/>
    <x v="1"/>
    <s v="Virginia"/>
    <s v="Richmond"/>
    <s v="Avery Johnson"/>
    <x v="1"/>
    <x v="1"/>
    <s v="Monitors"/>
    <s v="27in Monitor"/>
    <n v="5"/>
    <n v="609.22"/>
    <n v="0.15"/>
    <n v="2589.19"/>
    <n v="1466.24"/>
    <n v="1122.95"/>
    <s v="Credit Card"/>
  </r>
  <r>
    <s v="ORD-00162"/>
    <x v="9"/>
    <x v="2"/>
    <s v="Pennsylvania"/>
    <s v="Allentown"/>
    <s v="Avery Johnson"/>
    <x v="1"/>
    <x v="1"/>
    <s v="Keyboards"/>
    <s v="Mechanical Keyboard"/>
    <n v="1"/>
    <n v="62.01"/>
    <n v="0"/>
    <n v="62.01"/>
    <n v="39.58"/>
    <n v="22.43"/>
    <s v="Debit Card"/>
  </r>
  <r>
    <s v="ORD-02407"/>
    <x v="9"/>
    <x v="1"/>
    <s v="Florida"/>
    <s v="Orlando"/>
    <s v="Jordan Lee"/>
    <x v="1"/>
    <x v="1"/>
    <s v="Headsets"/>
    <s v="Noise-Canceling Headset"/>
    <n v="5"/>
    <n v="146.41999999999999"/>
    <n v="0"/>
    <n v="732.1"/>
    <n v="584.46"/>
    <n v="147.63999999999999"/>
    <s v="Bank Transfer"/>
  </r>
  <r>
    <s v="ORD-00513"/>
    <x v="9"/>
    <x v="3"/>
    <s v="Illinois"/>
    <s v="Springfield"/>
    <s v="Alex Morgan"/>
    <x v="2"/>
    <x v="2"/>
    <s v="Desks"/>
    <s v="Work Desk"/>
    <n v="9"/>
    <n v="720.02"/>
    <n v="0.1"/>
    <n v="5832.16"/>
    <n v="3706.03"/>
    <n v="2126.13"/>
    <s v="Bank Transfer"/>
  </r>
  <r>
    <s v="ORD-00006"/>
    <x v="9"/>
    <x v="0"/>
    <s v="California"/>
    <s v="San Jose"/>
    <s v="Avery Johnson"/>
    <x v="1"/>
    <x v="0"/>
    <s v="Printers"/>
    <s v="All-in-One Printer"/>
    <n v="3"/>
    <n v="276.11"/>
    <n v="0.2"/>
    <n v="662.66"/>
    <n v="385.53"/>
    <n v="277.13"/>
    <s v="PayPal"/>
  </r>
  <r>
    <s v="ORD-02910"/>
    <x v="9"/>
    <x v="3"/>
    <s v="Illinois"/>
    <s v="Springfield"/>
    <s v="Drew Anderson"/>
    <x v="0"/>
    <x v="1"/>
    <s v="Monitors"/>
    <s v="34in Monitor"/>
    <n v="5"/>
    <n v="342.39"/>
    <n v="0"/>
    <n v="1711.95"/>
    <n v="1175.71"/>
    <n v="536.24"/>
    <s v="Credit Card"/>
  </r>
  <r>
    <s v="ORD-01806"/>
    <x v="9"/>
    <x v="3"/>
    <s v="Michigan"/>
    <s v="Detroit"/>
    <s v="Cameron Clark"/>
    <x v="0"/>
    <x v="1"/>
    <s v="Laptops"/>
    <s v="Business Laptop"/>
    <n v="10"/>
    <n v="909.36"/>
    <n v="0.15"/>
    <n v="7729.56"/>
    <n v="5077.5600000000004"/>
    <n v="2652"/>
    <s v="Credit Card"/>
  </r>
  <r>
    <s v="ORD-01860"/>
    <x v="9"/>
    <x v="2"/>
    <s v="New Jersey"/>
    <s v="Jersey City"/>
    <s v="Morgan Davis"/>
    <x v="2"/>
    <x v="0"/>
    <s v="Printers"/>
    <s v="All-in-One Printer"/>
    <n v="5"/>
    <n v="176.67"/>
    <n v="0.1"/>
    <n v="795.02"/>
    <n v="623.27"/>
    <n v="171.75"/>
    <s v="Debit Card"/>
  </r>
  <r>
    <s v="ORD-00357"/>
    <x v="10"/>
    <x v="1"/>
    <s v="Florida"/>
    <s v="Miami"/>
    <s v="Riley Wilson"/>
    <x v="0"/>
    <x v="0"/>
    <s v="Printers"/>
    <s v="Color Printer"/>
    <n v="2"/>
    <n v="372.58"/>
    <n v="0"/>
    <n v="745.16"/>
    <n v="490.06"/>
    <n v="255.1"/>
    <s v="Bank Transfer"/>
  </r>
  <r>
    <s v="ORD-02673"/>
    <x v="10"/>
    <x v="1"/>
    <s v="Virginia"/>
    <s v="Richmond"/>
    <s v="Riley Wilson"/>
    <x v="0"/>
    <x v="1"/>
    <s v="Laptops"/>
    <s v="Business Laptop"/>
    <n v="7"/>
    <n v="1498.49"/>
    <n v="0.05"/>
    <n v="9964.9599999999991"/>
    <n v="5736.71"/>
    <n v="4228.25"/>
    <s v="Bank Transfer"/>
  </r>
  <r>
    <s v="ORD-00286"/>
    <x v="10"/>
    <x v="3"/>
    <s v="Michigan"/>
    <s v="Grand Rapids"/>
    <s v="Riley Wilson"/>
    <x v="0"/>
    <x v="1"/>
    <s v="Laptops"/>
    <s v="Workstation Laptop"/>
    <n v="10"/>
    <n v="1488.71"/>
    <n v="0.1"/>
    <n v="13398.39"/>
    <n v="8885.26"/>
    <n v="4513.13"/>
    <s v="Credit Card"/>
  </r>
  <r>
    <s v="ORD-01144"/>
    <x v="10"/>
    <x v="3"/>
    <s v="Ohio"/>
    <s v="Cincinnati"/>
    <s v="Taylor Smith"/>
    <x v="0"/>
    <x v="1"/>
    <s v="Laptops"/>
    <s v="Workstation Laptop"/>
    <n v="3"/>
    <n v="1068.57"/>
    <n v="0.05"/>
    <n v="3045.42"/>
    <n v="1746.16"/>
    <n v="1299.26"/>
    <s v="Credit Card"/>
  </r>
  <r>
    <s v="ORD-01307"/>
    <x v="10"/>
    <x v="0"/>
    <s v="Washington"/>
    <s v="Tacoma"/>
    <s v="Riley Wilson"/>
    <x v="2"/>
    <x v="2"/>
    <s v="Chairs"/>
    <s v="Executive Chair"/>
    <n v="3"/>
    <n v="643.70000000000005"/>
    <n v="0.05"/>
    <n v="1834.54"/>
    <n v="1145.19"/>
    <n v="689.35"/>
    <s v="Bank Transfer"/>
  </r>
  <r>
    <s v="ORD-02779"/>
    <x v="10"/>
    <x v="3"/>
    <s v="Michigan"/>
    <s v="Grand Rapids"/>
    <s v="Alex Morgan"/>
    <x v="0"/>
    <x v="2"/>
    <s v="Bookcases"/>
    <s v="Storage Bookcase"/>
    <n v="2"/>
    <n v="263.57"/>
    <n v="0.05"/>
    <n v="500.78"/>
    <n v="347.98"/>
    <n v="152.80000000000001"/>
    <s v="Debit Card"/>
  </r>
  <r>
    <s v="ORD-00823"/>
    <x v="10"/>
    <x v="1"/>
    <s v="Florida"/>
    <s v="Tampa"/>
    <s v="Jamie Miller"/>
    <x v="2"/>
    <x v="1"/>
    <s v="Keyboards"/>
    <s v="Ergonomic Keyboard"/>
    <n v="4"/>
    <n v="108.84"/>
    <n v="0.15"/>
    <n v="370.06"/>
    <n v="263"/>
    <n v="107.06"/>
    <s v="Credit Card"/>
  </r>
  <r>
    <s v="ORD-01225"/>
    <x v="10"/>
    <x v="2"/>
    <s v="New Jersey"/>
    <s v="Newark"/>
    <s v="Morgan Davis"/>
    <x v="2"/>
    <x v="1"/>
    <s v="Monitors"/>
    <s v="24in Monitor"/>
    <n v="9"/>
    <n v="621.53"/>
    <n v="0"/>
    <n v="5593.77"/>
    <n v="3461.41"/>
    <n v="2132.36"/>
    <s v="PayPal"/>
  </r>
  <r>
    <s v="ORD-02841"/>
    <x v="10"/>
    <x v="2"/>
    <s v="New York"/>
    <s v="New York City"/>
    <s v="Morgan Davis"/>
    <x v="2"/>
    <x v="0"/>
    <s v="Pens"/>
    <s v="Fine Tip Pens"/>
    <n v="3"/>
    <n v="15.56"/>
    <n v="0.05"/>
    <n v="44.35"/>
    <n v="24.74"/>
    <n v="19.61"/>
    <s v="Debit Card"/>
  </r>
  <r>
    <s v="ORD-01810"/>
    <x v="10"/>
    <x v="1"/>
    <s v="North Carolina"/>
    <s v="Raleigh"/>
    <s v="Drew Anderson"/>
    <x v="0"/>
    <x v="0"/>
    <s v="Paper"/>
    <s v="Copy Paper"/>
    <n v="4"/>
    <n v="18.100000000000001"/>
    <n v="0"/>
    <n v="72.400000000000006"/>
    <n v="40.07"/>
    <n v="32.33"/>
    <s v="PayPal"/>
  </r>
  <r>
    <s v="ORD-01266"/>
    <x v="10"/>
    <x v="3"/>
    <s v="Illinois"/>
    <s v="Springfield"/>
    <s v="Drew Anderson"/>
    <x v="0"/>
    <x v="1"/>
    <s v="Monitors"/>
    <s v="34in Monitor"/>
    <n v="5"/>
    <n v="579.42999999999995"/>
    <n v="0.15"/>
    <n v="2462.58"/>
    <n v="1845.29"/>
    <n v="617.29"/>
    <s v="Credit Card"/>
  </r>
  <r>
    <s v="ORD-00927"/>
    <x v="10"/>
    <x v="2"/>
    <s v="New Jersey"/>
    <s v="Newark"/>
    <s v="Taylor Smith"/>
    <x v="2"/>
    <x v="0"/>
    <s v="Pens"/>
    <s v="Gel Pens"/>
    <n v="8"/>
    <n v="13.27"/>
    <n v="0"/>
    <n v="106.16"/>
    <n v="69.81"/>
    <n v="36.35"/>
    <s v="Debit Card"/>
  </r>
  <r>
    <s v="ORD-02786"/>
    <x v="11"/>
    <x v="0"/>
    <s v="Arizona"/>
    <s v="Mesa"/>
    <s v="Jamie Miller"/>
    <x v="1"/>
    <x v="0"/>
    <s v="Printers"/>
    <s v="Color Printer"/>
    <n v="5"/>
    <n v="459.63"/>
    <n v="0.1"/>
    <n v="2068.34"/>
    <n v="1637"/>
    <n v="431.34"/>
    <s v="Debit Card"/>
  </r>
  <r>
    <s v="ORD-00702"/>
    <x v="11"/>
    <x v="0"/>
    <s v="Washington"/>
    <s v="Seattle"/>
    <s v="Riley Wilson"/>
    <x v="2"/>
    <x v="1"/>
    <s v="Keyboards"/>
    <s v="Wireless Keyboard"/>
    <n v="7"/>
    <n v="108.33"/>
    <n v="0.05"/>
    <n v="720.39"/>
    <n v="405.75"/>
    <n v="314.64"/>
    <s v="Credit Card"/>
  </r>
  <r>
    <s v="ORD-02232"/>
    <x v="11"/>
    <x v="2"/>
    <s v="Pennsylvania"/>
    <s v="Pittsburgh"/>
    <s v="Jordan Lee"/>
    <x v="0"/>
    <x v="2"/>
    <s v="Chairs"/>
    <s v="Task Chair"/>
    <n v="6"/>
    <n v="425.38"/>
    <n v="0.05"/>
    <n v="2424.67"/>
    <n v="1557.23"/>
    <n v="867.44"/>
    <s v="Credit Card"/>
  </r>
  <r>
    <s v="ORD-01682"/>
    <x v="11"/>
    <x v="1"/>
    <s v="Georgia"/>
    <s v="Savannah"/>
    <s v="Casey Brown"/>
    <x v="0"/>
    <x v="1"/>
    <s v="Laptops"/>
    <s v="Workstation Laptop"/>
    <n v="10"/>
    <n v="1094.46"/>
    <n v="0.1"/>
    <n v="9850.14"/>
    <n v="6250.32"/>
    <n v="3599.82"/>
    <s v="Debit Card"/>
  </r>
  <r>
    <s v="ORD-01753"/>
    <x v="11"/>
    <x v="1"/>
    <s v="Florida"/>
    <s v="Orlando"/>
    <s v="Jamie Miller"/>
    <x v="2"/>
    <x v="0"/>
    <s v="Pens"/>
    <s v="Ballpoint Pens"/>
    <n v="2"/>
    <n v="11.81"/>
    <n v="0.1"/>
    <n v="21.26"/>
    <n v="14.67"/>
    <n v="6.59"/>
    <s v="Debit Card"/>
  </r>
  <r>
    <s v="ORD-00366"/>
    <x v="11"/>
    <x v="3"/>
    <s v="Indiana"/>
    <s v="Indianapolis"/>
    <s v="Riley Wilson"/>
    <x v="1"/>
    <x v="1"/>
    <s v="Laptops"/>
    <s v="Ultrabook"/>
    <n v="1"/>
    <n v="1782.69"/>
    <n v="0"/>
    <n v="1782.69"/>
    <n v="1325.31"/>
    <n v="457.38"/>
    <s v="PayPal"/>
  </r>
  <r>
    <s v="ORD-01111"/>
    <x v="11"/>
    <x v="2"/>
    <s v="Vermont"/>
    <s v="Burlington"/>
    <s v="Avery Johnson"/>
    <x v="2"/>
    <x v="0"/>
    <s v="Pens"/>
    <s v="Gel Pens"/>
    <n v="9"/>
    <n v="11.95"/>
    <n v="0"/>
    <n v="107.55"/>
    <n v="71.78"/>
    <n v="35.770000000000003"/>
    <s v="Debit Card"/>
  </r>
  <r>
    <s v="ORD-02674"/>
    <x v="11"/>
    <x v="3"/>
    <s v="Illinois"/>
    <s v="Chicago"/>
    <s v="Cameron Clark"/>
    <x v="1"/>
    <x v="0"/>
    <s v="Paper"/>
    <s v="Copy Paper"/>
    <n v="7"/>
    <n v="12.43"/>
    <n v="0"/>
    <n v="87.01"/>
    <n v="62.47"/>
    <n v="24.54"/>
    <s v="PayPal"/>
  </r>
  <r>
    <s v="ORD-00144"/>
    <x v="11"/>
    <x v="0"/>
    <s v="Colorado"/>
    <s v="Denver"/>
    <s v="Jordan Lee"/>
    <x v="1"/>
    <x v="0"/>
    <s v="Binders"/>
    <s v="3-Ring Binder"/>
    <n v="2"/>
    <n v="21.88"/>
    <n v="0.1"/>
    <n v="39.380000000000003"/>
    <n v="31.55"/>
    <n v="7.83"/>
    <s v="PayPal"/>
  </r>
  <r>
    <s v="ORD-00566"/>
    <x v="11"/>
    <x v="1"/>
    <s v="Virginia"/>
    <s v="Norfolk"/>
    <s v="Cameron Clark"/>
    <x v="2"/>
    <x v="1"/>
    <s v="Laptops"/>
    <s v="Business Laptop"/>
    <n v="7"/>
    <n v="1329.42"/>
    <n v="0.15"/>
    <n v="7910.05"/>
    <n v="5267.85"/>
    <n v="2642.2"/>
    <s v="Credit Card"/>
  </r>
  <r>
    <s v="ORD-02818"/>
    <x v="11"/>
    <x v="3"/>
    <s v="Indiana"/>
    <s v="Indianapolis"/>
    <s v="Drew Anderson"/>
    <x v="0"/>
    <x v="0"/>
    <s v="Pens"/>
    <s v="Fine Tip Pens"/>
    <n v="6"/>
    <n v="22.22"/>
    <n v="0.05"/>
    <n v="126.65"/>
    <n v="85.58"/>
    <n v="41.07"/>
    <s v="PayPal"/>
  </r>
  <r>
    <s v="ORD-00180"/>
    <x v="11"/>
    <x v="3"/>
    <s v="Illinois"/>
    <s v="Chicago"/>
    <s v="Jordan Lee"/>
    <x v="2"/>
    <x v="0"/>
    <s v="Printers"/>
    <s v="Laser Printer"/>
    <n v="9"/>
    <n v="128.43"/>
    <n v="0.1"/>
    <n v="1040.28"/>
    <n v="764.63"/>
    <n v="275.64999999999998"/>
    <s v="Credit Card"/>
  </r>
  <r>
    <s v="ORD-00870"/>
    <x v="11"/>
    <x v="1"/>
    <s v="Georgia"/>
    <s v="Augusta"/>
    <s v="Drew Anderson"/>
    <x v="2"/>
    <x v="1"/>
    <s v="Monitors"/>
    <s v="27in Monitor"/>
    <n v="9"/>
    <n v="464.65"/>
    <n v="0"/>
    <n v="4181.8500000000004"/>
    <n v="3269.23"/>
    <n v="912.62"/>
    <s v="Bank Transfer"/>
  </r>
  <r>
    <s v="ORD-01392"/>
    <x v="11"/>
    <x v="1"/>
    <s v="Florida"/>
    <s v="Tampa"/>
    <s v="Taylor Smith"/>
    <x v="2"/>
    <x v="2"/>
    <s v="Chairs"/>
    <s v="Ergonomic Chair"/>
    <n v="2"/>
    <n v="105.44"/>
    <n v="0.15"/>
    <n v="179.25"/>
    <n v="103.33"/>
    <n v="75.92"/>
    <s v="Debit Card"/>
  </r>
  <r>
    <s v="ORD-01583"/>
    <x v="11"/>
    <x v="2"/>
    <s v="Vermont"/>
    <s v="Burlington"/>
    <s v="Casey Brown"/>
    <x v="0"/>
    <x v="0"/>
    <s v="Pens"/>
    <s v="Gel Pens"/>
    <n v="7"/>
    <n v="13.02"/>
    <n v="0.1"/>
    <n v="82.03"/>
    <n v="52.81"/>
    <n v="29.22"/>
    <s v="Bank Transfer"/>
  </r>
  <r>
    <s v="ORD-01407"/>
    <x v="11"/>
    <x v="1"/>
    <s v="Texas"/>
    <s v="Dallas"/>
    <s v="Alex Morgan"/>
    <x v="2"/>
    <x v="1"/>
    <s v="Laptops"/>
    <s v="Workstation Laptop"/>
    <n v="9"/>
    <n v="713.43"/>
    <n v="0"/>
    <n v="6420.87"/>
    <n v="3745.39"/>
    <n v="2675.48"/>
    <s v="PayPal"/>
  </r>
  <r>
    <s v="ORD-00454"/>
    <x v="11"/>
    <x v="1"/>
    <s v="North Carolina"/>
    <s v="Raleigh"/>
    <s v="Drew Anderson"/>
    <x v="1"/>
    <x v="0"/>
    <s v="Pens"/>
    <s v="Gel Pens"/>
    <n v="3"/>
    <n v="7.24"/>
    <n v="0"/>
    <n v="21.72"/>
    <n v="15.23"/>
    <n v="6.49"/>
    <s v="Bank Transfer"/>
  </r>
  <r>
    <s v="ORD-01757"/>
    <x v="11"/>
    <x v="2"/>
    <s v="Massachusetts"/>
    <s v="Springfield"/>
    <s v="Cameron Clark"/>
    <x v="2"/>
    <x v="1"/>
    <s v="Keyboards"/>
    <s v="Wireless Keyboard"/>
    <n v="5"/>
    <n v="150.1"/>
    <n v="0.15"/>
    <n v="637.91999999999996"/>
    <n v="504.29"/>
    <n v="133.63"/>
    <s v="PayPal"/>
  </r>
  <r>
    <s v="ORD-02080"/>
    <x v="11"/>
    <x v="0"/>
    <s v="Washington"/>
    <s v="Seattle"/>
    <s v="Jamie Miller"/>
    <x v="1"/>
    <x v="1"/>
    <s v="Headsets"/>
    <s v="USB Headset"/>
    <n v="5"/>
    <n v="98.56"/>
    <n v="0.05"/>
    <n v="468.16"/>
    <n v="284.11"/>
    <n v="184.05"/>
    <s v="Credit Card"/>
  </r>
  <r>
    <s v="ORD-00154"/>
    <x v="12"/>
    <x v="3"/>
    <s v="Ohio"/>
    <s v="Columbus"/>
    <s v="Jamie Miller"/>
    <x v="2"/>
    <x v="0"/>
    <s v="Binders"/>
    <s v="3-Ring Binder"/>
    <n v="3"/>
    <n v="14.53"/>
    <n v="0.1"/>
    <n v="39.229999999999997"/>
    <n v="27"/>
    <n v="12.23"/>
    <s v="Credit Card"/>
  </r>
  <r>
    <s v="ORD-02913"/>
    <x v="12"/>
    <x v="1"/>
    <s v="North Carolina"/>
    <s v="Durham"/>
    <s v="Casey Brown"/>
    <x v="0"/>
    <x v="1"/>
    <s v="Laptops"/>
    <s v="Workstation Laptop"/>
    <n v="1"/>
    <n v="711.16"/>
    <n v="0.15"/>
    <n v="604.49"/>
    <n v="448.4"/>
    <n v="156.09"/>
    <s v="Credit Card"/>
  </r>
  <r>
    <s v="ORD-02698"/>
    <x v="12"/>
    <x v="0"/>
    <s v="Oregon"/>
    <s v="Salem"/>
    <s v="Casey Brown"/>
    <x v="0"/>
    <x v="1"/>
    <s v="Laptops"/>
    <s v="Ultrabook"/>
    <n v="4"/>
    <n v="1329.33"/>
    <n v="0.05"/>
    <n v="5051.45"/>
    <n v="3294.85"/>
    <n v="1756.6"/>
    <s v="Credit Card"/>
  </r>
  <r>
    <s v="ORD-01698"/>
    <x v="12"/>
    <x v="3"/>
    <s v="Illinois"/>
    <s v="Chicago"/>
    <s v="Jamie Miller"/>
    <x v="2"/>
    <x v="0"/>
    <s v="Binders"/>
    <s v="3-Ring Binder"/>
    <n v="8"/>
    <n v="8.83"/>
    <n v="0"/>
    <n v="70.64"/>
    <n v="55.18"/>
    <n v="15.46"/>
    <s v="PayPal"/>
  </r>
  <r>
    <s v="ORD-00491"/>
    <x v="12"/>
    <x v="0"/>
    <s v="Washington"/>
    <s v="Tacoma"/>
    <s v="Alex Morgan"/>
    <x v="2"/>
    <x v="0"/>
    <s v="Printers"/>
    <s v="All-in-One Printer"/>
    <n v="10"/>
    <n v="154.88999999999999"/>
    <n v="0.1"/>
    <n v="1394.01"/>
    <n v="1059.43"/>
    <n v="334.58"/>
    <s v="Debit Card"/>
  </r>
  <r>
    <s v="ORD-01126"/>
    <x v="12"/>
    <x v="0"/>
    <s v="Arizona"/>
    <s v="Phoenix"/>
    <s v="Jamie Miller"/>
    <x v="2"/>
    <x v="1"/>
    <s v="Headsets"/>
    <s v="USB Headset"/>
    <n v="9"/>
    <n v="163.29"/>
    <n v="0"/>
    <n v="1469.61"/>
    <n v="1038.9100000000001"/>
    <n v="430.7"/>
    <s v="Bank Transfer"/>
  </r>
  <r>
    <s v="ORD-02420"/>
    <x v="12"/>
    <x v="0"/>
    <s v="Oregon"/>
    <s v="Portland"/>
    <s v="Jamie Miller"/>
    <x v="0"/>
    <x v="2"/>
    <s v="Desks"/>
    <s v="Executive Desk"/>
    <n v="9"/>
    <n v="775.71"/>
    <n v="0.15"/>
    <n v="5934.18"/>
    <n v="4704.37"/>
    <n v="1229.81"/>
    <s v="Credit Card"/>
  </r>
  <r>
    <s v="ORD-00844"/>
    <x v="12"/>
    <x v="3"/>
    <s v="Ohio"/>
    <s v="Columbus"/>
    <s v="Avery Johnson"/>
    <x v="2"/>
    <x v="0"/>
    <s v="Paper"/>
    <s v="Copy Paper"/>
    <n v="4"/>
    <n v="8.77"/>
    <n v="0.1"/>
    <n v="31.57"/>
    <n v="25.4"/>
    <n v="6.17"/>
    <s v="Credit Card"/>
  </r>
  <r>
    <s v="ORD-00629"/>
    <x v="12"/>
    <x v="3"/>
    <s v="Indiana"/>
    <s v="Indianapolis"/>
    <s v="Morgan Davis"/>
    <x v="2"/>
    <x v="2"/>
    <s v="Bookcases"/>
    <s v="3-Shelf Bookcase"/>
    <n v="5"/>
    <n v="478.18"/>
    <n v="0.05"/>
    <n v="2271.36"/>
    <n v="1836.7"/>
    <n v="434.66"/>
    <s v="Credit Card"/>
  </r>
  <r>
    <s v="ORD-00850"/>
    <x v="13"/>
    <x v="1"/>
    <s v="Virginia"/>
    <s v="Arlington"/>
    <s v="Jamie Miller"/>
    <x v="0"/>
    <x v="0"/>
    <s v="Binders"/>
    <s v="Presentation Binder"/>
    <n v="9"/>
    <n v="6.2"/>
    <n v="0.05"/>
    <n v="53.01"/>
    <n v="30.67"/>
    <n v="22.34"/>
    <s v="PayPal"/>
  </r>
  <r>
    <s v="ORD-00572"/>
    <x v="13"/>
    <x v="3"/>
    <s v="Illinois"/>
    <s v="Springfield"/>
    <s v="Morgan Davis"/>
    <x v="1"/>
    <x v="1"/>
    <s v="Headsets"/>
    <s v="Wireless Headset"/>
    <n v="8"/>
    <n v="91.68"/>
    <n v="0"/>
    <n v="733.44"/>
    <n v="407.75"/>
    <n v="325.69"/>
    <s v="Credit Card"/>
  </r>
  <r>
    <s v="ORD-02236"/>
    <x v="13"/>
    <x v="0"/>
    <s v="California"/>
    <s v="San Jose"/>
    <s v="Alex Morgan"/>
    <x v="0"/>
    <x v="0"/>
    <s v="Pens"/>
    <s v="Fine Tip Pens"/>
    <n v="6"/>
    <n v="14.06"/>
    <n v="0.1"/>
    <n v="75.92"/>
    <n v="51.48"/>
    <n v="24.44"/>
    <s v="Debit Card"/>
  </r>
  <r>
    <s v="ORD-00022"/>
    <x v="13"/>
    <x v="2"/>
    <s v="New Jersey"/>
    <s v="Trenton"/>
    <s v="Avery Johnson"/>
    <x v="0"/>
    <x v="1"/>
    <s v="Monitors"/>
    <s v="27in Monitor"/>
    <n v="10"/>
    <n v="266.06"/>
    <n v="0.1"/>
    <n v="2394.54"/>
    <n v="1407.21"/>
    <n v="987.33"/>
    <s v="Debit Card"/>
  </r>
  <r>
    <s v="ORD-02428"/>
    <x v="13"/>
    <x v="2"/>
    <s v="Vermont"/>
    <s v="Burlington"/>
    <s v="Morgan Davis"/>
    <x v="0"/>
    <x v="2"/>
    <s v="Tables"/>
    <s v="Training Table"/>
    <n v="8"/>
    <n v="180.18"/>
    <n v="0.05"/>
    <n v="1369.37"/>
    <n v="899.95"/>
    <n v="469.42"/>
    <s v="Credit Card"/>
  </r>
  <r>
    <s v="ORD-01104"/>
    <x v="13"/>
    <x v="2"/>
    <s v="Pennsylvania"/>
    <s v="Allentown"/>
    <s v="Jordan Lee"/>
    <x v="0"/>
    <x v="2"/>
    <s v="Desks"/>
    <s v="Work Desk"/>
    <n v="3"/>
    <n v="399.47"/>
    <n v="0.15"/>
    <n v="1018.65"/>
    <n v="595.79999999999995"/>
    <n v="422.85"/>
    <s v="Credit Card"/>
  </r>
  <r>
    <s v="ORD-02904"/>
    <x v="13"/>
    <x v="1"/>
    <s v="North Carolina"/>
    <s v="Charlotte"/>
    <s v="Avery Johnson"/>
    <x v="1"/>
    <x v="1"/>
    <s v="Headsets"/>
    <s v="Noise-Canceling Headset"/>
    <n v="7"/>
    <n v="126.58"/>
    <n v="0.15"/>
    <n v="753.15"/>
    <n v="469.82"/>
    <n v="283.33"/>
    <s v="Debit Card"/>
  </r>
  <r>
    <s v="ORD-02141"/>
    <x v="13"/>
    <x v="0"/>
    <s v="Washington"/>
    <s v="Tacoma"/>
    <s v="Avery Johnson"/>
    <x v="2"/>
    <x v="1"/>
    <s v="Monitors"/>
    <s v="24in Monitor"/>
    <n v="10"/>
    <n v="465.33"/>
    <n v="0.1"/>
    <n v="4187.97"/>
    <n v="3299.98"/>
    <n v="887.99"/>
    <s v="Credit Card"/>
  </r>
  <r>
    <s v="ORD-00373"/>
    <x v="14"/>
    <x v="1"/>
    <s v="North Carolina"/>
    <s v="Durham"/>
    <s v="Avery Johnson"/>
    <x v="2"/>
    <x v="2"/>
    <s v="Bookcases"/>
    <s v="Storage Bookcase"/>
    <n v="8"/>
    <n v="189.32"/>
    <n v="0"/>
    <n v="1514.56"/>
    <n v="1091.73"/>
    <n v="422.83"/>
    <s v="PayPal"/>
  </r>
  <r>
    <s v="ORD-00193"/>
    <x v="14"/>
    <x v="2"/>
    <s v="Pennsylvania"/>
    <s v="Allentown"/>
    <s v="Morgan Davis"/>
    <x v="0"/>
    <x v="1"/>
    <s v="Monitors"/>
    <s v="24in Monitor"/>
    <n v="8"/>
    <n v="686.93"/>
    <n v="0.1"/>
    <n v="4945.8999999999996"/>
    <n v="3410.59"/>
    <n v="1535.31"/>
    <s v="Credit Card"/>
  </r>
  <r>
    <s v="ORD-00195"/>
    <x v="14"/>
    <x v="3"/>
    <s v="Illinois"/>
    <s v="Peoria"/>
    <s v="Jamie Miller"/>
    <x v="1"/>
    <x v="0"/>
    <s v="Pens"/>
    <s v="Fine Tip Pens"/>
    <n v="3"/>
    <n v="24.13"/>
    <n v="0.05"/>
    <n v="68.77"/>
    <n v="53.01"/>
    <n v="15.76"/>
    <s v="PayPal"/>
  </r>
  <r>
    <s v="ORD-01415"/>
    <x v="14"/>
    <x v="1"/>
    <s v="North Carolina"/>
    <s v="Raleigh"/>
    <s v="Jamie Miller"/>
    <x v="0"/>
    <x v="0"/>
    <s v="Binders"/>
    <s v="Heavy-Duty Binder"/>
    <n v="3"/>
    <n v="8.99"/>
    <n v="0"/>
    <n v="26.97"/>
    <n v="21.56"/>
    <n v="5.41"/>
    <s v="Bank Transfer"/>
  </r>
  <r>
    <s v="ORD-00687"/>
    <x v="14"/>
    <x v="1"/>
    <s v="Virginia"/>
    <s v="Arlington"/>
    <s v="Taylor Smith"/>
    <x v="2"/>
    <x v="1"/>
    <s v="Laptops"/>
    <s v="Ultrabook"/>
    <n v="9"/>
    <n v="1109.81"/>
    <n v="0.1"/>
    <n v="8989.4599999999991"/>
    <n v="6153.89"/>
    <n v="2835.57"/>
    <s v="PayPal"/>
  </r>
  <r>
    <s v="ORD-01822"/>
    <x v="14"/>
    <x v="3"/>
    <s v="Illinois"/>
    <s v="Peoria"/>
    <s v="Jamie Miller"/>
    <x v="0"/>
    <x v="0"/>
    <s v="Paper"/>
    <s v="Recycled Paper"/>
    <n v="5"/>
    <n v="9.14"/>
    <n v="0"/>
    <n v="45.7"/>
    <n v="26.94"/>
    <n v="18.760000000000002"/>
    <s v="Debit Card"/>
  </r>
  <r>
    <s v="ORD-00073"/>
    <x v="14"/>
    <x v="2"/>
    <s v="New York"/>
    <s v="Rochester"/>
    <s v="Jordan Lee"/>
    <x v="1"/>
    <x v="1"/>
    <s v="Laptops"/>
    <s v="Workstation Laptop"/>
    <n v="5"/>
    <n v="625.17999999999995"/>
    <n v="0.1"/>
    <n v="2813.31"/>
    <n v="1614.82"/>
    <n v="1198.49"/>
    <s v="PayPal"/>
  </r>
  <r>
    <s v="ORD-00414"/>
    <x v="14"/>
    <x v="2"/>
    <s v="New York"/>
    <s v="New York City"/>
    <s v="Alex Morgan"/>
    <x v="1"/>
    <x v="1"/>
    <s v="Headsets"/>
    <s v="Noise-Canceling Headset"/>
    <n v="4"/>
    <n v="238.34"/>
    <n v="0.05"/>
    <n v="905.69"/>
    <n v="626.98"/>
    <n v="278.70999999999998"/>
    <s v="PayPal"/>
  </r>
  <r>
    <s v="ORD-01068"/>
    <x v="15"/>
    <x v="3"/>
    <s v="Michigan"/>
    <s v="Lansing"/>
    <s v="Morgan Davis"/>
    <x v="0"/>
    <x v="0"/>
    <s v="Paper"/>
    <s v="Recycled Paper"/>
    <n v="4"/>
    <n v="24.28"/>
    <n v="0.1"/>
    <n v="87.41"/>
    <n v="68.040000000000006"/>
    <n v="19.37"/>
    <s v="PayPal"/>
  </r>
  <r>
    <s v="ORD-01069"/>
    <x v="15"/>
    <x v="2"/>
    <s v="Vermont"/>
    <s v="Burlington"/>
    <s v="Riley Wilson"/>
    <x v="0"/>
    <x v="2"/>
    <s v="Tables"/>
    <s v="Conference Table"/>
    <n v="2"/>
    <n v="680.34"/>
    <n v="0.05"/>
    <n v="1292.6500000000001"/>
    <n v="897.59"/>
    <n v="395.06"/>
    <s v="Debit Card"/>
  </r>
  <r>
    <s v="ORD-02657"/>
    <x v="15"/>
    <x v="3"/>
    <s v="Indiana"/>
    <s v="Evansville"/>
    <s v="Jordan Lee"/>
    <x v="0"/>
    <x v="2"/>
    <s v="Desks"/>
    <s v="Standing Desk"/>
    <n v="10"/>
    <n v="648.78"/>
    <n v="0.05"/>
    <n v="6163.41"/>
    <n v="3820.38"/>
    <n v="2343.0300000000002"/>
    <s v="Debit Card"/>
  </r>
  <r>
    <s v="ORD-02893"/>
    <x v="15"/>
    <x v="1"/>
    <s v="Virginia"/>
    <s v="Arlington"/>
    <s v="Alex Morgan"/>
    <x v="1"/>
    <x v="2"/>
    <s v="Desks"/>
    <s v="Work Desk"/>
    <n v="4"/>
    <n v="660.72"/>
    <n v="0"/>
    <n v="2642.88"/>
    <n v="1559.36"/>
    <n v="1083.52"/>
    <s v="PayPal"/>
  </r>
  <r>
    <s v="ORD-01535"/>
    <x v="15"/>
    <x v="3"/>
    <s v="Indiana"/>
    <s v="Fort Wayne"/>
    <s v="Taylor Smith"/>
    <x v="1"/>
    <x v="0"/>
    <s v="Pens"/>
    <s v="Ballpoint Pens"/>
    <n v="1"/>
    <n v="11.48"/>
    <n v="0.05"/>
    <n v="10.91"/>
    <n v="7.11"/>
    <n v="3.8"/>
    <s v="PayPal"/>
  </r>
  <r>
    <s v="ORD-00338"/>
    <x v="15"/>
    <x v="3"/>
    <s v="Ohio"/>
    <s v="Cleveland"/>
    <s v="Avery Johnson"/>
    <x v="2"/>
    <x v="1"/>
    <s v="Laptops"/>
    <s v="Workstation Laptop"/>
    <n v="3"/>
    <n v="1262.49"/>
    <n v="0.2"/>
    <n v="3029.98"/>
    <n v="1914.56"/>
    <n v="1115.42"/>
    <s v="PayPal"/>
  </r>
  <r>
    <s v="ORD-00550"/>
    <x v="15"/>
    <x v="3"/>
    <s v="Illinois"/>
    <s v="Chicago"/>
    <s v="Jamie Miller"/>
    <x v="0"/>
    <x v="0"/>
    <s v="Binders"/>
    <s v="Presentation Binder"/>
    <n v="8"/>
    <n v="9.2799999999999994"/>
    <n v="0.2"/>
    <n v="59.39"/>
    <n v="40.54"/>
    <n v="18.850000000000001"/>
    <s v="Bank Transfer"/>
  </r>
  <r>
    <s v="ORD-01554"/>
    <x v="15"/>
    <x v="0"/>
    <s v="Oregon"/>
    <s v="Eugene"/>
    <s v="Taylor Smith"/>
    <x v="2"/>
    <x v="2"/>
    <s v="Chairs"/>
    <s v="Task Chair"/>
    <n v="8"/>
    <n v="282.38"/>
    <n v="0.1"/>
    <n v="2033.14"/>
    <n v="1285.8800000000001"/>
    <n v="747.26"/>
    <s v="Credit Card"/>
  </r>
  <r>
    <s v="ORD-01032"/>
    <x v="15"/>
    <x v="0"/>
    <s v="Oregon"/>
    <s v="Salem"/>
    <s v="Jamie Miller"/>
    <x v="1"/>
    <x v="0"/>
    <s v="Printers"/>
    <s v="All-in-One Printer"/>
    <n v="8"/>
    <n v="598.14"/>
    <n v="0.2"/>
    <n v="3828.1"/>
    <n v="2570.13"/>
    <n v="1257.97"/>
    <s v="Bank Transfer"/>
  </r>
  <r>
    <s v="ORD-01538"/>
    <x v="15"/>
    <x v="1"/>
    <s v="Georgia"/>
    <s v="Savannah"/>
    <s v="Taylor Smith"/>
    <x v="0"/>
    <x v="1"/>
    <s v="Monitors"/>
    <s v="27in Monitor"/>
    <n v="4"/>
    <n v="500.52"/>
    <n v="0.05"/>
    <n v="1901.98"/>
    <n v="1471.06"/>
    <n v="430.92"/>
    <s v="Bank Transfer"/>
  </r>
  <r>
    <s v="ORD-02262"/>
    <x v="15"/>
    <x v="0"/>
    <s v="Oregon"/>
    <s v="Portland"/>
    <s v="Riley Wilson"/>
    <x v="0"/>
    <x v="2"/>
    <s v="Desks"/>
    <s v="Executive Desk"/>
    <n v="7"/>
    <n v="346.81"/>
    <n v="0.2"/>
    <n v="1942.14"/>
    <n v="1168.05"/>
    <n v="774.09"/>
    <s v="Bank Transfer"/>
  </r>
  <r>
    <s v="ORD-00471"/>
    <x v="15"/>
    <x v="2"/>
    <s v="Pennsylvania"/>
    <s v="Philadelphia"/>
    <s v="Morgan Davis"/>
    <x v="1"/>
    <x v="2"/>
    <s v="Desks"/>
    <s v="Executive Desk"/>
    <n v="1"/>
    <n v="671.13"/>
    <n v="0.05"/>
    <n v="637.57000000000005"/>
    <n v="363.92"/>
    <n v="273.64999999999998"/>
    <s v="Bank Transfer"/>
  </r>
  <r>
    <s v="ORD-02881"/>
    <x v="15"/>
    <x v="1"/>
    <s v="North Carolina"/>
    <s v="Durham"/>
    <s v="Casey Brown"/>
    <x v="1"/>
    <x v="1"/>
    <s v="Laptops"/>
    <s v="Workstation Laptop"/>
    <n v="8"/>
    <n v="1000.58"/>
    <n v="0.1"/>
    <n v="7204.18"/>
    <n v="4911.84"/>
    <n v="2292.34"/>
    <s v="Credit Card"/>
  </r>
  <r>
    <s v="ORD-00615"/>
    <x v="16"/>
    <x v="1"/>
    <s v="Texas"/>
    <s v="Houston"/>
    <s v="Casey Brown"/>
    <x v="0"/>
    <x v="0"/>
    <s v="Paper"/>
    <s v="Premium Paper"/>
    <n v="2"/>
    <n v="28.1"/>
    <n v="0"/>
    <n v="56.2"/>
    <n v="42.43"/>
    <n v="13.77"/>
    <s v="PayPal"/>
  </r>
  <r>
    <s v="ORD-00839"/>
    <x v="16"/>
    <x v="0"/>
    <s v="Colorado"/>
    <s v="Denver"/>
    <s v="Jordan Lee"/>
    <x v="0"/>
    <x v="0"/>
    <s v="Printers"/>
    <s v="Color Printer"/>
    <n v="2"/>
    <n v="496.93"/>
    <n v="0.1"/>
    <n v="894.47"/>
    <n v="655.36"/>
    <n v="239.11"/>
    <s v="Debit Card"/>
  </r>
  <r>
    <s v="ORD-00312"/>
    <x v="16"/>
    <x v="3"/>
    <s v="Minnesota"/>
    <s v="Minneapolis"/>
    <s v="Cameron Clark"/>
    <x v="0"/>
    <x v="1"/>
    <s v="Monitors"/>
    <s v="27in Monitor"/>
    <n v="10"/>
    <n v="421.27"/>
    <n v="0.1"/>
    <n v="3791.43"/>
    <n v="2134.4899999999998"/>
    <n v="1656.94"/>
    <s v="Debit Card"/>
  </r>
  <r>
    <s v="ORD-00526"/>
    <x v="16"/>
    <x v="3"/>
    <s v="Ohio"/>
    <s v="Cincinnati"/>
    <s v="Alex Morgan"/>
    <x v="0"/>
    <x v="1"/>
    <s v="Monitors"/>
    <s v="27in Monitor"/>
    <n v="6"/>
    <n v="637.25"/>
    <n v="0.1"/>
    <n v="3441.15"/>
    <n v="1999.51"/>
    <n v="1441.64"/>
    <s v="Debit Card"/>
  </r>
  <r>
    <s v="ORD-01868"/>
    <x v="16"/>
    <x v="2"/>
    <s v="New York"/>
    <s v="New York City"/>
    <s v="Jamie Miller"/>
    <x v="2"/>
    <x v="0"/>
    <s v="Printers"/>
    <s v="Laser Printer"/>
    <n v="2"/>
    <n v="502.81"/>
    <n v="0.15"/>
    <n v="854.78"/>
    <n v="596.63"/>
    <n v="258.14999999999998"/>
    <s v="Bank Transfer"/>
  </r>
  <r>
    <s v="ORD-00691"/>
    <x v="16"/>
    <x v="1"/>
    <s v="Texas"/>
    <s v="Austin"/>
    <s v="Avery Johnson"/>
    <x v="0"/>
    <x v="1"/>
    <s v="Headsets"/>
    <s v="Wireless Headset"/>
    <n v="3"/>
    <n v="164.22"/>
    <n v="0.1"/>
    <n v="443.39"/>
    <n v="350.47"/>
    <n v="92.92"/>
    <s v="Debit Card"/>
  </r>
  <r>
    <s v="ORD-02509"/>
    <x v="16"/>
    <x v="0"/>
    <s v="Washington"/>
    <s v="Tacoma"/>
    <s v="Alex Morgan"/>
    <x v="0"/>
    <x v="1"/>
    <s v="Laptops"/>
    <s v="Workstation Laptop"/>
    <n v="10"/>
    <n v="906.99"/>
    <n v="0.15"/>
    <n v="7709.41"/>
    <n v="4288.3599999999997"/>
    <n v="3421.05"/>
    <s v="Credit Card"/>
  </r>
  <r>
    <s v="ORD-00179"/>
    <x v="16"/>
    <x v="2"/>
    <s v="New York"/>
    <s v="Buffalo"/>
    <s v="Morgan Davis"/>
    <x v="2"/>
    <x v="2"/>
    <s v="Tables"/>
    <s v="Conference Table"/>
    <n v="5"/>
    <n v="236.62"/>
    <n v="0"/>
    <n v="1183.0999999999999"/>
    <n v="879.14"/>
    <n v="303.95999999999998"/>
    <s v="Bank Transfer"/>
  </r>
  <r>
    <s v="ORD-02432"/>
    <x v="16"/>
    <x v="0"/>
    <s v="Colorado"/>
    <s v="Denver"/>
    <s v="Drew Anderson"/>
    <x v="2"/>
    <x v="1"/>
    <s v="Laptops"/>
    <s v="Workstation Laptop"/>
    <n v="9"/>
    <n v="1422.47"/>
    <n v="0.15"/>
    <n v="10881.9"/>
    <n v="8916.0400000000009"/>
    <n v="1965.86"/>
    <s v="PayPal"/>
  </r>
  <r>
    <s v="ORD-00824"/>
    <x v="16"/>
    <x v="3"/>
    <s v="Illinois"/>
    <s v="Springfield"/>
    <s v="Alex Morgan"/>
    <x v="2"/>
    <x v="1"/>
    <s v="Headsets"/>
    <s v="Noise-Canceling Headset"/>
    <n v="3"/>
    <n v="64.650000000000006"/>
    <n v="0.15"/>
    <n v="164.86"/>
    <n v="106.85"/>
    <n v="58.01"/>
    <s v="Bank Transfer"/>
  </r>
  <r>
    <s v="ORD-01545"/>
    <x v="16"/>
    <x v="0"/>
    <s v="Colorado"/>
    <s v="Colorado Springs"/>
    <s v="Alex Morgan"/>
    <x v="2"/>
    <x v="1"/>
    <s v="Keyboards"/>
    <s v="Ergonomic Keyboard"/>
    <n v="8"/>
    <n v="87.97"/>
    <n v="0.1"/>
    <n v="633.38"/>
    <n v="365.19"/>
    <n v="268.19"/>
    <s v="Bank Transfer"/>
  </r>
  <r>
    <s v="ORD-01472"/>
    <x v="16"/>
    <x v="1"/>
    <s v="North Carolina"/>
    <s v="Durham"/>
    <s v="Morgan Davis"/>
    <x v="0"/>
    <x v="0"/>
    <s v="Printers"/>
    <s v="Laser Printer"/>
    <n v="2"/>
    <n v="453.75"/>
    <n v="0.1"/>
    <n v="816.75"/>
    <n v="617.58000000000004"/>
    <n v="199.17"/>
    <s v="Debit Card"/>
  </r>
  <r>
    <s v="ORD-01613"/>
    <x v="16"/>
    <x v="0"/>
    <s v="Washington"/>
    <s v="Spokane"/>
    <s v="Drew Anderson"/>
    <x v="2"/>
    <x v="2"/>
    <s v="Bookcases"/>
    <s v="3-Shelf Bookcase"/>
    <n v="8"/>
    <n v="196.58"/>
    <n v="0.15"/>
    <n v="1336.74"/>
    <n v="896.74"/>
    <n v="440"/>
    <s v="Bank Transfer"/>
  </r>
  <r>
    <s v="ORD-00335"/>
    <x v="17"/>
    <x v="1"/>
    <s v="North Carolina"/>
    <s v="Charlotte"/>
    <s v="Avery Johnson"/>
    <x v="0"/>
    <x v="1"/>
    <s v="Headsets"/>
    <s v="Wireless Headset"/>
    <n v="10"/>
    <n v="45.72"/>
    <n v="0"/>
    <n v="457.2"/>
    <n v="307.77999999999997"/>
    <n v="149.41999999999999"/>
    <s v="Bank Transfer"/>
  </r>
  <r>
    <s v="ORD-02614"/>
    <x v="17"/>
    <x v="0"/>
    <s v="Arizona"/>
    <s v="Mesa"/>
    <s v="Jamie Miller"/>
    <x v="0"/>
    <x v="2"/>
    <s v="Tables"/>
    <s v="Conference Table"/>
    <n v="9"/>
    <n v="274.79000000000002"/>
    <n v="0.1"/>
    <n v="2225.8000000000002"/>
    <n v="1324.92"/>
    <n v="900.88"/>
    <s v="PayPal"/>
  </r>
  <r>
    <s v="ORD-00834"/>
    <x v="17"/>
    <x v="0"/>
    <s v="California"/>
    <s v="Los Angeles"/>
    <s v="Avery Johnson"/>
    <x v="0"/>
    <x v="0"/>
    <s v="Printers"/>
    <s v="Color Printer"/>
    <n v="1"/>
    <n v="204.55"/>
    <n v="0"/>
    <n v="204.55"/>
    <n v="137.94"/>
    <n v="66.61"/>
    <s v="Credit Card"/>
  </r>
  <r>
    <s v="ORD-01127"/>
    <x v="17"/>
    <x v="0"/>
    <s v="Oregon"/>
    <s v="Salem"/>
    <s v="Drew Anderson"/>
    <x v="2"/>
    <x v="0"/>
    <s v="Paper"/>
    <s v="Premium Paper"/>
    <n v="2"/>
    <n v="33.409999999999997"/>
    <n v="0.15"/>
    <n v="56.8"/>
    <n v="41.25"/>
    <n v="15.55"/>
    <s v="Credit Card"/>
  </r>
  <r>
    <s v="ORD-02891"/>
    <x v="17"/>
    <x v="1"/>
    <s v="Virginia"/>
    <s v="Richmond"/>
    <s v="Riley Wilson"/>
    <x v="1"/>
    <x v="1"/>
    <s v="Laptops"/>
    <s v="Business Laptop"/>
    <n v="9"/>
    <n v="1261.43"/>
    <n v="0.1"/>
    <n v="10217.58"/>
    <n v="7530.36"/>
    <n v="2687.22"/>
    <s v="PayPal"/>
  </r>
  <r>
    <s v="ORD-00772"/>
    <x v="17"/>
    <x v="2"/>
    <s v="Pennsylvania"/>
    <s v="Philadelphia"/>
    <s v="Avery Johnson"/>
    <x v="2"/>
    <x v="1"/>
    <s v="Keyboards"/>
    <s v="Wireless Keyboard"/>
    <n v="2"/>
    <n v="37.119999999999997"/>
    <n v="0.1"/>
    <n v="66.819999999999993"/>
    <n v="45.21"/>
    <n v="21.61"/>
    <s v="Debit Card"/>
  </r>
  <r>
    <s v="ORD-02060"/>
    <x v="17"/>
    <x v="3"/>
    <s v="Ohio"/>
    <s v="Columbus"/>
    <s v="Cameron Clark"/>
    <x v="2"/>
    <x v="2"/>
    <s v="Desks"/>
    <s v="Work Desk"/>
    <n v="8"/>
    <n v="226.97"/>
    <n v="0.05"/>
    <n v="1724.97"/>
    <n v="1223.42"/>
    <n v="501.55"/>
    <s v="Bank Transfer"/>
  </r>
  <r>
    <s v="ORD-02725"/>
    <x v="17"/>
    <x v="2"/>
    <s v="New York"/>
    <s v="New York City"/>
    <s v="Riley Wilson"/>
    <x v="0"/>
    <x v="1"/>
    <s v="Laptops"/>
    <s v="Business Laptop"/>
    <n v="2"/>
    <n v="1019.69"/>
    <n v="0"/>
    <n v="2039.38"/>
    <n v="1633.63"/>
    <n v="405.75"/>
    <s v="Bank Transfer"/>
  </r>
  <r>
    <s v="ORD-00591"/>
    <x v="17"/>
    <x v="2"/>
    <s v="Pennsylvania"/>
    <s v="Pittsburgh"/>
    <s v="Alex Morgan"/>
    <x v="2"/>
    <x v="0"/>
    <s v="Paper"/>
    <s v="Premium Paper"/>
    <n v="4"/>
    <n v="26.53"/>
    <n v="0"/>
    <n v="106.12"/>
    <n v="60.46"/>
    <n v="45.66"/>
    <s v="Credit Card"/>
  </r>
  <r>
    <s v="ORD-01604"/>
    <x v="17"/>
    <x v="2"/>
    <s v="Vermont"/>
    <s v="Montpelier"/>
    <s v="Avery Johnson"/>
    <x v="0"/>
    <x v="2"/>
    <s v="Bookcases"/>
    <s v="3-Shelf Bookcase"/>
    <n v="8"/>
    <n v="476.77"/>
    <n v="0.1"/>
    <n v="3432.74"/>
    <n v="2645.65"/>
    <n v="787.09"/>
    <s v="PayPal"/>
  </r>
  <r>
    <s v="ORD-01569"/>
    <x v="17"/>
    <x v="3"/>
    <s v="Indiana"/>
    <s v="Indianapolis"/>
    <s v="Riley Wilson"/>
    <x v="0"/>
    <x v="1"/>
    <s v="Monitors"/>
    <s v="24in Monitor"/>
    <n v="8"/>
    <n v="544.37"/>
    <n v="0"/>
    <n v="4354.96"/>
    <n v="2997.5"/>
    <n v="1357.46"/>
    <s v="Credit Card"/>
  </r>
  <r>
    <s v="ORD-00354"/>
    <x v="17"/>
    <x v="0"/>
    <s v="California"/>
    <s v="San Jose"/>
    <s v="Taylor Smith"/>
    <x v="0"/>
    <x v="0"/>
    <s v="Printers"/>
    <s v="All-in-One Printer"/>
    <n v="8"/>
    <n v="295.14"/>
    <n v="0.05"/>
    <n v="2243.06"/>
    <n v="1503.39"/>
    <n v="739.67"/>
    <s v="Bank Transfer"/>
  </r>
  <r>
    <s v="ORD-01540"/>
    <x v="18"/>
    <x v="2"/>
    <s v="New Jersey"/>
    <s v="Newark"/>
    <s v="Alex Morgan"/>
    <x v="1"/>
    <x v="0"/>
    <s v="Binders"/>
    <s v="Presentation Binder"/>
    <n v="4"/>
    <n v="26.52"/>
    <n v="0"/>
    <n v="106.08"/>
    <n v="65.89"/>
    <n v="40.19"/>
    <s v="Credit Card"/>
  </r>
  <r>
    <s v="ORD-02632"/>
    <x v="18"/>
    <x v="3"/>
    <s v="Indiana"/>
    <s v="Evansville"/>
    <s v="Jordan Lee"/>
    <x v="0"/>
    <x v="1"/>
    <s v="Headsets"/>
    <s v="USB Headset"/>
    <n v="5"/>
    <n v="52.19"/>
    <n v="0.05"/>
    <n v="247.9"/>
    <n v="189.56"/>
    <n v="58.34"/>
    <s v="PayPal"/>
  </r>
  <r>
    <s v="ORD-00497"/>
    <x v="18"/>
    <x v="3"/>
    <s v="Michigan"/>
    <s v="Lansing"/>
    <s v="Jordan Lee"/>
    <x v="0"/>
    <x v="0"/>
    <s v="Printers"/>
    <s v="Laser Printer"/>
    <n v="9"/>
    <n v="532.9"/>
    <n v="0"/>
    <n v="4796.1000000000004"/>
    <n v="3038.29"/>
    <n v="1757.81"/>
    <s v="Debit Card"/>
  </r>
  <r>
    <s v="ORD-01428"/>
    <x v="18"/>
    <x v="3"/>
    <s v="Illinois"/>
    <s v="Chicago"/>
    <s v="Morgan Davis"/>
    <x v="2"/>
    <x v="1"/>
    <s v="Laptops"/>
    <s v="Workstation Laptop"/>
    <n v="1"/>
    <n v="1389.36"/>
    <n v="0.05"/>
    <n v="1319.89"/>
    <n v="988.64"/>
    <n v="331.25"/>
    <s v="Debit Card"/>
  </r>
  <r>
    <s v="ORD-01173"/>
    <x v="18"/>
    <x v="3"/>
    <s v="Ohio"/>
    <s v="Cleveland"/>
    <s v="Morgan Davis"/>
    <x v="2"/>
    <x v="0"/>
    <s v="Paper"/>
    <s v="Premium Paper"/>
    <n v="1"/>
    <n v="20.79"/>
    <n v="0"/>
    <n v="20.79"/>
    <n v="12.94"/>
    <n v="7.85"/>
    <s v="Bank Transfer"/>
  </r>
  <r>
    <s v="ORD-02414"/>
    <x v="18"/>
    <x v="3"/>
    <s v="Michigan"/>
    <s v="Lansing"/>
    <s v="Jordan Lee"/>
    <x v="2"/>
    <x v="1"/>
    <s v="Laptops"/>
    <s v="Business Laptop"/>
    <n v="2"/>
    <n v="1566.62"/>
    <n v="0.1"/>
    <n v="2819.92"/>
    <n v="2070.59"/>
    <n v="749.33"/>
    <s v="PayPal"/>
  </r>
  <r>
    <s v="ORD-00391"/>
    <x v="19"/>
    <x v="3"/>
    <s v="Indiana"/>
    <s v="Fort Wayne"/>
    <s v="Jordan Lee"/>
    <x v="0"/>
    <x v="0"/>
    <s v="Paper"/>
    <s v="Premium Paper"/>
    <n v="10"/>
    <n v="8.85"/>
    <n v="0.1"/>
    <n v="79.650000000000006"/>
    <n v="50.85"/>
    <n v="28.8"/>
    <s v="Credit Card"/>
  </r>
  <r>
    <s v="ORD-01235"/>
    <x v="19"/>
    <x v="1"/>
    <s v="North Carolina"/>
    <s v="Charlotte"/>
    <s v="Jordan Lee"/>
    <x v="0"/>
    <x v="2"/>
    <s v="Chairs"/>
    <s v="Task Chair"/>
    <n v="1"/>
    <n v="372.93"/>
    <n v="0.1"/>
    <n v="335.64"/>
    <n v="243.41"/>
    <n v="92.23"/>
    <s v="Debit Card"/>
  </r>
  <r>
    <s v="ORD-00177"/>
    <x v="19"/>
    <x v="3"/>
    <s v="Indiana"/>
    <s v="Indianapolis"/>
    <s v="Taylor Smith"/>
    <x v="0"/>
    <x v="0"/>
    <s v="Paper"/>
    <s v="Recycled Paper"/>
    <n v="7"/>
    <n v="12.97"/>
    <n v="0"/>
    <n v="90.79"/>
    <n v="68.55"/>
    <n v="22.24"/>
    <s v="Debit Card"/>
  </r>
  <r>
    <s v="ORD-01827"/>
    <x v="20"/>
    <x v="1"/>
    <s v="Florida"/>
    <s v="Orlando"/>
    <s v="Taylor Smith"/>
    <x v="0"/>
    <x v="1"/>
    <s v="Laptops"/>
    <s v="Workstation Laptop"/>
    <n v="5"/>
    <n v="1198.27"/>
    <n v="0.2"/>
    <n v="4793.08"/>
    <n v="3484.66"/>
    <n v="1308.42"/>
    <s v="PayPal"/>
  </r>
  <r>
    <s v="ORD-01729"/>
    <x v="20"/>
    <x v="1"/>
    <s v="Georgia"/>
    <s v="Savannah"/>
    <s v="Avery Johnson"/>
    <x v="0"/>
    <x v="1"/>
    <s v="Monitors"/>
    <s v="27in Monitor"/>
    <n v="1"/>
    <n v="684.04"/>
    <n v="0.1"/>
    <n v="615.64"/>
    <n v="414.66"/>
    <n v="200.98"/>
    <s v="Credit Card"/>
  </r>
  <r>
    <s v="ORD-02853"/>
    <x v="20"/>
    <x v="3"/>
    <s v="Michigan"/>
    <s v="Detroit"/>
    <s v="Morgan Davis"/>
    <x v="0"/>
    <x v="0"/>
    <s v="Printers"/>
    <s v="All-in-One Printer"/>
    <n v="4"/>
    <n v="576.11"/>
    <n v="0.1"/>
    <n v="2074"/>
    <n v="1542.62"/>
    <n v="531.38"/>
    <s v="Credit Card"/>
  </r>
  <r>
    <s v="ORD-00659"/>
    <x v="20"/>
    <x v="0"/>
    <s v="Oregon"/>
    <s v="Eugene"/>
    <s v="Avery Johnson"/>
    <x v="2"/>
    <x v="2"/>
    <s v="Desks"/>
    <s v="Executive Desk"/>
    <n v="10"/>
    <n v="697.13"/>
    <n v="0.05"/>
    <n v="6622.74"/>
    <n v="5414.94"/>
    <n v="1207.8"/>
    <s v="PayPal"/>
  </r>
  <r>
    <s v="ORD-02242"/>
    <x v="20"/>
    <x v="3"/>
    <s v="Ohio"/>
    <s v="Cincinnati"/>
    <s v="Casey Brown"/>
    <x v="0"/>
    <x v="2"/>
    <s v="Chairs"/>
    <s v="Task Chair"/>
    <n v="6"/>
    <n v="171.4"/>
    <n v="0.05"/>
    <n v="976.98"/>
    <n v="680.73"/>
    <n v="296.25"/>
    <s v="Credit Card"/>
  </r>
  <r>
    <s v="ORD-01067"/>
    <x v="20"/>
    <x v="2"/>
    <s v="Massachusetts"/>
    <s v="Boston"/>
    <s v="Jamie Miller"/>
    <x v="1"/>
    <x v="1"/>
    <s v="Keyboards"/>
    <s v="Mechanical Keyboard"/>
    <n v="6"/>
    <n v="159.93"/>
    <n v="0.2"/>
    <n v="767.66"/>
    <n v="506.94"/>
    <n v="260.72000000000003"/>
    <s v="PayPal"/>
  </r>
  <r>
    <s v="ORD-00602"/>
    <x v="20"/>
    <x v="0"/>
    <s v="Oregon"/>
    <s v="Salem"/>
    <s v="Alex Morgan"/>
    <x v="0"/>
    <x v="2"/>
    <s v="Chairs"/>
    <s v="Ergonomic Chair"/>
    <n v="8"/>
    <n v="644.16999999999996"/>
    <n v="0.05"/>
    <n v="4895.6899999999996"/>
    <n v="3776.27"/>
    <n v="1119.42"/>
    <s v="Bank Transfer"/>
  </r>
  <r>
    <s v="ORD-01402"/>
    <x v="20"/>
    <x v="3"/>
    <s v="Michigan"/>
    <s v="Detroit"/>
    <s v="Casey Brown"/>
    <x v="1"/>
    <x v="2"/>
    <s v="Desks"/>
    <s v="Standing Desk"/>
    <n v="2"/>
    <n v="389.28"/>
    <n v="0"/>
    <n v="778.56"/>
    <n v="575.66"/>
    <n v="202.9"/>
    <s v="Debit Card"/>
  </r>
  <r>
    <s v="ORD-02683"/>
    <x v="20"/>
    <x v="0"/>
    <s v="Washington"/>
    <s v="Spokane"/>
    <s v="Casey Brown"/>
    <x v="0"/>
    <x v="1"/>
    <s v="Monitors"/>
    <s v="34in Monitor"/>
    <n v="6"/>
    <n v="321.69"/>
    <n v="0"/>
    <n v="1930.14"/>
    <n v="1226.02"/>
    <n v="704.12"/>
    <s v="Credit Card"/>
  </r>
  <r>
    <s v="ORD-02483"/>
    <x v="21"/>
    <x v="2"/>
    <s v="Pennsylvania"/>
    <s v="Allentown"/>
    <s v="Jordan Lee"/>
    <x v="0"/>
    <x v="0"/>
    <s v="Printers"/>
    <s v="Laser Printer"/>
    <n v="7"/>
    <n v="408.01"/>
    <n v="0.1"/>
    <n v="2570.46"/>
    <n v="2084.92"/>
    <n v="485.54"/>
    <s v="Credit Card"/>
  </r>
  <r>
    <s v="ORD-02120"/>
    <x v="21"/>
    <x v="0"/>
    <s v="Colorado"/>
    <s v="Boulder"/>
    <s v="Taylor Smith"/>
    <x v="0"/>
    <x v="1"/>
    <s v="Laptops"/>
    <s v="Business Laptop"/>
    <n v="6"/>
    <n v="1171.25"/>
    <n v="0"/>
    <n v="7027.5"/>
    <n v="4739.72"/>
    <n v="2287.7800000000002"/>
    <s v="Bank Transfer"/>
  </r>
  <r>
    <s v="ORD-01417"/>
    <x v="21"/>
    <x v="2"/>
    <s v="New York"/>
    <s v="Rochester"/>
    <s v="Avery Johnson"/>
    <x v="2"/>
    <x v="1"/>
    <s v="Keyboards"/>
    <s v="Mechanical Keyboard"/>
    <n v="7"/>
    <n v="119.08"/>
    <n v="0.15"/>
    <n v="708.53"/>
    <n v="522.36"/>
    <n v="186.17"/>
    <s v="Credit Card"/>
  </r>
  <r>
    <s v="ORD-02761"/>
    <x v="21"/>
    <x v="1"/>
    <s v="Georgia"/>
    <s v="Atlanta"/>
    <s v="Drew Anderson"/>
    <x v="2"/>
    <x v="2"/>
    <s v="Chairs"/>
    <s v="Executive Chair"/>
    <n v="4"/>
    <n v="637.08000000000004"/>
    <n v="0"/>
    <n v="2548.3200000000002"/>
    <n v="1998.14"/>
    <n v="550.17999999999995"/>
    <s v="Debit Card"/>
  </r>
  <r>
    <s v="ORD-02973"/>
    <x v="21"/>
    <x v="3"/>
    <s v="Minnesota"/>
    <s v="St. Paul"/>
    <s v="Cameron Clark"/>
    <x v="2"/>
    <x v="1"/>
    <s v="Keyboards"/>
    <s v="Ergonomic Keyboard"/>
    <n v="5"/>
    <n v="32.31"/>
    <n v="0.15"/>
    <n v="137.32"/>
    <n v="102.74"/>
    <n v="34.58"/>
    <s v="PayPal"/>
  </r>
  <r>
    <s v="ORD-01295"/>
    <x v="21"/>
    <x v="0"/>
    <s v="Colorado"/>
    <s v="Boulder"/>
    <s v="Alex Morgan"/>
    <x v="2"/>
    <x v="2"/>
    <s v="Bookcases"/>
    <s v="3-Shelf Bookcase"/>
    <n v="10"/>
    <n v="148.78"/>
    <n v="0.1"/>
    <n v="1339.02"/>
    <n v="974.11"/>
    <n v="364.91"/>
    <s v="PayPal"/>
  </r>
  <r>
    <s v="ORD-00692"/>
    <x v="21"/>
    <x v="1"/>
    <s v="Texas"/>
    <s v="Austin"/>
    <s v="Alex Morgan"/>
    <x v="0"/>
    <x v="1"/>
    <s v="Headsets"/>
    <s v="Noise-Canceling Headset"/>
    <n v="4"/>
    <n v="168.27"/>
    <n v="0.1"/>
    <n v="605.77"/>
    <n v="389.16"/>
    <n v="216.61"/>
    <s v="Debit Card"/>
  </r>
  <r>
    <s v="ORD-01233"/>
    <x v="21"/>
    <x v="2"/>
    <s v="Pennsylvania"/>
    <s v="Philadelphia"/>
    <s v="Casey Brown"/>
    <x v="2"/>
    <x v="0"/>
    <s v="Binders"/>
    <s v="3-Ring Binder"/>
    <n v="3"/>
    <n v="12.85"/>
    <n v="0.1"/>
    <n v="34.700000000000003"/>
    <n v="25.64"/>
    <n v="9.06"/>
    <s v="Bank Transfer"/>
  </r>
  <r>
    <s v="ORD-02016"/>
    <x v="21"/>
    <x v="0"/>
    <s v="Colorado"/>
    <s v="Denver"/>
    <s v="Riley Wilson"/>
    <x v="2"/>
    <x v="2"/>
    <s v="Tables"/>
    <s v="Side Table"/>
    <n v="1"/>
    <n v="196.79"/>
    <n v="0.05"/>
    <n v="186.95"/>
    <n v="127.79"/>
    <n v="59.16"/>
    <s v="Debit Card"/>
  </r>
  <r>
    <s v="ORD-02159"/>
    <x v="21"/>
    <x v="1"/>
    <s v="Virginia"/>
    <s v="Richmond"/>
    <s v="Casey Brown"/>
    <x v="1"/>
    <x v="0"/>
    <s v="Paper"/>
    <s v="Recycled Paper"/>
    <n v="7"/>
    <n v="17.25"/>
    <n v="0"/>
    <n v="120.75"/>
    <n v="76.599999999999994"/>
    <n v="44.15"/>
    <s v="Debit Card"/>
  </r>
  <r>
    <s v="ORD-01317"/>
    <x v="21"/>
    <x v="1"/>
    <s v="North Carolina"/>
    <s v="Charlotte"/>
    <s v="Casey Brown"/>
    <x v="2"/>
    <x v="1"/>
    <s v="Headsets"/>
    <s v="USB Headset"/>
    <n v="4"/>
    <n v="154.12"/>
    <n v="0"/>
    <n v="616.48"/>
    <n v="483.63"/>
    <n v="132.85"/>
    <s v="PayPal"/>
  </r>
  <r>
    <s v="ORD-01870"/>
    <x v="22"/>
    <x v="1"/>
    <s v="Georgia"/>
    <s v="Atlanta"/>
    <s v="Casey Brown"/>
    <x v="2"/>
    <x v="0"/>
    <s v="Binders"/>
    <s v="3-Ring Binder"/>
    <n v="3"/>
    <n v="6.82"/>
    <n v="0.1"/>
    <n v="18.41"/>
    <n v="11.45"/>
    <n v="6.96"/>
    <s v="Credit Card"/>
  </r>
  <r>
    <s v="ORD-00583"/>
    <x v="22"/>
    <x v="0"/>
    <s v="Arizona"/>
    <s v="Tucson"/>
    <s v="Alex Morgan"/>
    <x v="0"/>
    <x v="2"/>
    <s v="Tables"/>
    <s v="Side Table"/>
    <n v="6"/>
    <n v="432.29"/>
    <n v="0.1"/>
    <n v="2334.37"/>
    <n v="1525.86"/>
    <n v="808.51"/>
    <s v="Bank Transfer"/>
  </r>
  <r>
    <s v="ORD-02049"/>
    <x v="22"/>
    <x v="3"/>
    <s v="Michigan"/>
    <s v="Detroit"/>
    <s v="Jamie Miller"/>
    <x v="1"/>
    <x v="0"/>
    <s v="Pens"/>
    <s v="Fine Tip Pens"/>
    <n v="1"/>
    <n v="19.579999999999998"/>
    <n v="0"/>
    <n v="19.579999999999998"/>
    <n v="11.84"/>
    <n v="7.74"/>
    <s v="Credit Card"/>
  </r>
  <r>
    <s v="ORD-00598"/>
    <x v="22"/>
    <x v="3"/>
    <s v="Ohio"/>
    <s v="Columbus"/>
    <s v="Taylor Smith"/>
    <x v="2"/>
    <x v="2"/>
    <s v="Desks"/>
    <s v="Executive Desk"/>
    <n v="8"/>
    <n v="751.61"/>
    <n v="0"/>
    <n v="6012.88"/>
    <n v="4404.9399999999996"/>
    <n v="1607.94"/>
    <s v="PayPal"/>
  </r>
  <r>
    <s v="ORD-02495"/>
    <x v="22"/>
    <x v="2"/>
    <s v="New Jersey"/>
    <s v="Trenton"/>
    <s v="Casey Brown"/>
    <x v="2"/>
    <x v="1"/>
    <s v="Laptops"/>
    <s v="Workstation Laptop"/>
    <n v="2"/>
    <n v="1429.31"/>
    <n v="0.2"/>
    <n v="2286.9"/>
    <n v="1774.18"/>
    <n v="512.72"/>
    <s v="Credit Card"/>
  </r>
  <r>
    <s v="ORD-02445"/>
    <x v="22"/>
    <x v="0"/>
    <s v="Oregon"/>
    <s v="Eugene"/>
    <s v="Jamie Miller"/>
    <x v="2"/>
    <x v="1"/>
    <s v="Monitors"/>
    <s v="24in Monitor"/>
    <n v="3"/>
    <n v="475.92"/>
    <n v="0.1"/>
    <n v="1284.98"/>
    <n v="827.65"/>
    <n v="457.33"/>
    <s v="PayPal"/>
  </r>
  <r>
    <s v="ORD-01265"/>
    <x v="22"/>
    <x v="1"/>
    <s v="Georgia"/>
    <s v="Augusta"/>
    <s v="Jordan Lee"/>
    <x v="1"/>
    <x v="0"/>
    <s v="Binders"/>
    <s v="Heavy-Duty Binder"/>
    <n v="6"/>
    <n v="29.25"/>
    <n v="0"/>
    <n v="175.5"/>
    <n v="110.42"/>
    <n v="65.08"/>
    <s v="Bank Transfer"/>
  </r>
  <r>
    <s v="ORD-01279"/>
    <x v="22"/>
    <x v="2"/>
    <s v="New York"/>
    <s v="New York City"/>
    <s v="Taylor Smith"/>
    <x v="0"/>
    <x v="0"/>
    <s v="Paper"/>
    <s v="Recycled Paper"/>
    <n v="7"/>
    <n v="19.54"/>
    <n v="0.1"/>
    <n v="123.1"/>
    <n v="90.31"/>
    <n v="32.79"/>
    <s v="PayPal"/>
  </r>
  <r>
    <s v="ORD-02836"/>
    <x v="23"/>
    <x v="3"/>
    <s v="Ohio"/>
    <s v="Cincinnati"/>
    <s v="Avery Johnson"/>
    <x v="0"/>
    <x v="0"/>
    <s v="Binders"/>
    <s v="Presentation Binder"/>
    <n v="7"/>
    <n v="16.71"/>
    <n v="0.1"/>
    <n v="105.27"/>
    <n v="65.77"/>
    <n v="39.5"/>
    <s v="PayPal"/>
  </r>
  <r>
    <s v="ORD-02545"/>
    <x v="23"/>
    <x v="1"/>
    <s v="Texas"/>
    <s v="Dallas"/>
    <s v="Avery Johnson"/>
    <x v="0"/>
    <x v="0"/>
    <s v="Paper"/>
    <s v="Copy Paper"/>
    <n v="9"/>
    <n v="31.92"/>
    <n v="0.1"/>
    <n v="258.55"/>
    <n v="185.49"/>
    <n v="73.06"/>
    <s v="Debit Card"/>
  </r>
  <r>
    <s v="ORD-00492"/>
    <x v="23"/>
    <x v="2"/>
    <s v="Massachusetts"/>
    <s v="Worcester"/>
    <s v="Taylor Smith"/>
    <x v="0"/>
    <x v="2"/>
    <s v="Bookcases"/>
    <s v="5-Shelf Bookcase"/>
    <n v="9"/>
    <n v="135.76"/>
    <n v="0.2"/>
    <n v="977.47"/>
    <n v="713.2"/>
    <n v="264.27"/>
    <s v="Debit Card"/>
  </r>
  <r>
    <s v="ORD-01560"/>
    <x v="23"/>
    <x v="3"/>
    <s v="Indiana"/>
    <s v="Indianapolis"/>
    <s v="Alex Morgan"/>
    <x v="1"/>
    <x v="2"/>
    <s v="Chairs"/>
    <s v="Executive Chair"/>
    <n v="9"/>
    <n v="163.92"/>
    <n v="0.1"/>
    <n v="1327.75"/>
    <n v="982.52"/>
    <n v="345.23"/>
    <s v="Credit Card"/>
  </r>
  <r>
    <s v="ORD-00403"/>
    <x v="23"/>
    <x v="3"/>
    <s v="Indiana"/>
    <s v="Fort Wayne"/>
    <s v="Drew Anderson"/>
    <x v="1"/>
    <x v="1"/>
    <s v="Headsets"/>
    <s v="USB Headset"/>
    <n v="10"/>
    <n v="70.959999999999994"/>
    <n v="0.05"/>
    <n v="674.12"/>
    <n v="385.5"/>
    <n v="288.62"/>
    <s v="Credit Card"/>
  </r>
  <r>
    <s v="ORD-01152"/>
    <x v="23"/>
    <x v="2"/>
    <s v="Pennsylvania"/>
    <s v="Allentown"/>
    <s v="Alex Morgan"/>
    <x v="0"/>
    <x v="1"/>
    <s v="Laptops"/>
    <s v="Workstation Laptop"/>
    <n v="8"/>
    <n v="1356.29"/>
    <n v="0.05"/>
    <n v="10307.799999999999"/>
    <n v="7676.26"/>
    <n v="2631.54"/>
    <s v="Credit Card"/>
  </r>
  <r>
    <s v="ORD-02129"/>
    <x v="23"/>
    <x v="3"/>
    <s v="Illinois"/>
    <s v="Springfield"/>
    <s v="Taylor Smith"/>
    <x v="1"/>
    <x v="0"/>
    <s v="Binders"/>
    <s v="Heavy-Duty Binder"/>
    <n v="2"/>
    <n v="7.73"/>
    <n v="0"/>
    <n v="15.46"/>
    <n v="8.6999999999999993"/>
    <n v="6.76"/>
    <s v="PayPal"/>
  </r>
  <r>
    <s v="ORD-01387"/>
    <x v="23"/>
    <x v="2"/>
    <s v="New York"/>
    <s v="Buffalo"/>
    <s v="Taylor Smith"/>
    <x v="0"/>
    <x v="1"/>
    <s v="Monitors"/>
    <s v="24in Monitor"/>
    <n v="8"/>
    <n v="377.73"/>
    <n v="0.1"/>
    <n v="2719.66"/>
    <n v="1966.5"/>
    <n v="753.16"/>
    <s v="Credit Card"/>
  </r>
  <r>
    <s v="ORD-01319"/>
    <x v="23"/>
    <x v="1"/>
    <s v="Texas"/>
    <s v="Austin"/>
    <s v="Morgan Davis"/>
    <x v="0"/>
    <x v="1"/>
    <s v="Laptops"/>
    <s v="Business Laptop"/>
    <n v="9"/>
    <n v="1447.75"/>
    <n v="0"/>
    <n v="13029.75"/>
    <n v="10154.4"/>
    <n v="2875.35"/>
    <s v="Bank Transfer"/>
  </r>
  <r>
    <s v="ORD-01293"/>
    <x v="23"/>
    <x v="0"/>
    <s v="Oregon"/>
    <s v="Salem"/>
    <s v="Cameron Clark"/>
    <x v="0"/>
    <x v="1"/>
    <s v="Laptops"/>
    <s v="Workstation Laptop"/>
    <n v="1"/>
    <n v="1075.69"/>
    <n v="0.05"/>
    <n v="1021.91"/>
    <n v="613.63"/>
    <n v="408.28"/>
    <s v="PayPal"/>
  </r>
  <r>
    <s v="ORD-01922"/>
    <x v="24"/>
    <x v="2"/>
    <s v="Vermont"/>
    <s v="Montpelier"/>
    <s v="Casey Brown"/>
    <x v="1"/>
    <x v="0"/>
    <s v="Printers"/>
    <s v="Color Printer"/>
    <n v="4"/>
    <n v="436.86"/>
    <n v="0.1"/>
    <n v="1572.7"/>
    <n v="1210.52"/>
    <n v="362.18"/>
    <s v="Bank Transfer"/>
  </r>
  <r>
    <s v="ORD-00275"/>
    <x v="24"/>
    <x v="2"/>
    <s v="Massachusetts"/>
    <s v="Worcester"/>
    <s v="Avery Johnson"/>
    <x v="2"/>
    <x v="2"/>
    <s v="Bookcases"/>
    <s v="Storage Bookcase"/>
    <n v="6"/>
    <n v="388.03"/>
    <n v="0"/>
    <n v="2328.1799999999998"/>
    <n v="1892.17"/>
    <n v="436.01"/>
    <s v="PayPal"/>
  </r>
  <r>
    <s v="ORD-02941"/>
    <x v="24"/>
    <x v="2"/>
    <s v="Vermont"/>
    <s v="Burlington"/>
    <s v="Drew Anderson"/>
    <x v="0"/>
    <x v="1"/>
    <s v="Monitors"/>
    <s v="24in Monitor"/>
    <n v="8"/>
    <n v="671.74"/>
    <n v="0"/>
    <n v="5373.92"/>
    <n v="4191.0200000000004"/>
    <n v="1182.9000000000001"/>
    <s v="Bank Transfer"/>
  </r>
  <r>
    <s v="ORD-01807"/>
    <x v="24"/>
    <x v="0"/>
    <s v="Arizona"/>
    <s v="Tucson"/>
    <s v="Alex Morgan"/>
    <x v="0"/>
    <x v="2"/>
    <s v="Chairs"/>
    <s v="Executive Chair"/>
    <n v="1"/>
    <n v="451.66"/>
    <n v="0.1"/>
    <n v="406.49"/>
    <n v="237.86"/>
    <n v="168.63"/>
    <s v="PayPal"/>
  </r>
  <r>
    <s v="ORD-00616"/>
    <x v="24"/>
    <x v="3"/>
    <s v="Illinois"/>
    <s v="Springfield"/>
    <s v="Taylor Smith"/>
    <x v="2"/>
    <x v="2"/>
    <s v="Desks"/>
    <s v="Standing Desk"/>
    <n v="4"/>
    <n v="481.7"/>
    <n v="0.2"/>
    <n v="1541.44"/>
    <n v="1147.44"/>
    <n v="394"/>
    <s v="Bank Transfer"/>
  </r>
  <r>
    <s v="ORD-01094"/>
    <x v="24"/>
    <x v="3"/>
    <s v="Minnesota"/>
    <s v="St. Paul"/>
    <s v="Jamie Miller"/>
    <x v="0"/>
    <x v="0"/>
    <s v="Pens"/>
    <s v="Ballpoint Pens"/>
    <n v="4"/>
    <n v="11.51"/>
    <n v="0"/>
    <n v="46.04"/>
    <n v="32.909999999999997"/>
    <n v="13.13"/>
    <s v="Credit Card"/>
  </r>
  <r>
    <s v="ORD-01947"/>
    <x v="24"/>
    <x v="2"/>
    <s v="Pennsylvania"/>
    <s v="Allentown"/>
    <s v="Jamie Miller"/>
    <x v="0"/>
    <x v="1"/>
    <s v="Laptops"/>
    <s v="Business Laptop"/>
    <n v="10"/>
    <n v="1126.2"/>
    <n v="0"/>
    <n v="11262"/>
    <n v="9203.31"/>
    <n v="2058.69"/>
    <s v="Debit Card"/>
  </r>
  <r>
    <s v="ORD-00261"/>
    <x v="24"/>
    <x v="2"/>
    <s v="Massachusetts"/>
    <s v="Boston"/>
    <s v="Jamie Miller"/>
    <x v="2"/>
    <x v="1"/>
    <s v="Monitors"/>
    <s v="24in Monitor"/>
    <n v="2"/>
    <n v="668.21"/>
    <n v="0"/>
    <n v="1336.42"/>
    <n v="932.37"/>
    <n v="404.05"/>
    <s v="Bank Transfer"/>
  </r>
  <r>
    <s v="ORD-01941"/>
    <x v="25"/>
    <x v="3"/>
    <s v="Illinois"/>
    <s v="Chicago"/>
    <s v="Alex Morgan"/>
    <x v="2"/>
    <x v="1"/>
    <s v="Monitors"/>
    <s v="27in Monitor"/>
    <n v="3"/>
    <n v="347.15"/>
    <n v="0.05"/>
    <n v="989.38"/>
    <n v="728.51"/>
    <n v="260.87"/>
    <s v="Bank Transfer"/>
  </r>
  <r>
    <s v="ORD-00665"/>
    <x v="25"/>
    <x v="2"/>
    <s v="Massachusetts"/>
    <s v="Springfield"/>
    <s v="Drew Anderson"/>
    <x v="0"/>
    <x v="1"/>
    <s v="Monitors"/>
    <s v="24in Monitor"/>
    <n v="7"/>
    <n v="317.16000000000003"/>
    <n v="0.05"/>
    <n v="2109.11"/>
    <n v="1633.87"/>
    <n v="475.24"/>
    <s v="PayPal"/>
  </r>
  <r>
    <s v="ORD-00520"/>
    <x v="25"/>
    <x v="1"/>
    <s v="Virginia"/>
    <s v="Arlington"/>
    <s v="Alex Morgan"/>
    <x v="2"/>
    <x v="0"/>
    <s v="Pens"/>
    <s v="Ballpoint Pens"/>
    <n v="5"/>
    <n v="10.84"/>
    <n v="0.05"/>
    <n v="51.49"/>
    <n v="30.3"/>
    <n v="21.19"/>
    <s v="Bank Transfer"/>
  </r>
  <r>
    <s v="ORD-00377"/>
    <x v="25"/>
    <x v="0"/>
    <s v="California"/>
    <s v="San Diego"/>
    <s v="Drew Anderson"/>
    <x v="0"/>
    <x v="1"/>
    <s v="Headsets"/>
    <s v="USB Headset"/>
    <n v="7"/>
    <n v="249.28"/>
    <n v="0"/>
    <n v="1744.96"/>
    <n v="1039.1500000000001"/>
    <n v="705.81"/>
    <s v="Bank Transfer"/>
  </r>
  <r>
    <s v="ORD-00931"/>
    <x v="25"/>
    <x v="3"/>
    <s v="Minnesota"/>
    <s v="Minneapolis"/>
    <s v="Jamie Miller"/>
    <x v="2"/>
    <x v="0"/>
    <s v="Printers"/>
    <s v="Laser Printer"/>
    <n v="2"/>
    <n v="551.69000000000005"/>
    <n v="0.2"/>
    <n v="882.7"/>
    <n v="649.29999999999995"/>
    <n v="233.4"/>
    <s v="Bank Transfer"/>
  </r>
  <r>
    <s v="ORD-00961"/>
    <x v="25"/>
    <x v="2"/>
    <s v="Pennsylvania"/>
    <s v="Allentown"/>
    <s v="Avery Johnson"/>
    <x v="1"/>
    <x v="1"/>
    <s v="Monitors"/>
    <s v="34in Monitor"/>
    <n v="6"/>
    <n v="482.97"/>
    <n v="0.05"/>
    <n v="2752.93"/>
    <n v="1925.66"/>
    <n v="827.27"/>
    <s v="Bank Transfer"/>
  </r>
  <r>
    <s v="ORD-01691"/>
    <x v="25"/>
    <x v="1"/>
    <s v="Florida"/>
    <s v="Orlando"/>
    <s v="Morgan Davis"/>
    <x v="0"/>
    <x v="2"/>
    <s v="Bookcases"/>
    <s v="3-Shelf Bookcase"/>
    <n v="5"/>
    <n v="284.7"/>
    <n v="0.15"/>
    <n v="1209.97"/>
    <n v="914.77"/>
    <n v="295.2"/>
    <s v="Bank Transfer"/>
  </r>
  <r>
    <s v="ORD-01136"/>
    <x v="25"/>
    <x v="3"/>
    <s v="Indiana"/>
    <s v="Evansville"/>
    <s v="Morgan Davis"/>
    <x v="1"/>
    <x v="1"/>
    <s v="Headsets"/>
    <s v="Noise-Canceling Headset"/>
    <n v="8"/>
    <n v="85.91"/>
    <n v="0.05"/>
    <n v="652.91999999999996"/>
    <n v="454.04"/>
    <n v="198.88"/>
    <s v="Credit Card"/>
  </r>
  <r>
    <s v="ORD-01159"/>
    <x v="25"/>
    <x v="0"/>
    <s v="Colorado"/>
    <s v="Colorado Springs"/>
    <s v="Cameron Clark"/>
    <x v="0"/>
    <x v="1"/>
    <s v="Monitors"/>
    <s v="27in Monitor"/>
    <n v="1"/>
    <n v="454.06"/>
    <n v="0.1"/>
    <n v="408.65"/>
    <n v="270.18"/>
    <n v="138.47"/>
    <s v="Bank Transfer"/>
  </r>
  <r>
    <s v="ORD-00394"/>
    <x v="25"/>
    <x v="0"/>
    <s v="Colorado"/>
    <s v="Boulder"/>
    <s v="Morgan Davis"/>
    <x v="0"/>
    <x v="0"/>
    <s v="Paper"/>
    <s v="Premium Paper"/>
    <n v="6"/>
    <n v="19.18"/>
    <n v="0.05"/>
    <n v="109.33"/>
    <n v="78.75"/>
    <n v="30.58"/>
    <s v="Bank Transfer"/>
  </r>
  <r>
    <s v="ORD-01920"/>
    <x v="25"/>
    <x v="2"/>
    <s v="New Jersey"/>
    <s v="Newark"/>
    <s v="Riley Wilson"/>
    <x v="2"/>
    <x v="2"/>
    <s v="Chairs"/>
    <s v="Ergonomic Chair"/>
    <n v="10"/>
    <n v="214.4"/>
    <n v="0.05"/>
    <n v="2036.8"/>
    <n v="1368.11"/>
    <n v="668.69"/>
    <s v="PayPal"/>
  </r>
  <r>
    <s v="ORD-00938"/>
    <x v="25"/>
    <x v="2"/>
    <s v="New York"/>
    <s v="New York City"/>
    <s v="Casey Brown"/>
    <x v="0"/>
    <x v="0"/>
    <s v="Binders"/>
    <s v="3-Ring Binder"/>
    <n v="6"/>
    <n v="21.4"/>
    <n v="0.05"/>
    <n v="121.98"/>
    <n v="67.59"/>
    <n v="54.39"/>
    <s v="Credit Card"/>
  </r>
  <r>
    <s v="ORD-02351"/>
    <x v="25"/>
    <x v="0"/>
    <s v="Oregon"/>
    <s v="Eugene"/>
    <s v="Avery Johnson"/>
    <x v="1"/>
    <x v="2"/>
    <s v="Bookcases"/>
    <s v="3-Shelf Bookcase"/>
    <n v="9"/>
    <n v="237.41"/>
    <n v="0.05"/>
    <n v="2029.86"/>
    <n v="1235.92"/>
    <n v="793.94"/>
    <s v="PayPal"/>
  </r>
  <r>
    <s v="ORD-01371"/>
    <x v="26"/>
    <x v="3"/>
    <s v="Ohio"/>
    <s v="Cincinnati"/>
    <s v="Jordan Lee"/>
    <x v="0"/>
    <x v="2"/>
    <s v="Bookcases"/>
    <s v="5-Shelf Bookcase"/>
    <n v="7"/>
    <n v="309.81"/>
    <n v="0.15"/>
    <n v="1843.37"/>
    <n v="1269.28"/>
    <n v="574.09"/>
    <s v="PayPal"/>
  </r>
  <r>
    <s v="ORD-00478"/>
    <x v="26"/>
    <x v="0"/>
    <s v="Oregon"/>
    <s v="Portland"/>
    <s v="Taylor Smith"/>
    <x v="0"/>
    <x v="0"/>
    <s v="Paper"/>
    <s v="Recycled Paper"/>
    <n v="4"/>
    <n v="24.94"/>
    <n v="0"/>
    <n v="99.76"/>
    <n v="66.98"/>
    <n v="32.78"/>
    <s v="Credit Card"/>
  </r>
  <r>
    <s v="ORD-00711"/>
    <x v="26"/>
    <x v="3"/>
    <s v="Michigan"/>
    <s v="Detroit"/>
    <s v="Avery Johnson"/>
    <x v="1"/>
    <x v="1"/>
    <s v="Monitors"/>
    <s v="24in Monitor"/>
    <n v="1"/>
    <n v="644.08000000000004"/>
    <n v="0"/>
    <n v="644.08000000000004"/>
    <n v="469.64"/>
    <n v="174.44"/>
    <s v="Debit Card"/>
  </r>
  <r>
    <s v="ORD-01255"/>
    <x v="26"/>
    <x v="2"/>
    <s v="Vermont"/>
    <s v="Rutland"/>
    <s v="Avery Johnson"/>
    <x v="0"/>
    <x v="0"/>
    <s v="Paper"/>
    <s v="Recycled Paper"/>
    <n v="10"/>
    <n v="34.58"/>
    <n v="0.1"/>
    <n v="311.22000000000003"/>
    <n v="223.51"/>
    <n v="87.71"/>
    <s v="Debit Card"/>
  </r>
  <r>
    <s v="ORD-00001"/>
    <x v="26"/>
    <x v="3"/>
    <s v="Ohio"/>
    <s v="Columbus"/>
    <s v="Jordan Lee"/>
    <x v="0"/>
    <x v="1"/>
    <s v="Monitors"/>
    <s v="24in Monitor"/>
    <n v="3"/>
    <n v="621.41"/>
    <n v="0.15"/>
    <n v="1584.6"/>
    <n v="1156.48"/>
    <n v="428.12"/>
    <s v="PayPal"/>
  </r>
  <r>
    <s v="ORD-02221"/>
    <x v="26"/>
    <x v="0"/>
    <s v="California"/>
    <s v="Los Angeles"/>
    <s v="Drew Anderson"/>
    <x v="2"/>
    <x v="0"/>
    <s v="Paper"/>
    <s v="Copy Paper"/>
    <n v="1"/>
    <n v="26.97"/>
    <n v="0.05"/>
    <n v="25.62"/>
    <n v="14.32"/>
    <n v="11.3"/>
    <s v="Credit Card"/>
  </r>
  <r>
    <s v="ORD-00002"/>
    <x v="26"/>
    <x v="0"/>
    <s v="Arizona"/>
    <s v="Tucson"/>
    <s v="Drew Anderson"/>
    <x v="2"/>
    <x v="2"/>
    <s v="Tables"/>
    <s v="Conference Table"/>
    <n v="9"/>
    <n v="626.63"/>
    <n v="0.1"/>
    <n v="5075.7"/>
    <n v="4063.49"/>
    <n v="1012.21"/>
    <s v="Debit Card"/>
  </r>
  <r>
    <s v="ORD-01943"/>
    <x v="26"/>
    <x v="1"/>
    <s v="Virginia"/>
    <s v="Norfolk"/>
    <s v="Jordan Lee"/>
    <x v="0"/>
    <x v="1"/>
    <s v="Keyboards"/>
    <s v="Mechanical Keyboard"/>
    <n v="4"/>
    <n v="77.39"/>
    <n v="0.1"/>
    <n v="278.60000000000002"/>
    <n v="183.58"/>
    <n v="95.02"/>
    <s v="Debit Card"/>
  </r>
  <r>
    <s v="ORD-02552"/>
    <x v="26"/>
    <x v="2"/>
    <s v="Massachusetts"/>
    <s v="Worcester"/>
    <s v="Casey Brown"/>
    <x v="2"/>
    <x v="0"/>
    <s v="Printers"/>
    <s v="Laser Printer"/>
    <n v="8"/>
    <n v="209.33"/>
    <n v="0.1"/>
    <n v="1507.18"/>
    <n v="897.03"/>
    <n v="610.15"/>
    <s v="Bank Transfer"/>
  </r>
  <r>
    <s v="ORD-01875"/>
    <x v="26"/>
    <x v="1"/>
    <s v="Texas"/>
    <s v="Houston"/>
    <s v="Cameron Clark"/>
    <x v="2"/>
    <x v="1"/>
    <s v="Keyboards"/>
    <s v="Mechanical Keyboard"/>
    <n v="7"/>
    <n v="67.42"/>
    <n v="0"/>
    <n v="471.94"/>
    <n v="282.95"/>
    <n v="188.99"/>
    <s v="Debit Card"/>
  </r>
  <r>
    <s v="ORD-00149"/>
    <x v="26"/>
    <x v="2"/>
    <s v="Pennsylvania"/>
    <s v="Pittsburgh"/>
    <s v="Jordan Lee"/>
    <x v="1"/>
    <x v="1"/>
    <s v="Keyboards"/>
    <s v="Wireless Keyboard"/>
    <n v="2"/>
    <n v="96.04"/>
    <n v="0.05"/>
    <n v="182.48"/>
    <n v="114.74"/>
    <n v="67.739999999999995"/>
    <s v="Credit Card"/>
  </r>
  <r>
    <s v="ORD-00745"/>
    <x v="27"/>
    <x v="3"/>
    <s v="Indiana"/>
    <s v="Fort Wayne"/>
    <s v="Cameron Clark"/>
    <x v="1"/>
    <x v="2"/>
    <s v="Tables"/>
    <s v="Conference Table"/>
    <n v="2"/>
    <n v="559.54999999999995"/>
    <n v="0.05"/>
    <n v="1063.1400000000001"/>
    <n v="632.38"/>
    <n v="430.76"/>
    <s v="Bank Transfer"/>
  </r>
  <r>
    <s v="ORD-00466"/>
    <x v="27"/>
    <x v="3"/>
    <s v="Indiana"/>
    <s v="Evansville"/>
    <s v="Casey Brown"/>
    <x v="2"/>
    <x v="1"/>
    <s v="Headsets"/>
    <s v="Noise-Canceling Headset"/>
    <n v="10"/>
    <n v="185.56"/>
    <n v="0.15"/>
    <n v="1577.26"/>
    <n v="1118.6199999999999"/>
    <n v="458.64"/>
    <s v="Bank Transfer"/>
  </r>
  <r>
    <s v="ORD-02592"/>
    <x v="27"/>
    <x v="1"/>
    <s v="Texas"/>
    <s v="Houston"/>
    <s v="Jamie Miller"/>
    <x v="2"/>
    <x v="2"/>
    <s v="Tables"/>
    <s v="Training Table"/>
    <n v="8"/>
    <n v="395.61"/>
    <n v="0.1"/>
    <n v="2848.39"/>
    <n v="2106.87"/>
    <n v="741.52"/>
    <s v="Bank Transfer"/>
  </r>
  <r>
    <s v="ORD-01327"/>
    <x v="27"/>
    <x v="2"/>
    <s v="Vermont"/>
    <s v="Montpelier"/>
    <s v="Riley Wilson"/>
    <x v="1"/>
    <x v="1"/>
    <s v="Keyboards"/>
    <s v="Ergonomic Keyboard"/>
    <n v="8"/>
    <n v="99.43"/>
    <n v="0.05"/>
    <n v="755.67"/>
    <n v="605.39"/>
    <n v="150.28"/>
    <s v="PayPal"/>
  </r>
  <r>
    <s v="ORD-00588"/>
    <x v="27"/>
    <x v="3"/>
    <s v="Minnesota"/>
    <s v="St. Paul"/>
    <s v="Avery Johnson"/>
    <x v="2"/>
    <x v="0"/>
    <s v="Paper"/>
    <s v="Premium Paper"/>
    <n v="7"/>
    <n v="17.399999999999999"/>
    <n v="0.1"/>
    <n v="109.62"/>
    <n v="80.61"/>
    <n v="29.01"/>
    <s v="PayPal"/>
  </r>
  <r>
    <s v="ORD-00806"/>
    <x v="27"/>
    <x v="0"/>
    <s v="Colorado"/>
    <s v="Colorado Springs"/>
    <s v="Jamie Miller"/>
    <x v="2"/>
    <x v="0"/>
    <s v="Printers"/>
    <s v="All-in-One Printer"/>
    <n v="5"/>
    <n v="270.97000000000003"/>
    <n v="0.15"/>
    <n v="1151.6199999999999"/>
    <n v="819.06"/>
    <n v="332.56"/>
    <s v="Credit Card"/>
  </r>
  <r>
    <s v="ORD-00167"/>
    <x v="28"/>
    <x v="0"/>
    <s v="California"/>
    <s v="San Jose"/>
    <s v="Jamie Miller"/>
    <x v="0"/>
    <x v="0"/>
    <s v="Pens"/>
    <s v="Ballpoint Pens"/>
    <n v="6"/>
    <n v="18.04"/>
    <n v="0.05"/>
    <n v="102.83"/>
    <n v="80.849999999999994"/>
    <n v="21.98"/>
    <s v="Credit Card"/>
  </r>
  <r>
    <s v="ORD-01105"/>
    <x v="28"/>
    <x v="1"/>
    <s v="Texas"/>
    <s v="Dallas"/>
    <s v="Avery Johnson"/>
    <x v="2"/>
    <x v="2"/>
    <s v="Desks"/>
    <s v="Work Desk"/>
    <n v="8"/>
    <n v="502.8"/>
    <n v="0"/>
    <n v="4022.4"/>
    <n v="2257.15"/>
    <n v="1765.25"/>
    <s v="Credit Card"/>
  </r>
  <r>
    <s v="ORD-02748"/>
    <x v="28"/>
    <x v="2"/>
    <s v="Vermont"/>
    <s v="Rutland"/>
    <s v="Riley Wilson"/>
    <x v="2"/>
    <x v="2"/>
    <s v="Tables"/>
    <s v="Side Table"/>
    <n v="8"/>
    <n v="535.29999999999995"/>
    <n v="0.05"/>
    <n v="4068.28"/>
    <n v="3162.23"/>
    <n v="906.05"/>
    <s v="Bank Transfer"/>
  </r>
  <r>
    <s v="ORD-01172"/>
    <x v="28"/>
    <x v="3"/>
    <s v="Minnesota"/>
    <s v="Minneapolis"/>
    <s v="Casey Brown"/>
    <x v="0"/>
    <x v="0"/>
    <s v="Binders"/>
    <s v="Presentation Binder"/>
    <n v="8"/>
    <n v="22.47"/>
    <n v="0"/>
    <n v="179.76"/>
    <n v="99.3"/>
    <n v="80.459999999999994"/>
    <s v="Credit Card"/>
  </r>
  <r>
    <s v="ORD-02011"/>
    <x v="29"/>
    <x v="3"/>
    <s v="Ohio"/>
    <s v="Cincinnati"/>
    <s v="Jordan Lee"/>
    <x v="2"/>
    <x v="2"/>
    <s v="Tables"/>
    <s v="Side Table"/>
    <n v="10"/>
    <n v="705.11"/>
    <n v="0"/>
    <n v="7051.1"/>
    <n v="4453.32"/>
    <n v="2597.7800000000002"/>
    <s v="PayPal"/>
  </r>
  <r>
    <s v="ORD-02898"/>
    <x v="29"/>
    <x v="3"/>
    <s v="Illinois"/>
    <s v="Chicago"/>
    <s v="Drew Anderson"/>
    <x v="0"/>
    <x v="0"/>
    <s v="Pens"/>
    <s v="Gel Pens"/>
    <n v="5"/>
    <n v="5.0199999999999996"/>
    <n v="0.1"/>
    <n v="22.59"/>
    <n v="18.2"/>
    <n v="4.3899999999999997"/>
    <s v="Debit Card"/>
  </r>
  <r>
    <s v="ORD-01764"/>
    <x v="29"/>
    <x v="3"/>
    <s v="Michigan"/>
    <s v="Grand Rapids"/>
    <s v="Morgan Davis"/>
    <x v="0"/>
    <x v="2"/>
    <s v="Tables"/>
    <s v="Training Table"/>
    <n v="9"/>
    <n v="557.36"/>
    <n v="0.1"/>
    <n v="4514.62"/>
    <n v="2625.51"/>
    <n v="1889.11"/>
    <s v="Debit Card"/>
  </r>
  <r>
    <s v="ORD-02142"/>
    <x v="29"/>
    <x v="1"/>
    <s v="Georgia"/>
    <s v="Atlanta"/>
    <s v="Taylor Smith"/>
    <x v="0"/>
    <x v="2"/>
    <s v="Chairs"/>
    <s v="Task Chair"/>
    <n v="8"/>
    <n v="680.51"/>
    <n v="0"/>
    <n v="5444.08"/>
    <n v="4384.84"/>
    <n v="1059.24"/>
    <s v="PayPal"/>
  </r>
  <r>
    <s v="ORD-01146"/>
    <x v="29"/>
    <x v="1"/>
    <s v="Virginia"/>
    <s v="Arlington"/>
    <s v="Taylor Smith"/>
    <x v="2"/>
    <x v="1"/>
    <s v="Keyboards"/>
    <s v="Ergonomic Keyboard"/>
    <n v="6"/>
    <n v="94.74"/>
    <n v="0.15"/>
    <n v="483.17"/>
    <n v="382.92"/>
    <n v="100.25"/>
    <s v="Debit Card"/>
  </r>
  <r>
    <s v="ORD-02174"/>
    <x v="29"/>
    <x v="1"/>
    <s v="North Carolina"/>
    <s v="Durham"/>
    <s v="Casey Brown"/>
    <x v="0"/>
    <x v="2"/>
    <s v="Bookcases"/>
    <s v="3-Shelf Bookcase"/>
    <n v="1"/>
    <n v="316.86"/>
    <n v="0.1"/>
    <n v="285.17"/>
    <n v="231.77"/>
    <n v="53.4"/>
    <s v="PayPal"/>
  </r>
  <r>
    <s v="ORD-00498"/>
    <x v="29"/>
    <x v="0"/>
    <s v="Colorado"/>
    <s v="Denver"/>
    <s v="Riley Wilson"/>
    <x v="2"/>
    <x v="2"/>
    <s v="Chairs"/>
    <s v="Executive Chair"/>
    <n v="9"/>
    <n v="367.45"/>
    <n v="0.2"/>
    <n v="2645.64"/>
    <n v="2132.62"/>
    <n v="513.02"/>
    <s v="PayPal"/>
  </r>
  <r>
    <s v="ORD-01454"/>
    <x v="29"/>
    <x v="3"/>
    <s v="Ohio"/>
    <s v="Cincinnati"/>
    <s v="Casey Brown"/>
    <x v="0"/>
    <x v="1"/>
    <s v="Keyboards"/>
    <s v="Ergonomic Keyboard"/>
    <n v="9"/>
    <n v="124.36"/>
    <n v="0"/>
    <n v="1119.24"/>
    <n v="774.49"/>
    <n v="344.75"/>
    <s v="Credit Card"/>
  </r>
  <r>
    <s v="ORD-02250"/>
    <x v="29"/>
    <x v="2"/>
    <s v="Vermont"/>
    <s v="Burlington"/>
    <s v="Taylor Smith"/>
    <x v="2"/>
    <x v="1"/>
    <s v="Headsets"/>
    <s v="Noise-Canceling Headset"/>
    <n v="3"/>
    <n v="214.35"/>
    <n v="0"/>
    <n v="643.04999999999995"/>
    <n v="386.7"/>
    <n v="256.35000000000002"/>
    <s v="PayPal"/>
  </r>
  <r>
    <s v="ORD-01854"/>
    <x v="30"/>
    <x v="2"/>
    <s v="Massachusetts"/>
    <s v="Worcester"/>
    <s v="Riley Wilson"/>
    <x v="0"/>
    <x v="1"/>
    <s v="Keyboards"/>
    <s v="Ergonomic Keyboard"/>
    <n v="2"/>
    <n v="128.87"/>
    <n v="0.05"/>
    <n v="244.85"/>
    <n v="144.31"/>
    <n v="100.54"/>
    <s v="Bank Transfer"/>
  </r>
  <r>
    <s v="ORD-01062"/>
    <x v="30"/>
    <x v="2"/>
    <s v="New York"/>
    <s v="Buffalo"/>
    <s v="Morgan Davis"/>
    <x v="0"/>
    <x v="0"/>
    <s v="Printers"/>
    <s v="Laser Printer"/>
    <n v="1"/>
    <n v="583.47"/>
    <n v="0"/>
    <n v="583.47"/>
    <n v="406.38"/>
    <n v="177.09"/>
    <s v="Credit Card"/>
  </r>
  <r>
    <s v="ORD-01394"/>
    <x v="30"/>
    <x v="1"/>
    <s v="Texas"/>
    <s v="Dallas"/>
    <s v="Taylor Smith"/>
    <x v="0"/>
    <x v="0"/>
    <s v="Paper"/>
    <s v="Recycled Paper"/>
    <n v="10"/>
    <n v="15.7"/>
    <n v="0"/>
    <n v="157"/>
    <n v="122.43"/>
    <n v="34.57"/>
    <s v="Credit Card"/>
  </r>
  <r>
    <s v="ORD-01222"/>
    <x v="30"/>
    <x v="1"/>
    <s v="North Carolina"/>
    <s v="Charlotte"/>
    <s v="Taylor Smith"/>
    <x v="0"/>
    <x v="0"/>
    <s v="Binders"/>
    <s v="3-Ring Binder"/>
    <n v="2"/>
    <n v="13.18"/>
    <n v="0.05"/>
    <n v="25.04"/>
    <n v="15.69"/>
    <n v="9.35"/>
    <s v="Bank Transfer"/>
  </r>
  <r>
    <s v="ORD-02035"/>
    <x v="30"/>
    <x v="2"/>
    <s v="Massachusetts"/>
    <s v="Boston"/>
    <s v="Cameron Clark"/>
    <x v="2"/>
    <x v="0"/>
    <s v="Binders"/>
    <s v="Presentation Binder"/>
    <n v="10"/>
    <n v="29.27"/>
    <n v="0.15"/>
    <n v="248.8"/>
    <n v="152.30000000000001"/>
    <n v="96.5"/>
    <s v="PayPal"/>
  </r>
  <r>
    <s v="ORD-01717"/>
    <x v="30"/>
    <x v="0"/>
    <s v="Colorado"/>
    <s v="Denver"/>
    <s v="Alex Morgan"/>
    <x v="2"/>
    <x v="1"/>
    <s v="Keyboards"/>
    <s v="Mechanical Keyboard"/>
    <n v="4"/>
    <n v="56.91"/>
    <n v="0.15"/>
    <n v="193.49"/>
    <n v="110.26"/>
    <n v="83.23"/>
    <s v="Credit Card"/>
  </r>
  <r>
    <s v="ORD-01339"/>
    <x v="30"/>
    <x v="1"/>
    <s v="Texas"/>
    <s v="Austin"/>
    <s v="Taylor Smith"/>
    <x v="0"/>
    <x v="1"/>
    <s v="Laptops"/>
    <s v="Ultrabook"/>
    <n v="6"/>
    <n v="1168.03"/>
    <n v="0"/>
    <n v="7008.18"/>
    <n v="4172.66"/>
    <n v="2835.52"/>
    <s v="Credit Card"/>
  </r>
  <r>
    <s v="ORD-02667"/>
    <x v="30"/>
    <x v="0"/>
    <s v="Washington"/>
    <s v="Tacoma"/>
    <s v="Jamie Miller"/>
    <x v="2"/>
    <x v="1"/>
    <s v="Keyboards"/>
    <s v="Mechanical Keyboard"/>
    <n v="4"/>
    <n v="101.63"/>
    <n v="0.1"/>
    <n v="365.87"/>
    <n v="227.36"/>
    <n v="138.51"/>
    <s v="PayPal"/>
  </r>
  <r>
    <s v="ORD-00143"/>
    <x v="30"/>
    <x v="0"/>
    <s v="Arizona"/>
    <s v="Phoenix"/>
    <s v="Jordan Lee"/>
    <x v="1"/>
    <x v="1"/>
    <s v="Headsets"/>
    <s v="Noise-Canceling Headset"/>
    <n v="6"/>
    <n v="154.19999999999999"/>
    <n v="0.1"/>
    <n v="832.68"/>
    <n v="548.94000000000005"/>
    <n v="283.74"/>
    <s v="Bank Transfer"/>
  </r>
  <r>
    <s v="ORD-02057"/>
    <x v="31"/>
    <x v="1"/>
    <s v="Texas"/>
    <s v="Austin"/>
    <s v="Taylor Smith"/>
    <x v="1"/>
    <x v="1"/>
    <s v="Monitors"/>
    <s v="24in Monitor"/>
    <n v="5"/>
    <n v="173.06"/>
    <n v="0"/>
    <n v="865.3"/>
    <n v="528.32000000000005"/>
    <n v="336.98"/>
    <s v="Credit Card"/>
  </r>
  <r>
    <s v="ORD-01085"/>
    <x v="31"/>
    <x v="1"/>
    <s v="Texas"/>
    <s v="Dallas"/>
    <s v="Taylor Smith"/>
    <x v="0"/>
    <x v="1"/>
    <s v="Headsets"/>
    <s v="USB Headset"/>
    <n v="10"/>
    <n v="181.76"/>
    <n v="0.1"/>
    <n v="1635.84"/>
    <n v="1136.06"/>
    <n v="499.78"/>
    <s v="Bank Transfer"/>
  </r>
  <r>
    <s v="ORD-01655"/>
    <x v="31"/>
    <x v="1"/>
    <s v="North Carolina"/>
    <s v="Raleigh"/>
    <s v="Casey Brown"/>
    <x v="0"/>
    <x v="2"/>
    <s v="Desks"/>
    <s v="Work Desk"/>
    <n v="7"/>
    <n v="553.12"/>
    <n v="0.05"/>
    <n v="3678.25"/>
    <n v="2352.65"/>
    <n v="1325.6"/>
    <s v="PayPal"/>
  </r>
  <r>
    <s v="ORD-02008"/>
    <x v="31"/>
    <x v="3"/>
    <s v="Michigan"/>
    <s v="Lansing"/>
    <s v="Taylor Smith"/>
    <x v="2"/>
    <x v="0"/>
    <s v="Paper"/>
    <s v="Premium Paper"/>
    <n v="6"/>
    <n v="32.61"/>
    <n v="0.15"/>
    <n v="166.31"/>
    <n v="116.88"/>
    <n v="49.43"/>
    <s v="Debit Card"/>
  </r>
  <r>
    <s v="ORD-00423"/>
    <x v="31"/>
    <x v="1"/>
    <s v="Florida"/>
    <s v="Miami"/>
    <s v="Cameron Clark"/>
    <x v="0"/>
    <x v="0"/>
    <s v="Printers"/>
    <s v="Laser Printer"/>
    <n v="1"/>
    <n v="479.55"/>
    <n v="0.15"/>
    <n v="407.62"/>
    <n v="295.47000000000003"/>
    <n v="112.15"/>
    <s v="Credit Card"/>
  </r>
  <r>
    <s v="ORD-02403"/>
    <x v="31"/>
    <x v="3"/>
    <s v="Michigan"/>
    <s v="Detroit"/>
    <s v="Alex Morgan"/>
    <x v="0"/>
    <x v="2"/>
    <s v="Tables"/>
    <s v="Training Table"/>
    <n v="10"/>
    <n v="351.67"/>
    <n v="0.1"/>
    <n v="3165.03"/>
    <n v="2566.62"/>
    <n v="598.41"/>
    <s v="Credit Card"/>
  </r>
  <r>
    <s v="ORD-00333"/>
    <x v="31"/>
    <x v="0"/>
    <s v="Oregon"/>
    <s v="Eugene"/>
    <s v="Alex Morgan"/>
    <x v="2"/>
    <x v="1"/>
    <s v="Monitors"/>
    <s v="27in Monitor"/>
    <n v="7"/>
    <n v="276.39999999999998"/>
    <n v="0.1"/>
    <n v="1741.32"/>
    <n v="1274.24"/>
    <n v="467.08"/>
    <s v="Debit Card"/>
  </r>
  <r>
    <s v="ORD-02285"/>
    <x v="31"/>
    <x v="1"/>
    <s v="Virginia"/>
    <s v="Norfolk"/>
    <s v="Alex Morgan"/>
    <x v="2"/>
    <x v="0"/>
    <s v="Pens"/>
    <s v="Fine Tip Pens"/>
    <n v="5"/>
    <n v="12.44"/>
    <n v="0.05"/>
    <n v="59.09"/>
    <n v="39.14"/>
    <n v="19.95"/>
    <s v="Bank Transfer"/>
  </r>
  <r>
    <s v="ORD-01239"/>
    <x v="31"/>
    <x v="2"/>
    <s v="Pennsylvania"/>
    <s v="Pittsburgh"/>
    <s v="Casey Brown"/>
    <x v="0"/>
    <x v="1"/>
    <s v="Keyboards"/>
    <s v="Ergonomic Keyboard"/>
    <n v="8"/>
    <n v="137.9"/>
    <n v="0.15"/>
    <n v="937.72"/>
    <n v="527.92999999999995"/>
    <n v="409.79"/>
    <s v="Credit Card"/>
  </r>
  <r>
    <s v="ORD-00872"/>
    <x v="31"/>
    <x v="0"/>
    <s v="Colorado"/>
    <s v="Colorado Springs"/>
    <s v="Morgan Davis"/>
    <x v="1"/>
    <x v="2"/>
    <s v="Desks"/>
    <s v="Executive Desk"/>
    <n v="9"/>
    <n v="897.92"/>
    <n v="0"/>
    <n v="8081.28"/>
    <n v="6494.68"/>
    <n v="1586.6"/>
    <s v="Credit Card"/>
  </r>
  <r>
    <s v="ORD-02848"/>
    <x v="31"/>
    <x v="0"/>
    <s v="Colorado"/>
    <s v="Denver"/>
    <s v="Riley Wilson"/>
    <x v="2"/>
    <x v="2"/>
    <s v="Tables"/>
    <s v="Conference Table"/>
    <n v="8"/>
    <n v="735.79"/>
    <n v="0"/>
    <n v="5886.32"/>
    <n v="4731.99"/>
    <n v="1154.33"/>
    <s v="PayPal"/>
  </r>
  <r>
    <s v="ORD-01683"/>
    <x v="31"/>
    <x v="2"/>
    <s v="Pennsylvania"/>
    <s v="Pittsburgh"/>
    <s v="Cameron Clark"/>
    <x v="1"/>
    <x v="0"/>
    <s v="Binders"/>
    <s v="Heavy-Duty Binder"/>
    <n v="5"/>
    <n v="25.88"/>
    <n v="0.15"/>
    <n v="109.99"/>
    <n v="73.680000000000007"/>
    <n v="36.31"/>
    <s v="Bank Transfer"/>
  </r>
  <r>
    <s v="ORD-00036"/>
    <x v="31"/>
    <x v="2"/>
    <s v="Vermont"/>
    <s v="Burlington"/>
    <s v="Casey Brown"/>
    <x v="0"/>
    <x v="1"/>
    <s v="Keyboards"/>
    <s v="Wireless Keyboard"/>
    <n v="3"/>
    <n v="40.36"/>
    <n v="0.1"/>
    <n v="108.97"/>
    <n v="82.3"/>
    <n v="26.67"/>
    <s v="PayPal"/>
  </r>
  <r>
    <s v="ORD-00685"/>
    <x v="31"/>
    <x v="2"/>
    <s v="Pennsylvania"/>
    <s v="Allentown"/>
    <s v="Jamie Miller"/>
    <x v="0"/>
    <x v="0"/>
    <s v="Pens"/>
    <s v="Fine Tip Pens"/>
    <n v="4"/>
    <n v="13.33"/>
    <n v="0.1"/>
    <n v="47.99"/>
    <n v="34.61"/>
    <n v="13.38"/>
    <s v="Credit Card"/>
  </r>
  <r>
    <s v="ORD-02301"/>
    <x v="32"/>
    <x v="2"/>
    <s v="Vermont"/>
    <s v="Montpelier"/>
    <s v="Morgan Davis"/>
    <x v="2"/>
    <x v="1"/>
    <s v="Laptops"/>
    <s v="Workstation Laptop"/>
    <n v="4"/>
    <n v="774.59"/>
    <n v="0.05"/>
    <n v="2943.44"/>
    <n v="2344.5500000000002"/>
    <n v="598.89"/>
    <s v="Debit Card"/>
  </r>
  <r>
    <s v="ORD-01210"/>
    <x v="32"/>
    <x v="2"/>
    <s v="Vermont"/>
    <s v="Montpelier"/>
    <s v="Riley Wilson"/>
    <x v="2"/>
    <x v="1"/>
    <s v="Headsets"/>
    <s v="USB Headset"/>
    <n v="10"/>
    <n v="89.4"/>
    <n v="0"/>
    <n v="894"/>
    <n v="726.97"/>
    <n v="167.03"/>
    <s v="Debit Card"/>
  </r>
  <r>
    <s v="ORD-00487"/>
    <x v="32"/>
    <x v="3"/>
    <s v="Michigan"/>
    <s v="Detroit"/>
    <s v="Jamie Miller"/>
    <x v="0"/>
    <x v="0"/>
    <s v="Paper"/>
    <s v="Premium Paper"/>
    <n v="10"/>
    <n v="34.56"/>
    <n v="0.05"/>
    <n v="328.32"/>
    <n v="184.45"/>
    <n v="143.87"/>
    <s v="Bank Transfer"/>
  </r>
  <r>
    <s v="ORD-01579"/>
    <x v="32"/>
    <x v="1"/>
    <s v="Florida"/>
    <s v="Orlando"/>
    <s v="Riley Wilson"/>
    <x v="0"/>
    <x v="0"/>
    <s v="Binders"/>
    <s v="Presentation Binder"/>
    <n v="10"/>
    <n v="7.62"/>
    <n v="0.1"/>
    <n v="68.58"/>
    <n v="49.46"/>
    <n v="19.12"/>
    <s v="PayPal"/>
  </r>
  <r>
    <s v="ORD-02202"/>
    <x v="32"/>
    <x v="1"/>
    <s v="Virginia"/>
    <s v="Arlington"/>
    <s v="Riley Wilson"/>
    <x v="1"/>
    <x v="2"/>
    <s v="Desks"/>
    <s v="Executive Desk"/>
    <n v="1"/>
    <n v="630.01"/>
    <n v="0.15"/>
    <n v="535.51"/>
    <n v="345.94"/>
    <n v="189.57"/>
    <s v="Credit Card"/>
  </r>
  <r>
    <s v="ORD-00714"/>
    <x v="32"/>
    <x v="0"/>
    <s v="Arizona"/>
    <s v="Mesa"/>
    <s v="Riley Wilson"/>
    <x v="0"/>
    <x v="0"/>
    <s v="Binders"/>
    <s v="3-Ring Binder"/>
    <n v="1"/>
    <n v="25.31"/>
    <n v="0.15"/>
    <n v="21.51"/>
    <n v="17.510000000000002"/>
    <n v="4"/>
    <s v="PayPal"/>
  </r>
  <r>
    <s v="ORD-01638"/>
    <x v="32"/>
    <x v="2"/>
    <s v="Vermont"/>
    <s v="Montpelier"/>
    <s v="Jordan Lee"/>
    <x v="2"/>
    <x v="2"/>
    <s v="Desks"/>
    <s v="Executive Desk"/>
    <n v="3"/>
    <n v="786.2"/>
    <n v="0"/>
    <n v="2358.6"/>
    <n v="1663.71"/>
    <n v="694.89"/>
    <s v="Bank Transfer"/>
  </r>
  <r>
    <s v="ORD-00530"/>
    <x v="33"/>
    <x v="1"/>
    <s v="Florida"/>
    <s v="Orlando"/>
    <s v="Jamie Miller"/>
    <x v="0"/>
    <x v="2"/>
    <s v="Tables"/>
    <s v="Side Table"/>
    <n v="1"/>
    <n v="286.45"/>
    <n v="0.15"/>
    <n v="243.48"/>
    <n v="136.01"/>
    <n v="107.47"/>
    <s v="Credit Card"/>
  </r>
  <r>
    <s v="ORD-02177"/>
    <x v="33"/>
    <x v="0"/>
    <s v="Oregon"/>
    <s v="Eugene"/>
    <s v="Morgan Davis"/>
    <x v="1"/>
    <x v="1"/>
    <s v="Keyboards"/>
    <s v="Mechanical Keyboard"/>
    <n v="10"/>
    <n v="142.9"/>
    <n v="0.05"/>
    <n v="1357.55"/>
    <n v="1003.74"/>
    <n v="353.81"/>
    <s v="Bank Transfer"/>
  </r>
  <r>
    <s v="ORD-02774"/>
    <x v="33"/>
    <x v="0"/>
    <s v="Arizona"/>
    <s v="Tucson"/>
    <s v="Casey Brown"/>
    <x v="0"/>
    <x v="0"/>
    <s v="Paper"/>
    <s v="Copy Paper"/>
    <n v="9"/>
    <n v="22.01"/>
    <n v="0.1"/>
    <n v="178.28"/>
    <n v="143.30000000000001"/>
    <n v="34.979999999999997"/>
    <s v="Bank Transfer"/>
  </r>
  <r>
    <s v="ORD-01653"/>
    <x v="33"/>
    <x v="1"/>
    <s v="Georgia"/>
    <s v="Augusta"/>
    <s v="Alex Morgan"/>
    <x v="0"/>
    <x v="2"/>
    <s v="Tables"/>
    <s v="Side Table"/>
    <n v="4"/>
    <n v="291.05"/>
    <n v="0"/>
    <n v="1164.2"/>
    <n v="688.47"/>
    <n v="475.73"/>
    <s v="Debit Card"/>
  </r>
  <r>
    <s v="ORD-01007"/>
    <x v="33"/>
    <x v="0"/>
    <s v="California"/>
    <s v="San Jose"/>
    <s v="Casey Brown"/>
    <x v="2"/>
    <x v="2"/>
    <s v="Chairs"/>
    <s v="Task Chair"/>
    <n v="8"/>
    <n v="633.84"/>
    <n v="0.05"/>
    <n v="4817.18"/>
    <n v="2984.46"/>
    <n v="1832.72"/>
    <s v="Credit Card"/>
  </r>
  <r>
    <s v="ORD-02211"/>
    <x v="33"/>
    <x v="2"/>
    <s v="New Jersey"/>
    <s v="Trenton"/>
    <s v="Cameron Clark"/>
    <x v="0"/>
    <x v="0"/>
    <s v="Paper"/>
    <s v="Copy Paper"/>
    <n v="10"/>
    <n v="13.54"/>
    <n v="0.05"/>
    <n v="128.63"/>
    <n v="96.91"/>
    <n v="31.72"/>
    <s v="Debit Card"/>
  </r>
  <r>
    <s v="ORD-02617"/>
    <x v="33"/>
    <x v="1"/>
    <s v="Virginia"/>
    <s v="Richmond"/>
    <s v="Cameron Clark"/>
    <x v="2"/>
    <x v="2"/>
    <s v="Chairs"/>
    <s v="Executive Chair"/>
    <n v="8"/>
    <n v="624.46"/>
    <n v="0"/>
    <n v="4995.68"/>
    <n v="3293.3"/>
    <n v="1702.38"/>
    <s v="PayPal"/>
  </r>
  <r>
    <s v="ORD-02390"/>
    <x v="33"/>
    <x v="1"/>
    <s v="Virginia"/>
    <s v="Arlington"/>
    <s v="Avery Johnson"/>
    <x v="0"/>
    <x v="1"/>
    <s v="Laptops"/>
    <s v="Workstation Laptop"/>
    <n v="8"/>
    <n v="1586.25"/>
    <n v="0.1"/>
    <n v="11421"/>
    <n v="8643.6299999999992"/>
    <n v="2777.37"/>
    <s v="Credit Card"/>
  </r>
  <r>
    <s v="ORD-00494"/>
    <x v="33"/>
    <x v="1"/>
    <s v="Texas"/>
    <s v="Austin"/>
    <s v="Riley Wilson"/>
    <x v="0"/>
    <x v="1"/>
    <s v="Headsets"/>
    <s v="Wireless Headset"/>
    <n v="7"/>
    <n v="58.35"/>
    <n v="0.2"/>
    <n v="326.76"/>
    <n v="220.86"/>
    <n v="105.9"/>
    <s v="Credit Card"/>
  </r>
  <r>
    <s v="ORD-01249"/>
    <x v="33"/>
    <x v="1"/>
    <s v="Virginia"/>
    <s v="Richmond"/>
    <s v="Drew Anderson"/>
    <x v="2"/>
    <x v="1"/>
    <s v="Keyboards"/>
    <s v="Mechanical Keyboard"/>
    <n v="9"/>
    <n v="139.85"/>
    <n v="0.1"/>
    <n v="1132.78"/>
    <n v="684.79"/>
    <n v="447.99"/>
    <s v="PayPal"/>
  </r>
  <r>
    <s v="ORD-01362"/>
    <x v="34"/>
    <x v="1"/>
    <s v="Georgia"/>
    <s v="Atlanta"/>
    <s v="Avery Johnson"/>
    <x v="0"/>
    <x v="0"/>
    <s v="Binders"/>
    <s v="Heavy-Duty Binder"/>
    <n v="7"/>
    <n v="5.28"/>
    <n v="0.15"/>
    <n v="31.42"/>
    <n v="22.35"/>
    <n v="9.07"/>
    <s v="Debit Card"/>
  </r>
  <r>
    <s v="ORD-00504"/>
    <x v="34"/>
    <x v="0"/>
    <s v="Arizona"/>
    <s v="Tucson"/>
    <s v="Avery Johnson"/>
    <x v="0"/>
    <x v="0"/>
    <s v="Paper"/>
    <s v="Copy Paper"/>
    <n v="3"/>
    <n v="29.51"/>
    <n v="0"/>
    <n v="88.53"/>
    <n v="49.03"/>
    <n v="39.5"/>
    <s v="PayPal"/>
  </r>
  <r>
    <s v="ORD-01647"/>
    <x v="34"/>
    <x v="3"/>
    <s v="Michigan"/>
    <s v="Grand Rapids"/>
    <s v="Cameron Clark"/>
    <x v="0"/>
    <x v="1"/>
    <s v="Monitors"/>
    <s v="27in Monitor"/>
    <n v="2"/>
    <n v="472.06"/>
    <n v="0"/>
    <n v="944.12"/>
    <n v="596.79999999999995"/>
    <n v="347.32"/>
    <s v="PayPal"/>
  </r>
  <r>
    <s v="ORD-02535"/>
    <x v="34"/>
    <x v="1"/>
    <s v="Virginia"/>
    <s v="Norfolk"/>
    <s v="Jamie Miller"/>
    <x v="2"/>
    <x v="0"/>
    <s v="Printers"/>
    <s v="Laser Printer"/>
    <n v="8"/>
    <n v="502.94"/>
    <n v="0.05"/>
    <n v="3822.34"/>
    <n v="2511.7600000000002"/>
    <n v="1310.58"/>
    <s v="Debit Card"/>
  </r>
  <r>
    <s v="ORD-02319"/>
    <x v="34"/>
    <x v="3"/>
    <s v="Illinois"/>
    <s v="Springfield"/>
    <s v="Casey Brown"/>
    <x v="2"/>
    <x v="2"/>
    <s v="Desks"/>
    <s v="Work Desk"/>
    <n v="4"/>
    <n v="415.26"/>
    <n v="0.1"/>
    <n v="1494.94"/>
    <n v="869.56"/>
    <n v="625.38"/>
    <s v="Credit Card"/>
  </r>
  <r>
    <s v="ORD-01192"/>
    <x v="34"/>
    <x v="3"/>
    <s v="Illinois"/>
    <s v="Springfield"/>
    <s v="Riley Wilson"/>
    <x v="2"/>
    <x v="2"/>
    <s v="Desks"/>
    <s v="Work Desk"/>
    <n v="5"/>
    <n v="769.36"/>
    <n v="0"/>
    <n v="3846.8"/>
    <n v="2865.42"/>
    <n v="981.38"/>
    <s v="Bank Transfer"/>
  </r>
  <r>
    <s v="ORD-02460"/>
    <x v="34"/>
    <x v="1"/>
    <s v="Georgia"/>
    <s v="Savannah"/>
    <s v="Drew Anderson"/>
    <x v="0"/>
    <x v="1"/>
    <s v="Monitors"/>
    <s v="34in Monitor"/>
    <n v="8"/>
    <n v="314.56"/>
    <n v="0.15"/>
    <n v="2139.0100000000002"/>
    <n v="1449.08"/>
    <n v="689.93"/>
    <s v="PayPal"/>
  </r>
  <r>
    <s v="ORD-01908"/>
    <x v="34"/>
    <x v="2"/>
    <s v="Vermont"/>
    <s v="Rutland"/>
    <s v="Casey Brown"/>
    <x v="0"/>
    <x v="2"/>
    <s v="Bookcases"/>
    <s v="Storage Bookcase"/>
    <n v="5"/>
    <n v="173.31"/>
    <n v="0.1"/>
    <n v="779.9"/>
    <n v="470.64"/>
    <n v="309.26"/>
    <s v="Credit Card"/>
  </r>
  <r>
    <s v="ORD-00367"/>
    <x v="34"/>
    <x v="1"/>
    <s v="Georgia"/>
    <s v="Augusta"/>
    <s v="Cameron Clark"/>
    <x v="2"/>
    <x v="1"/>
    <s v="Keyboards"/>
    <s v="Wireless Keyboard"/>
    <n v="4"/>
    <n v="136.16"/>
    <n v="0.1"/>
    <n v="490.18"/>
    <n v="315.83"/>
    <n v="174.35"/>
    <s v="Credit Card"/>
  </r>
  <r>
    <s v="ORD-01401"/>
    <x v="34"/>
    <x v="3"/>
    <s v="Indiana"/>
    <s v="Indianapolis"/>
    <s v="Cameron Clark"/>
    <x v="2"/>
    <x v="2"/>
    <s v="Bookcases"/>
    <s v="3-Shelf Bookcase"/>
    <n v="7"/>
    <n v="311.20999999999998"/>
    <n v="0"/>
    <n v="2178.4699999999998"/>
    <n v="1365.43"/>
    <n v="813.04"/>
    <s v="Debit Card"/>
  </r>
  <r>
    <s v="ORD-02782"/>
    <x v="34"/>
    <x v="1"/>
    <s v="Texas"/>
    <s v="Austin"/>
    <s v="Cameron Clark"/>
    <x v="0"/>
    <x v="0"/>
    <s v="Binders"/>
    <s v="3-Ring Binder"/>
    <n v="7"/>
    <n v="22.42"/>
    <n v="0.05"/>
    <n v="149.09"/>
    <n v="114.47"/>
    <n v="34.619999999999997"/>
    <s v="Credit Card"/>
  </r>
  <r>
    <s v="ORD-01120"/>
    <x v="34"/>
    <x v="1"/>
    <s v="Virginia"/>
    <s v="Arlington"/>
    <s v="Jordan Lee"/>
    <x v="0"/>
    <x v="1"/>
    <s v="Laptops"/>
    <s v="Ultrabook"/>
    <n v="6"/>
    <n v="687.58"/>
    <n v="0"/>
    <n v="4125.4799999999996"/>
    <n v="3371.68"/>
    <n v="753.8"/>
    <s v="Credit Card"/>
  </r>
  <r>
    <s v="ORD-01291"/>
    <x v="35"/>
    <x v="2"/>
    <s v="Pennsylvania"/>
    <s v="Pittsburgh"/>
    <s v="Alex Morgan"/>
    <x v="1"/>
    <x v="0"/>
    <s v="Printers"/>
    <s v="Laser Printer"/>
    <n v="5"/>
    <n v="156.62"/>
    <n v="0.05"/>
    <n v="743.94"/>
    <n v="480.79"/>
    <n v="263.14999999999998"/>
    <s v="Debit Card"/>
  </r>
  <r>
    <s v="ORD-00967"/>
    <x v="35"/>
    <x v="2"/>
    <s v="New Jersey"/>
    <s v="Jersey City"/>
    <s v="Drew Anderson"/>
    <x v="2"/>
    <x v="0"/>
    <s v="Printers"/>
    <s v="Color Printer"/>
    <n v="3"/>
    <n v="354.86"/>
    <n v="0.15"/>
    <n v="904.89"/>
    <n v="729.96"/>
    <n v="174.93"/>
    <s v="Bank Transfer"/>
  </r>
  <r>
    <s v="ORD-00107"/>
    <x v="35"/>
    <x v="1"/>
    <s v="North Carolina"/>
    <s v="Durham"/>
    <s v="Riley Wilson"/>
    <x v="0"/>
    <x v="0"/>
    <s v="Printers"/>
    <s v="Laser Printer"/>
    <n v="4"/>
    <n v="202.03"/>
    <n v="0"/>
    <n v="808.12"/>
    <n v="615.49"/>
    <n v="192.63"/>
    <s v="PayPal"/>
  </r>
  <r>
    <s v="ORD-01494"/>
    <x v="35"/>
    <x v="1"/>
    <s v="North Carolina"/>
    <s v="Raleigh"/>
    <s v="Riley Wilson"/>
    <x v="1"/>
    <x v="0"/>
    <s v="Pens"/>
    <s v="Fine Tip Pens"/>
    <n v="4"/>
    <n v="17.670000000000002"/>
    <n v="0.05"/>
    <n v="67.150000000000006"/>
    <n v="48.41"/>
    <n v="18.739999999999998"/>
    <s v="PayPal"/>
  </r>
  <r>
    <s v="ORD-01596"/>
    <x v="35"/>
    <x v="0"/>
    <s v="Washington"/>
    <s v="Seattle"/>
    <s v="Alex Morgan"/>
    <x v="2"/>
    <x v="0"/>
    <s v="Paper"/>
    <s v="Recycled Paper"/>
    <n v="10"/>
    <n v="12.97"/>
    <n v="0"/>
    <n v="129.69999999999999"/>
    <n v="71.73"/>
    <n v="57.97"/>
    <s v="PayPal"/>
  </r>
  <r>
    <s v="ORD-00864"/>
    <x v="35"/>
    <x v="1"/>
    <s v="Texas"/>
    <s v="Houston"/>
    <s v="Casey Brown"/>
    <x v="1"/>
    <x v="0"/>
    <s v="Pens"/>
    <s v="Gel Pens"/>
    <n v="5"/>
    <n v="7.49"/>
    <n v="0"/>
    <n v="37.450000000000003"/>
    <n v="30.6"/>
    <n v="6.85"/>
    <s v="Bank Transfer"/>
  </r>
  <r>
    <s v="ORD-00211"/>
    <x v="35"/>
    <x v="3"/>
    <s v="Minnesota"/>
    <s v="St. Paul"/>
    <s v="Morgan Davis"/>
    <x v="0"/>
    <x v="0"/>
    <s v="Printers"/>
    <s v="All-in-One Printer"/>
    <n v="5"/>
    <n v="290.5"/>
    <n v="0.1"/>
    <n v="1307.25"/>
    <n v="989.9"/>
    <n v="317.35000000000002"/>
    <s v="Bank Transfer"/>
  </r>
  <r>
    <s v="ORD-01605"/>
    <x v="35"/>
    <x v="0"/>
    <s v="California"/>
    <s v="Los Angeles"/>
    <s v="Drew Anderson"/>
    <x v="1"/>
    <x v="2"/>
    <s v="Chairs"/>
    <s v="Executive Chair"/>
    <n v="4"/>
    <n v="694.84"/>
    <n v="0"/>
    <n v="2779.36"/>
    <n v="2186.1799999999998"/>
    <n v="593.17999999999995"/>
    <s v="PayPal"/>
  </r>
  <r>
    <s v="ORD-01508"/>
    <x v="35"/>
    <x v="1"/>
    <s v="Virginia"/>
    <s v="Richmond"/>
    <s v="Taylor Smith"/>
    <x v="2"/>
    <x v="0"/>
    <s v="Printers"/>
    <s v="All-in-One Printer"/>
    <n v="7"/>
    <n v="316.94"/>
    <n v="0"/>
    <n v="2218.58"/>
    <n v="1597.67"/>
    <n v="620.91"/>
    <s v="Debit Card"/>
  </r>
  <r>
    <s v="ORD-01721"/>
    <x v="35"/>
    <x v="1"/>
    <s v="Florida"/>
    <s v="Miami"/>
    <s v="Jordan Lee"/>
    <x v="2"/>
    <x v="2"/>
    <s v="Desks"/>
    <s v="Work Desk"/>
    <n v="2"/>
    <n v="246.06"/>
    <n v="0.15"/>
    <n v="418.3"/>
    <n v="291.2"/>
    <n v="127.1"/>
    <s v="Bank Transfer"/>
  </r>
  <r>
    <s v="ORD-00559"/>
    <x v="35"/>
    <x v="0"/>
    <s v="Arizona"/>
    <s v="Tucson"/>
    <s v="Alex Morgan"/>
    <x v="2"/>
    <x v="1"/>
    <s v="Monitors"/>
    <s v="24in Monitor"/>
    <n v="4"/>
    <n v="593.75"/>
    <n v="0"/>
    <n v="2375"/>
    <n v="1720.15"/>
    <n v="654.85"/>
    <s v="Bank Transfer"/>
  </r>
  <r>
    <s v="ORD-01726"/>
    <x v="35"/>
    <x v="1"/>
    <s v="Virginia"/>
    <s v="Arlington"/>
    <s v="Riley Wilson"/>
    <x v="0"/>
    <x v="2"/>
    <s v="Bookcases"/>
    <s v="3-Shelf Bookcase"/>
    <n v="6"/>
    <n v="216.02"/>
    <n v="0.1"/>
    <n v="1166.51"/>
    <n v="644.85"/>
    <n v="521.66"/>
    <s v="PayPal"/>
  </r>
  <r>
    <s v="ORD-01389"/>
    <x v="36"/>
    <x v="3"/>
    <s v="Illinois"/>
    <s v="Springfield"/>
    <s v="Taylor Smith"/>
    <x v="0"/>
    <x v="1"/>
    <s v="Headsets"/>
    <s v="Noise-Canceling Headset"/>
    <n v="2"/>
    <n v="217.72"/>
    <n v="0"/>
    <n v="435.44"/>
    <n v="280.24"/>
    <n v="155.19999999999999"/>
    <s v="Credit Card"/>
  </r>
  <r>
    <s v="ORD-01075"/>
    <x v="36"/>
    <x v="2"/>
    <s v="New York"/>
    <s v="New York City"/>
    <s v="Drew Anderson"/>
    <x v="0"/>
    <x v="1"/>
    <s v="Laptops"/>
    <s v="Workstation Laptop"/>
    <n v="6"/>
    <n v="1416.42"/>
    <n v="0.15"/>
    <n v="7223.74"/>
    <n v="4208.21"/>
    <n v="3015.53"/>
    <s v="PayPal"/>
  </r>
  <r>
    <s v="ORD-00940"/>
    <x v="36"/>
    <x v="1"/>
    <s v="North Carolina"/>
    <s v="Durham"/>
    <s v="Avery Johnson"/>
    <x v="0"/>
    <x v="1"/>
    <s v="Headsets"/>
    <s v="Wireless Headset"/>
    <n v="10"/>
    <n v="44.82"/>
    <n v="0.2"/>
    <n v="358.56"/>
    <n v="277.04000000000002"/>
    <n v="81.52"/>
    <s v="Credit Card"/>
  </r>
  <r>
    <s v="ORD-01696"/>
    <x v="36"/>
    <x v="0"/>
    <s v="Colorado"/>
    <s v="Boulder"/>
    <s v="Casey Brown"/>
    <x v="0"/>
    <x v="0"/>
    <s v="Binders"/>
    <s v="3-Ring Binder"/>
    <n v="9"/>
    <n v="11.36"/>
    <n v="0"/>
    <n v="102.24"/>
    <n v="64.84"/>
    <n v="37.4"/>
    <s v="Credit Card"/>
  </r>
  <r>
    <s v="ORD-01333"/>
    <x v="36"/>
    <x v="3"/>
    <s v="Ohio"/>
    <s v="Columbus"/>
    <s v="Riley Wilson"/>
    <x v="2"/>
    <x v="1"/>
    <s v="Monitors"/>
    <s v="34in Monitor"/>
    <n v="9"/>
    <n v="150.55000000000001"/>
    <n v="0"/>
    <n v="1354.95"/>
    <n v="966.04"/>
    <n v="388.91"/>
    <s v="Debit Card"/>
  </r>
  <r>
    <s v="ORD-02886"/>
    <x v="36"/>
    <x v="2"/>
    <s v="Massachusetts"/>
    <s v="Springfield"/>
    <s v="Jordan Lee"/>
    <x v="2"/>
    <x v="0"/>
    <s v="Paper"/>
    <s v="Premium Paper"/>
    <n v="9"/>
    <n v="12.38"/>
    <n v="0"/>
    <n v="111.42"/>
    <n v="71.3"/>
    <n v="40.119999999999997"/>
    <s v="Bank Transfer"/>
  </r>
  <r>
    <s v="ORD-01734"/>
    <x v="36"/>
    <x v="0"/>
    <s v="Washington"/>
    <s v="Seattle"/>
    <s v="Jordan Lee"/>
    <x v="2"/>
    <x v="1"/>
    <s v="Headsets"/>
    <s v="USB Headset"/>
    <n v="1"/>
    <n v="228.84"/>
    <n v="0.05"/>
    <n v="217.4"/>
    <n v="176.99"/>
    <n v="40.409999999999997"/>
    <s v="PayPal"/>
  </r>
  <r>
    <s v="ORD-01909"/>
    <x v="36"/>
    <x v="1"/>
    <s v="Texas"/>
    <s v="Houston"/>
    <s v="Riley Wilson"/>
    <x v="2"/>
    <x v="1"/>
    <s v="Keyboards"/>
    <s v="Wireless Keyboard"/>
    <n v="1"/>
    <n v="53.95"/>
    <n v="0.05"/>
    <n v="51.25"/>
    <n v="31.06"/>
    <n v="20.190000000000001"/>
    <s v="Debit Card"/>
  </r>
  <r>
    <s v="ORD-02228"/>
    <x v="36"/>
    <x v="2"/>
    <s v="Massachusetts"/>
    <s v="Springfield"/>
    <s v="Alex Morgan"/>
    <x v="2"/>
    <x v="0"/>
    <s v="Pens"/>
    <s v="Ballpoint Pens"/>
    <n v="9"/>
    <n v="15.9"/>
    <n v="0.1"/>
    <n v="128.79"/>
    <n v="102.34"/>
    <n v="26.45"/>
    <s v="PayPal"/>
  </r>
  <r>
    <s v="ORD-00245"/>
    <x v="36"/>
    <x v="3"/>
    <s v="Illinois"/>
    <s v="Peoria"/>
    <s v="Riley Wilson"/>
    <x v="0"/>
    <x v="1"/>
    <s v="Laptops"/>
    <s v="Ultrabook"/>
    <n v="5"/>
    <n v="698.86"/>
    <n v="0"/>
    <n v="3494.3"/>
    <n v="2208.65"/>
    <n v="1285.6500000000001"/>
    <s v="PayPal"/>
  </r>
  <r>
    <s v="ORD-00760"/>
    <x v="36"/>
    <x v="3"/>
    <s v="Michigan"/>
    <s v="Lansing"/>
    <s v="Cameron Clark"/>
    <x v="1"/>
    <x v="1"/>
    <s v="Keyboards"/>
    <s v="Mechanical Keyboard"/>
    <n v="8"/>
    <n v="170.34"/>
    <n v="0.15"/>
    <n v="1158.31"/>
    <n v="647.15"/>
    <n v="511.16"/>
    <s v="PayPal"/>
  </r>
  <r>
    <s v="ORD-01337"/>
    <x v="36"/>
    <x v="3"/>
    <s v="Michigan"/>
    <s v="Grand Rapids"/>
    <s v="Riley Wilson"/>
    <x v="0"/>
    <x v="0"/>
    <s v="Paper"/>
    <s v="Premium Paper"/>
    <n v="10"/>
    <n v="25.93"/>
    <n v="0"/>
    <n v="259.3"/>
    <n v="204.8"/>
    <n v="54.5"/>
    <s v="PayPal"/>
  </r>
  <r>
    <s v="ORD-01325"/>
    <x v="37"/>
    <x v="2"/>
    <s v="Massachusetts"/>
    <s v="Springfield"/>
    <s v="Cameron Clark"/>
    <x v="0"/>
    <x v="2"/>
    <s v="Tables"/>
    <s v="Training Table"/>
    <n v="7"/>
    <n v="453.78"/>
    <n v="0.1"/>
    <n v="2858.81"/>
    <n v="2304.7600000000002"/>
    <n v="554.04999999999995"/>
    <s v="Bank Transfer"/>
  </r>
  <r>
    <s v="ORD-00537"/>
    <x v="37"/>
    <x v="0"/>
    <s v="Arizona"/>
    <s v="Phoenix"/>
    <s v="Alex Morgan"/>
    <x v="0"/>
    <x v="1"/>
    <s v="Headsets"/>
    <s v="Wireless Headset"/>
    <n v="4"/>
    <n v="202.03"/>
    <n v="0.05"/>
    <n v="767.71"/>
    <n v="564.66999999999996"/>
    <n v="203.04"/>
    <s v="Debit Card"/>
  </r>
  <r>
    <s v="ORD-00749"/>
    <x v="37"/>
    <x v="2"/>
    <s v="New York"/>
    <s v="New York City"/>
    <s v="Jordan Lee"/>
    <x v="2"/>
    <x v="1"/>
    <s v="Laptops"/>
    <s v="Ultrabook"/>
    <n v="9"/>
    <n v="1796.86"/>
    <n v="0"/>
    <n v="16171.74"/>
    <n v="12148.61"/>
    <n v="4023.13"/>
    <s v="Credit Card"/>
  </r>
  <r>
    <s v="ORD-00412"/>
    <x v="37"/>
    <x v="0"/>
    <s v="Arizona"/>
    <s v="Mesa"/>
    <s v="Drew Anderson"/>
    <x v="0"/>
    <x v="0"/>
    <s v="Binders"/>
    <s v="Presentation Binder"/>
    <n v="3"/>
    <n v="19.88"/>
    <n v="0.1"/>
    <n v="53.68"/>
    <n v="43.58"/>
    <n v="10.1"/>
    <s v="Debit Card"/>
  </r>
  <r>
    <s v="ORD-00291"/>
    <x v="37"/>
    <x v="2"/>
    <s v="New York"/>
    <s v="Buffalo"/>
    <s v="Riley Wilson"/>
    <x v="1"/>
    <x v="2"/>
    <s v="Desks"/>
    <s v="Executive Desk"/>
    <n v="2"/>
    <n v="552.45000000000005"/>
    <n v="0.05"/>
    <n v="1049.6600000000001"/>
    <n v="708.41"/>
    <n v="341.25"/>
    <s v="Debit Card"/>
  </r>
  <r>
    <s v="ORD-01025"/>
    <x v="37"/>
    <x v="0"/>
    <s v="Oregon"/>
    <s v="Portland"/>
    <s v="Jamie Miller"/>
    <x v="1"/>
    <x v="1"/>
    <s v="Keyboards"/>
    <s v="Mechanical Keyboard"/>
    <n v="10"/>
    <n v="109.76"/>
    <n v="0.05"/>
    <n v="1042.72"/>
    <n v="766.87"/>
    <n v="275.85000000000002"/>
    <s v="Debit Card"/>
  </r>
  <r>
    <s v="ORD-02434"/>
    <x v="37"/>
    <x v="3"/>
    <s v="Minnesota"/>
    <s v="Minneapolis"/>
    <s v="Avery Johnson"/>
    <x v="1"/>
    <x v="1"/>
    <s v="Laptops"/>
    <s v="Workstation Laptop"/>
    <n v="7"/>
    <n v="1104.53"/>
    <n v="0.1"/>
    <n v="6958.54"/>
    <n v="5143.09"/>
    <n v="1815.45"/>
    <s v="Credit Card"/>
  </r>
  <r>
    <s v="ORD-02488"/>
    <x v="38"/>
    <x v="1"/>
    <s v="Texas"/>
    <s v="Austin"/>
    <s v="Alex Morgan"/>
    <x v="0"/>
    <x v="0"/>
    <s v="Pens"/>
    <s v="Fine Tip Pens"/>
    <n v="1"/>
    <n v="11.17"/>
    <n v="0.05"/>
    <n v="10.61"/>
    <n v="6.45"/>
    <n v="4.16"/>
    <s v="Debit Card"/>
  </r>
  <r>
    <s v="ORD-00376"/>
    <x v="38"/>
    <x v="0"/>
    <s v="Arizona"/>
    <s v="Tucson"/>
    <s v="Casey Brown"/>
    <x v="0"/>
    <x v="0"/>
    <s v="Printers"/>
    <s v="Color Printer"/>
    <n v="7"/>
    <n v="560.75"/>
    <n v="0.05"/>
    <n v="3728.99"/>
    <n v="2541.89"/>
    <n v="1187.0999999999999"/>
    <s v="PayPal"/>
  </r>
  <r>
    <s v="ORD-02963"/>
    <x v="38"/>
    <x v="0"/>
    <s v="Arizona"/>
    <s v="Mesa"/>
    <s v="Morgan Davis"/>
    <x v="0"/>
    <x v="0"/>
    <s v="Printers"/>
    <s v="Color Printer"/>
    <n v="6"/>
    <n v="131.72"/>
    <n v="0"/>
    <n v="790.32"/>
    <n v="445.31"/>
    <n v="345.01"/>
    <s v="PayPal"/>
  </r>
  <r>
    <s v="ORD-00236"/>
    <x v="38"/>
    <x v="0"/>
    <s v="California"/>
    <s v="San Diego"/>
    <s v="Cameron Clark"/>
    <x v="0"/>
    <x v="1"/>
    <s v="Monitors"/>
    <s v="24in Monitor"/>
    <n v="7"/>
    <n v="478.51"/>
    <n v="0.1"/>
    <n v="3014.61"/>
    <n v="2273.04"/>
    <n v="741.57"/>
    <s v="Bank Transfer"/>
  </r>
  <r>
    <s v="ORD-01151"/>
    <x v="38"/>
    <x v="2"/>
    <s v="Massachusetts"/>
    <s v="Boston"/>
    <s v="Avery Johnson"/>
    <x v="0"/>
    <x v="2"/>
    <s v="Tables"/>
    <s v="Conference Table"/>
    <n v="3"/>
    <n v="163.31"/>
    <n v="0.1"/>
    <n v="440.94"/>
    <n v="250.44"/>
    <n v="190.5"/>
    <s v="Debit Card"/>
  </r>
  <r>
    <s v="ORD-02036"/>
    <x v="38"/>
    <x v="1"/>
    <s v="Texas"/>
    <s v="Austin"/>
    <s v="Jamie Miller"/>
    <x v="0"/>
    <x v="2"/>
    <s v="Chairs"/>
    <s v="Ergonomic Chair"/>
    <n v="6"/>
    <n v="596.23"/>
    <n v="0.05"/>
    <n v="3398.51"/>
    <n v="1992.89"/>
    <n v="1405.62"/>
    <s v="Credit Card"/>
  </r>
  <r>
    <s v="ORD-02405"/>
    <x v="38"/>
    <x v="3"/>
    <s v="Minnesota"/>
    <s v="Minneapolis"/>
    <s v="Taylor Smith"/>
    <x v="0"/>
    <x v="0"/>
    <s v="Binders"/>
    <s v="3-Ring Binder"/>
    <n v="9"/>
    <n v="14.76"/>
    <n v="0"/>
    <n v="132.84"/>
    <n v="88.09"/>
    <n v="44.75"/>
    <s v="Debit Card"/>
  </r>
  <r>
    <s v="ORD-01895"/>
    <x v="38"/>
    <x v="2"/>
    <s v="Vermont"/>
    <s v="Burlington"/>
    <s v="Jordan Lee"/>
    <x v="2"/>
    <x v="0"/>
    <s v="Binders"/>
    <s v="Heavy-Duty Binder"/>
    <n v="7"/>
    <n v="7.34"/>
    <n v="0.15"/>
    <n v="43.67"/>
    <n v="33.520000000000003"/>
    <n v="10.15"/>
    <s v="PayPal"/>
  </r>
  <r>
    <s v="ORD-01047"/>
    <x v="38"/>
    <x v="3"/>
    <s v="Ohio"/>
    <s v="Cincinnati"/>
    <s v="Cameron Clark"/>
    <x v="0"/>
    <x v="1"/>
    <s v="Headsets"/>
    <s v="Wireless Headset"/>
    <n v="8"/>
    <n v="120.71"/>
    <n v="0.2"/>
    <n v="772.54"/>
    <n v="496.49"/>
    <n v="276.05"/>
    <s v="Debit Card"/>
  </r>
  <r>
    <s v="ORD-01563"/>
    <x v="39"/>
    <x v="0"/>
    <s v="Washington"/>
    <s v="Tacoma"/>
    <s v="Riley Wilson"/>
    <x v="1"/>
    <x v="2"/>
    <s v="Chairs"/>
    <s v="Task Chair"/>
    <n v="7"/>
    <n v="214.59"/>
    <n v="0.2"/>
    <n v="1201.7"/>
    <n v="942.08"/>
    <n v="259.62"/>
    <s v="PayPal"/>
  </r>
  <r>
    <s v="ORD-02517"/>
    <x v="39"/>
    <x v="3"/>
    <s v="Ohio"/>
    <s v="Cincinnati"/>
    <s v="Cameron Clark"/>
    <x v="0"/>
    <x v="2"/>
    <s v="Tables"/>
    <s v="Conference Table"/>
    <n v="1"/>
    <n v="407.24"/>
    <n v="0"/>
    <n v="407.24"/>
    <n v="244.57"/>
    <n v="162.66999999999999"/>
    <s v="Credit Card"/>
  </r>
  <r>
    <s v="ORD-00232"/>
    <x v="39"/>
    <x v="0"/>
    <s v="Washington"/>
    <s v="Seattle"/>
    <s v="Alex Morgan"/>
    <x v="2"/>
    <x v="1"/>
    <s v="Laptops"/>
    <s v="Business Laptop"/>
    <n v="5"/>
    <n v="789.97"/>
    <n v="0"/>
    <n v="3949.85"/>
    <n v="2397.7199999999998"/>
    <n v="1552.13"/>
    <s v="Debit Card"/>
  </r>
  <r>
    <s v="ORD-01565"/>
    <x v="39"/>
    <x v="3"/>
    <s v="Minnesota"/>
    <s v="Minneapolis"/>
    <s v="Cameron Clark"/>
    <x v="0"/>
    <x v="2"/>
    <s v="Desks"/>
    <s v="Executive Desk"/>
    <n v="3"/>
    <n v="567.84"/>
    <n v="0.1"/>
    <n v="1533.17"/>
    <n v="1250.43"/>
    <n v="282.74"/>
    <s v="Credit Card"/>
  </r>
  <r>
    <s v="ORD-00557"/>
    <x v="39"/>
    <x v="0"/>
    <s v="Colorado"/>
    <s v="Denver"/>
    <s v="Casey Brown"/>
    <x v="2"/>
    <x v="0"/>
    <s v="Pens"/>
    <s v="Fine Tip Pens"/>
    <n v="2"/>
    <n v="9.7799999999999994"/>
    <n v="0"/>
    <n v="19.559999999999999"/>
    <n v="15.89"/>
    <n v="3.67"/>
    <s v="PayPal"/>
  </r>
  <r>
    <s v="ORD-00115"/>
    <x v="40"/>
    <x v="3"/>
    <s v="Michigan"/>
    <s v="Lansing"/>
    <s v="Jordan Lee"/>
    <x v="0"/>
    <x v="0"/>
    <s v="Pens"/>
    <s v="Gel Pens"/>
    <n v="6"/>
    <n v="5.63"/>
    <n v="0.1"/>
    <n v="30.4"/>
    <n v="19.649999999999999"/>
    <n v="10.75"/>
    <s v="Bank Transfer"/>
  </r>
  <r>
    <s v="ORD-01332"/>
    <x v="40"/>
    <x v="1"/>
    <s v="North Carolina"/>
    <s v="Raleigh"/>
    <s v="Casey Brown"/>
    <x v="2"/>
    <x v="1"/>
    <s v="Monitors"/>
    <s v="34in Monitor"/>
    <n v="4"/>
    <n v="243.22"/>
    <n v="0.15"/>
    <n v="826.95"/>
    <n v="527.14"/>
    <n v="299.81"/>
    <s v="Debit Card"/>
  </r>
  <r>
    <s v="ORD-02860"/>
    <x v="40"/>
    <x v="3"/>
    <s v="Minnesota"/>
    <s v="Minneapolis"/>
    <s v="Morgan Davis"/>
    <x v="0"/>
    <x v="0"/>
    <s v="Binders"/>
    <s v="Presentation Binder"/>
    <n v="8"/>
    <n v="16.440000000000001"/>
    <n v="0"/>
    <n v="131.52000000000001"/>
    <n v="106.41"/>
    <n v="25.11"/>
    <s v="PayPal"/>
  </r>
  <r>
    <s v="ORD-02942"/>
    <x v="40"/>
    <x v="3"/>
    <s v="Illinois"/>
    <s v="Springfield"/>
    <s v="Morgan Davis"/>
    <x v="0"/>
    <x v="0"/>
    <s v="Binders"/>
    <s v="3-Ring Binder"/>
    <n v="8"/>
    <n v="9.48"/>
    <n v="0.1"/>
    <n v="68.260000000000005"/>
    <n v="37.869999999999997"/>
    <n v="30.39"/>
    <s v="PayPal"/>
  </r>
  <r>
    <s v="ORD-00608"/>
    <x v="40"/>
    <x v="0"/>
    <s v="Washington"/>
    <s v="Tacoma"/>
    <s v="Drew Anderson"/>
    <x v="0"/>
    <x v="1"/>
    <s v="Keyboards"/>
    <s v="Mechanical Keyboard"/>
    <n v="10"/>
    <n v="35.619999999999997"/>
    <n v="0.2"/>
    <n v="284.95999999999998"/>
    <n v="204.54"/>
    <n v="80.42"/>
    <s v="Credit Card"/>
  </r>
  <r>
    <s v="ORD-02719"/>
    <x v="40"/>
    <x v="3"/>
    <s v="Ohio"/>
    <s v="Cincinnati"/>
    <s v="Alex Morgan"/>
    <x v="2"/>
    <x v="0"/>
    <s v="Paper"/>
    <s v="Premium Paper"/>
    <n v="9"/>
    <n v="12.3"/>
    <n v="0"/>
    <n v="110.7"/>
    <n v="61.33"/>
    <n v="49.37"/>
    <s v="Bank Transfer"/>
  </r>
  <r>
    <s v="ORD-01792"/>
    <x v="40"/>
    <x v="1"/>
    <s v="North Carolina"/>
    <s v="Charlotte"/>
    <s v="Taylor Smith"/>
    <x v="0"/>
    <x v="1"/>
    <s v="Monitors"/>
    <s v="34in Monitor"/>
    <n v="2"/>
    <n v="550.70000000000005"/>
    <n v="0"/>
    <n v="1101.4000000000001"/>
    <n v="670.55"/>
    <n v="430.85"/>
    <s v="Bank Transfer"/>
  </r>
  <r>
    <s v="ORD-02684"/>
    <x v="40"/>
    <x v="2"/>
    <s v="Vermont"/>
    <s v="Rutland"/>
    <s v="Morgan Davis"/>
    <x v="0"/>
    <x v="2"/>
    <s v="Chairs"/>
    <s v="Executive Chair"/>
    <n v="4"/>
    <n v="530.37"/>
    <n v="0.15"/>
    <n v="1803.26"/>
    <n v="994.18"/>
    <n v="809.08"/>
    <s v="Bank Transfer"/>
  </r>
  <r>
    <s v="ORD-01788"/>
    <x v="40"/>
    <x v="0"/>
    <s v="Oregon"/>
    <s v="Eugene"/>
    <s v="Riley Wilson"/>
    <x v="1"/>
    <x v="2"/>
    <s v="Chairs"/>
    <s v="Ergonomic Chair"/>
    <n v="10"/>
    <n v="239.2"/>
    <n v="0.15"/>
    <n v="2033.2"/>
    <n v="1203.27"/>
    <n v="829.93"/>
    <s v="Credit Card"/>
  </r>
  <r>
    <s v="ORD-00130"/>
    <x v="41"/>
    <x v="0"/>
    <s v="Arizona"/>
    <s v="Tucson"/>
    <s v="Morgan Davis"/>
    <x v="0"/>
    <x v="2"/>
    <s v="Chairs"/>
    <s v="Executive Chair"/>
    <n v="9"/>
    <n v="620.07000000000005"/>
    <n v="0.15"/>
    <n v="4743.54"/>
    <n v="3664.02"/>
    <n v="1079.52"/>
    <s v="Debit Card"/>
  </r>
  <r>
    <s v="ORD-02367"/>
    <x v="41"/>
    <x v="1"/>
    <s v="Virginia"/>
    <s v="Norfolk"/>
    <s v="Taylor Smith"/>
    <x v="0"/>
    <x v="1"/>
    <s v="Keyboards"/>
    <s v="Wireless Keyboard"/>
    <n v="8"/>
    <n v="121.4"/>
    <n v="0"/>
    <n v="971.2"/>
    <n v="633.91999999999996"/>
    <n v="337.28"/>
    <s v="PayPal"/>
  </r>
  <r>
    <s v="ORD-02022"/>
    <x v="41"/>
    <x v="3"/>
    <s v="Illinois"/>
    <s v="Peoria"/>
    <s v="Drew Anderson"/>
    <x v="2"/>
    <x v="2"/>
    <s v="Chairs"/>
    <s v="Ergonomic Chair"/>
    <n v="9"/>
    <n v="416.29"/>
    <n v="0.15"/>
    <n v="3184.62"/>
    <n v="1957.69"/>
    <n v="1226.93"/>
    <s v="PayPal"/>
  </r>
  <r>
    <s v="ORD-01556"/>
    <x v="41"/>
    <x v="2"/>
    <s v="Massachusetts"/>
    <s v="Boston"/>
    <s v="Casey Brown"/>
    <x v="0"/>
    <x v="0"/>
    <s v="Binders"/>
    <s v="3-Ring Binder"/>
    <n v="4"/>
    <n v="29.05"/>
    <n v="0"/>
    <n v="116.2"/>
    <n v="90.05"/>
    <n v="26.15"/>
    <s v="Credit Card"/>
  </r>
  <r>
    <s v="ORD-02199"/>
    <x v="41"/>
    <x v="1"/>
    <s v="Georgia"/>
    <s v="Savannah"/>
    <s v="Riley Wilson"/>
    <x v="0"/>
    <x v="0"/>
    <s v="Pens"/>
    <s v="Gel Pens"/>
    <n v="4"/>
    <n v="7.9"/>
    <n v="0.2"/>
    <n v="25.28"/>
    <n v="20.100000000000001"/>
    <n v="5.18"/>
    <s v="Debit Card"/>
  </r>
  <r>
    <s v="ORD-01944"/>
    <x v="41"/>
    <x v="1"/>
    <s v="Georgia"/>
    <s v="Augusta"/>
    <s v="Jamie Miller"/>
    <x v="2"/>
    <x v="0"/>
    <s v="Paper"/>
    <s v="Recycled Paper"/>
    <n v="4"/>
    <n v="23.65"/>
    <n v="0.1"/>
    <n v="85.14"/>
    <n v="59.41"/>
    <n v="25.73"/>
    <s v="Credit Card"/>
  </r>
  <r>
    <s v="ORD-02561"/>
    <x v="41"/>
    <x v="1"/>
    <s v="North Carolina"/>
    <s v="Durham"/>
    <s v="Cameron Clark"/>
    <x v="2"/>
    <x v="2"/>
    <s v="Bookcases"/>
    <s v="3-Shelf Bookcase"/>
    <n v="4"/>
    <n v="205.49"/>
    <n v="0.1"/>
    <n v="739.76"/>
    <n v="447.2"/>
    <n v="292.56"/>
    <s v="PayPal"/>
  </r>
  <r>
    <s v="ORD-01252"/>
    <x v="41"/>
    <x v="1"/>
    <s v="Virginia"/>
    <s v="Richmond"/>
    <s v="Cameron Clark"/>
    <x v="0"/>
    <x v="2"/>
    <s v="Bookcases"/>
    <s v="5-Shelf Bookcase"/>
    <n v="8"/>
    <n v="238.52"/>
    <n v="0.15"/>
    <n v="1621.94"/>
    <n v="1324.5"/>
    <n v="297.44"/>
    <s v="Debit Card"/>
  </r>
  <r>
    <s v="ORD-02105"/>
    <x v="42"/>
    <x v="0"/>
    <s v="Washington"/>
    <s v="Spokane"/>
    <s v="Avery Johnson"/>
    <x v="2"/>
    <x v="0"/>
    <s v="Printers"/>
    <s v="Laser Printer"/>
    <n v="8"/>
    <n v="141.31"/>
    <n v="0"/>
    <n v="1130.48"/>
    <n v="913.78"/>
    <n v="216.7"/>
    <s v="Credit Card"/>
  </r>
  <r>
    <s v="ORD-02279"/>
    <x v="42"/>
    <x v="2"/>
    <s v="Massachusetts"/>
    <s v="Boston"/>
    <s v="Taylor Smith"/>
    <x v="0"/>
    <x v="1"/>
    <s v="Headsets"/>
    <s v="Noise-Canceling Headset"/>
    <n v="7"/>
    <n v="86.84"/>
    <n v="0.15"/>
    <n v="516.70000000000005"/>
    <n v="296.61"/>
    <n v="220.09"/>
    <s v="PayPal"/>
  </r>
  <r>
    <s v="ORD-00369"/>
    <x v="42"/>
    <x v="3"/>
    <s v="Michigan"/>
    <s v="Detroit"/>
    <s v="Morgan Davis"/>
    <x v="2"/>
    <x v="1"/>
    <s v="Laptops"/>
    <s v="Ultrabook"/>
    <n v="8"/>
    <n v="614.54"/>
    <n v="0.05"/>
    <n v="4670.5"/>
    <n v="3119.74"/>
    <n v="1550.76"/>
    <s v="Bank Transfer"/>
  </r>
  <r>
    <s v="ORD-01488"/>
    <x v="42"/>
    <x v="2"/>
    <s v="Vermont"/>
    <s v="Montpelier"/>
    <s v="Taylor Smith"/>
    <x v="1"/>
    <x v="1"/>
    <s v="Keyboards"/>
    <s v="Mechanical Keyboard"/>
    <n v="1"/>
    <n v="74.36"/>
    <n v="0.15"/>
    <n v="63.21"/>
    <n v="35.590000000000003"/>
    <n v="27.62"/>
    <s v="PayPal"/>
  </r>
  <r>
    <s v="ORD-01154"/>
    <x v="42"/>
    <x v="1"/>
    <s v="Georgia"/>
    <s v="Savannah"/>
    <s v="Jamie Miller"/>
    <x v="0"/>
    <x v="1"/>
    <s v="Headsets"/>
    <s v="Wireless Headset"/>
    <n v="3"/>
    <n v="135.88999999999999"/>
    <n v="0.1"/>
    <n v="366.9"/>
    <n v="289.2"/>
    <n v="77.7"/>
    <s v="PayPal"/>
  </r>
  <r>
    <s v="ORD-00250"/>
    <x v="42"/>
    <x v="3"/>
    <s v="Minnesota"/>
    <s v="St. Paul"/>
    <s v="Avery Johnson"/>
    <x v="0"/>
    <x v="0"/>
    <s v="Binders"/>
    <s v="Presentation Binder"/>
    <n v="6"/>
    <n v="7.18"/>
    <n v="0.05"/>
    <n v="40.93"/>
    <n v="30.18"/>
    <n v="10.75"/>
    <s v="PayPal"/>
  </r>
  <r>
    <s v="ORD-01444"/>
    <x v="42"/>
    <x v="3"/>
    <s v="Michigan"/>
    <s v="Grand Rapids"/>
    <s v="Morgan Davis"/>
    <x v="2"/>
    <x v="0"/>
    <s v="Binders"/>
    <s v="3-Ring Binder"/>
    <n v="2"/>
    <n v="18.96"/>
    <n v="0.05"/>
    <n v="36.020000000000003"/>
    <n v="21.45"/>
    <n v="14.57"/>
    <s v="Bank Transfer"/>
  </r>
  <r>
    <s v="ORD-00852"/>
    <x v="43"/>
    <x v="1"/>
    <s v="Georgia"/>
    <s v="Savannah"/>
    <s v="Casey Brown"/>
    <x v="2"/>
    <x v="2"/>
    <s v="Bookcases"/>
    <s v="5-Shelf Bookcase"/>
    <n v="7"/>
    <n v="266.17"/>
    <n v="0"/>
    <n v="1863.19"/>
    <n v="1099.1500000000001"/>
    <n v="764.04"/>
    <s v="Debit Card"/>
  </r>
  <r>
    <s v="ORD-02338"/>
    <x v="43"/>
    <x v="1"/>
    <s v="North Carolina"/>
    <s v="Durham"/>
    <s v="Jamie Miller"/>
    <x v="0"/>
    <x v="1"/>
    <s v="Monitors"/>
    <s v="27in Monitor"/>
    <n v="7"/>
    <n v="273.11"/>
    <n v="0"/>
    <n v="1911.77"/>
    <n v="1074.68"/>
    <n v="837.09"/>
    <s v="Bank Transfer"/>
  </r>
  <r>
    <s v="ORD-01513"/>
    <x v="43"/>
    <x v="2"/>
    <s v="New Jersey"/>
    <s v="Newark"/>
    <s v="Riley Wilson"/>
    <x v="0"/>
    <x v="0"/>
    <s v="Binders"/>
    <s v="Heavy-Duty Binder"/>
    <n v="3"/>
    <n v="15.69"/>
    <n v="0.1"/>
    <n v="42.36"/>
    <n v="34.659999999999997"/>
    <n v="7.7"/>
    <s v="Debit Card"/>
  </r>
  <r>
    <s v="ORD-02655"/>
    <x v="43"/>
    <x v="3"/>
    <s v="Minnesota"/>
    <s v="St. Paul"/>
    <s v="Morgan Davis"/>
    <x v="2"/>
    <x v="2"/>
    <s v="Desks"/>
    <s v="Work Desk"/>
    <n v="5"/>
    <n v="711.99"/>
    <n v="0.15"/>
    <n v="3025.96"/>
    <n v="2114.8000000000002"/>
    <n v="911.16"/>
    <s v="PayPal"/>
  </r>
  <r>
    <s v="ORD-02207"/>
    <x v="43"/>
    <x v="3"/>
    <s v="Ohio"/>
    <s v="Cincinnati"/>
    <s v="Taylor Smith"/>
    <x v="2"/>
    <x v="0"/>
    <s v="Pens"/>
    <s v="Ballpoint Pens"/>
    <n v="2"/>
    <n v="17.64"/>
    <n v="0.05"/>
    <n v="33.520000000000003"/>
    <n v="23.29"/>
    <n v="10.23"/>
    <s v="Debit Card"/>
  </r>
  <r>
    <s v="ORD-02433"/>
    <x v="44"/>
    <x v="1"/>
    <s v="Virginia"/>
    <s v="Richmond"/>
    <s v="Drew Anderson"/>
    <x v="0"/>
    <x v="1"/>
    <s v="Keyboards"/>
    <s v="Wireless Keyboard"/>
    <n v="10"/>
    <n v="153.30000000000001"/>
    <n v="0"/>
    <n v="1533"/>
    <n v="935.48"/>
    <n v="597.52"/>
    <s v="Bank Transfer"/>
  </r>
  <r>
    <s v="ORD-02676"/>
    <x v="44"/>
    <x v="2"/>
    <s v="Pennsylvania"/>
    <s v="Philadelphia"/>
    <s v="Morgan Davis"/>
    <x v="1"/>
    <x v="2"/>
    <s v="Desks"/>
    <s v="Standing Desk"/>
    <n v="9"/>
    <n v="274.97000000000003"/>
    <n v="0"/>
    <n v="2474.73"/>
    <n v="1447.27"/>
    <n v="1027.46"/>
    <s v="PayPal"/>
  </r>
  <r>
    <s v="ORD-00984"/>
    <x v="44"/>
    <x v="2"/>
    <s v="New Jersey"/>
    <s v="Newark"/>
    <s v="Casey Brown"/>
    <x v="0"/>
    <x v="1"/>
    <s v="Monitors"/>
    <s v="24in Monitor"/>
    <n v="5"/>
    <n v="156"/>
    <n v="0.1"/>
    <n v="702"/>
    <n v="544.17999999999995"/>
    <n v="157.82"/>
    <s v="Bank Transfer"/>
  </r>
  <r>
    <s v="ORD-00049"/>
    <x v="44"/>
    <x v="1"/>
    <s v="Georgia"/>
    <s v="Augusta"/>
    <s v="Jordan Lee"/>
    <x v="2"/>
    <x v="0"/>
    <s v="Pens"/>
    <s v="Gel Pens"/>
    <n v="1"/>
    <n v="18.64"/>
    <n v="0"/>
    <n v="18.64"/>
    <n v="12.26"/>
    <n v="6.38"/>
    <s v="Debit Card"/>
  </r>
  <r>
    <s v="ORD-02971"/>
    <x v="44"/>
    <x v="0"/>
    <s v="Colorado"/>
    <s v="Colorado Springs"/>
    <s v="Jamie Miller"/>
    <x v="2"/>
    <x v="0"/>
    <s v="Binders"/>
    <s v="Presentation Binder"/>
    <n v="5"/>
    <n v="19.46"/>
    <n v="0.05"/>
    <n v="92.44"/>
    <n v="66.17"/>
    <n v="26.27"/>
    <s v="Debit Card"/>
  </r>
  <r>
    <s v="ORD-02198"/>
    <x v="44"/>
    <x v="0"/>
    <s v="Washington"/>
    <s v="Seattle"/>
    <s v="Taylor Smith"/>
    <x v="1"/>
    <x v="2"/>
    <s v="Tables"/>
    <s v="Side Table"/>
    <n v="5"/>
    <n v="715.08"/>
    <n v="0.1"/>
    <n v="3217.86"/>
    <n v="2207.7800000000002"/>
    <n v="1010.08"/>
    <s v="Credit Card"/>
  </r>
  <r>
    <s v="ORD-01873"/>
    <x v="44"/>
    <x v="3"/>
    <s v="Indiana"/>
    <s v="Evansville"/>
    <s v="Alex Morgan"/>
    <x v="2"/>
    <x v="0"/>
    <s v="Binders"/>
    <s v="Presentation Binder"/>
    <n v="7"/>
    <n v="19.79"/>
    <n v="0.15"/>
    <n v="117.75"/>
    <n v="91.85"/>
    <n v="25.9"/>
    <s v="Credit Card"/>
  </r>
  <r>
    <s v="ORD-01670"/>
    <x v="45"/>
    <x v="0"/>
    <s v="Oregon"/>
    <s v="Portland"/>
    <s v="Riley Wilson"/>
    <x v="0"/>
    <x v="0"/>
    <s v="Paper"/>
    <s v="Recycled Paper"/>
    <n v="1"/>
    <n v="27.59"/>
    <n v="0"/>
    <n v="27.59"/>
    <n v="20.04"/>
    <n v="7.55"/>
    <s v="Debit Card"/>
  </r>
  <r>
    <s v="ORD-02278"/>
    <x v="45"/>
    <x v="1"/>
    <s v="Texas"/>
    <s v="Dallas"/>
    <s v="Morgan Davis"/>
    <x v="0"/>
    <x v="2"/>
    <s v="Bookcases"/>
    <s v="3-Shelf Bookcase"/>
    <n v="7"/>
    <n v="245.99"/>
    <n v="0"/>
    <n v="1721.93"/>
    <n v="1340.68"/>
    <n v="381.25"/>
    <s v="PayPal"/>
  </r>
  <r>
    <s v="ORD-02247"/>
    <x v="45"/>
    <x v="2"/>
    <s v="New York"/>
    <s v="Buffalo"/>
    <s v="Morgan Davis"/>
    <x v="2"/>
    <x v="0"/>
    <s v="Paper"/>
    <s v="Recycled Paper"/>
    <n v="7"/>
    <n v="20.39"/>
    <n v="0.1"/>
    <n v="128.46"/>
    <n v="78.16"/>
    <n v="50.3"/>
    <s v="Debit Card"/>
  </r>
  <r>
    <s v="ORD-00404"/>
    <x v="45"/>
    <x v="2"/>
    <s v="New York"/>
    <s v="New York City"/>
    <s v="Jordan Lee"/>
    <x v="2"/>
    <x v="1"/>
    <s v="Headsets"/>
    <s v="Wireless Headset"/>
    <n v="2"/>
    <n v="86.2"/>
    <n v="0.1"/>
    <n v="155.16"/>
    <n v="96"/>
    <n v="59.16"/>
    <s v="Bank Transfer"/>
  </r>
  <r>
    <s v="ORD-02099"/>
    <x v="45"/>
    <x v="1"/>
    <s v="Texas"/>
    <s v="Austin"/>
    <s v="Jordan Lee"/>
    <x v="1"/>
    <x v="0"/>
    <s v="Binders"/>
    <s v="3-Ring Binder"/>
    <n v="8"/>
    <n v="6.68"/>
    <n v="0"/>
    <n v="53.44"/>
    <n v="30.31"/>
    <n v="23.13"/>
    <s v="Bank Transfer"/>
  </r>
  <r>
    <s v="ORD-00150"/>
    <x v="45"/>
    <x v="0"/>
    <s v="Washington"/>
    <s v="Tacoma"/>
    <s v="Cameron Clark"/>
    <x v="1"/>
    <x v="1"/>
    <s v="Keyboards"/>
    <s v="Ergonomic Keyboard"/>
    <n v="7"/>
    <n v="72.12"/>
    <n v="0.15"/>
    <n v="429.11"/>
    <n v="289.45999999999998"/>
    <n v="139.65"/>
    <s v="Bank Transfer"/>
  </r>
  <r>
    <s v="ORD-00630"/>
    <x v="46"/>
    <x v="3"/>
    <s v="Michigan"/>
    <s v="Lansing"/>
    <s v="Avery Johnson"/>
    <x v="0"/>
    <x v="0"/>
    <s v="Pens"/>
    <s v="Fine Tip Pens"/>
    <n v="8"/>
    <n v="19.25"/>
    <n v="0.1"/>
    <n v="138.6"/>
    <n v="90.06"/>
    <n v="48.54"/>
    <s v="Bank Transfer"/>
  </r>
  <r>
    <s v="ORD-01109"/>
    <x v="46"/>
    <x v="1"/>
    <s v="Virginia"/>
    <s v="Richmond"/>
    <s v="Taylor Smith"/>
    <x v="0"/>
    <x v="2"/>
    <s v="Desks"/>
    <s v="Executive Desk"/>
    <n v="5"/>
    <n v="525.37"/>
    <n v="0.05"/>
    <n v="2495.5100000000002"/>
    <n v="1479.84"/>
    <n v="1015.67"/>
    <s v="Bank Transfer"/>
  </r>
  <r>
    <s v="ORD-00820"/>
    <x v="46"/>
    <x v="2"/>
    <s v="Massachusetts"/>
    <s v="Boston"/>
    <s v="Jamie Miller"/>
    <x v="2"/>
    <x v="2"/>
    <s v="Chairs"/>
    <s v="Task Chair"/>
    <n v="7"/>
    <n v="561.35"/>
    <n v="0"/>
    <n v="3929.45"/>
    <n v="2759.63"/>
    <n v="1169.82"/>
    <s v="Credit Card"/>
  </r>
  <r>
    <s v="ORD-01227"/>
    <x v="46"/>
    <x v="3"/>
    <s v="Illinois"/>
    <s v="Peoria"/>
    <s v="Jordan Lee"/>
    <x v="1"/>
    <x v="0"/>
    <s v="Printers"/>
    <s v="Color Printer"/>
    <n v="7"/>
    <n v="593.04"/>
    <n v="0.05"/>
    <n v="3943.72"/>
    <n v="2646.13"/>
    <n v="1297.5899999999999"/>
    <s v="Credit Card"/>
  </r>
  <r>
    <s v="ORD-01712"/>
    <x v="46"/>
    <x v="2"/>
    <s v="Pennsylvania"/>
    <s v="Philadelphia"/>
    <s v="Jordan Lee"/>
    <x v="1"/>
    <x v="1"/>
    <s v="Headsets"/>
    <s v="USB Headset"/>
    <n v="2"/>
    <n v="176.22"/>
    <n v="0.05"/>
    <n v="334.82"/>
    <n v="194.5"/>
    <n v="140.32"/>
    <s v="Credit Card"/>
  </r>
  <r>
    <s v="ORD-01247"/>
    <x v="46"/>
    <x v="1"/>
    <s v="North Carolina"/>
    <s v="Raleigh"/>
    <s v="Avery Johnson"/>
    <x v="0"/>
    <x v="0"/>
    <s v="Printers"/>
    <s v="All-in-One Printer"/>
    <n v="8"/>
    <n v="368.05"/>
    <n v="0.1"/>
    <n v="2649.96"/>
    <n v="1886.17"/>
    <n v="763.79"/>
    <s v="Credit Card"/>
  </r>
  <r>
    <s v="ORD-02135"/>
    <x v="47"/>
    <x v="3"/>
    <s v="Minnesota"/>
    <s v="Minneapolis"/>
    <s v="Alex Morgan"/>
    <x v="0"/>
    <x v="1"/>
    <s v="Monitors"/>
    <s v="34in Monitor"/>
    <n v="7"/>
    <n v="628.33000000000004"/>
    <n v="0.1"/>
    <n v="3958.48"/>
    <n v="2357.4899999999998"/>
    <n v="1600.99"/>
    <s v="Credit Card"/>
  </r>
  <r>
    <s v="ORD-02919"/>
    <x v="47"/>
    <x v="0"/>
    <s v="Colorado"/>
    <s v="Denver"/>
    <s v="Jordan Lee"/>
    <x v="0"/>
    <x v="2"/>
    <s v="Tables"/>
    <s v="Side Table"/>
    <n v="3"/>
    <n v="663.33"/>
    <n v="0.05"/>
    <n v="1890.49"/>
    <n v="1174.25"/>
    <n v="716.24"/>
    <s v="PayPal"/>
  </r>
  <r>
    <s v="ORD-00515"/>
    <x v="47"/>
    <x v="1"/>
    <s v="Georgia"/>
    <s v="Augusta"/>
    <s v="Taylor Smith"/>
    <x v="0"/>
    <x v="0"/>
    <s v="Paper"/>
    <s v="Copy Paper"/>
    <n v="10"/>
    <n v="12.08"/>
    <n v="0.15"/>
    <n v="102.68"/>
    <n v="69.930000000000007"/>
    <n v="32.75"/>
    <s v="Credit Card"/>
  </r>
  <r>
    <s v="ORD-00908"/>
    <x v="47"/>
    <x v="3"/>
    <s v="Illinois"/>
    <s v="Chicago"/>
    <s v="Taylor Smith"/>
    <x v="2"/>
    <x v="0"/>
    <s v="Printers"/>
    <s v="All-in-One Printer"/>
    <n v="9"/>
    <n v="366.75"/>
    <n v="0.05"/>
    <n v="3135.71"/>
    <n v="2426.7399999999998"/>
    <n v="708.97"/>
    <s v="Bank Transfer"/>
  </r>
  <r>
    <s v="ORD-02161"/>
    <x v="47"/>
    <x v="2"/>
    <s v="Pennsylvania"/>
    <s v="Philadelphia"/>
    <s v="Morgan Davis"/>
    <x v="2"/>
    <x v="1"/>
    <s v="Monitors"/>
    <s v="27in Monitor"/>
    <n v="6"/>
    <n v="681.66"/>
    <n v="0.15"/>
    <n v="3476.47"/>
    <n v="2328.04"/>
    <n v="1148.43"/>
    <s v="Bank Transfer"/>
  </r>
  <r>
    <s v="ORD-02507"/>
    <x v="47"/>
    <x v="2"/>
    <s v="Vermont"/>
    <s v="Burlington"/>
    <s v="Cameron Clark"/>
    <x v="0"/>
    <x v="0"/>
    <s v="Pens"/>
    <s v="Ballpoint Pens"/>
    <n v="8"/>
    <n v="7.37"/>
    <n v="0.15"/>
    <n v="50.12"/>
    <n v="32.020000000000003"/>
    <n v="18.100000000000001"/>
    <s v="PayPal"/>
  </r>
  <r>
    <s v="ORD-00817"/>
    <x v="47"/>
    <x v="2"/>
    <s v="Vermont"/>
    <s v="Rutland"/>
    <s v="Casey Brown"/>
    <x v="1"/>
    <x v="1"/>
    <s v="Monitors"/>
    <s v="27in Monitor"/>
    <n v="5"/>
    <n v="180.04"/>
    <n v="0"/>
    <n v="900.2"/>
    <n v="513.48"/>
    <n v="386.72"/>
    <s v="Bank Transfer"/>
  </r>
  <r>
    <s v="ORD-00108"/>
    <x v="48"/>
    <x v="0"/>
    <s v="Oregon"/>
    <s v="Salem"/>
    <s v="Alex Morgan"/>
    <x v="0"/>
    <x v="2"/>
    <s v="Bookcases"/>
    <s v="Storage Bookcase"/>
    <n v="2"/>
    <n v="261.45999999999998"/>
    <n v="0.1"/>
    <n v="470.63"/>
    <n v="343.52"/>
    <n v="127.11"/>
    <s v="PayPal"/>
  </r>
  <r>
    <s v="ORD-00329"/>
    <x v="48"/>
    <x v="0"/>
    <s v="Colorado"/>
    <s v="Colorado Springs"/>
    <s v="Drew Anderson"/>
    <x v="0"/>
    <x v="1"/>
    <s v="Headsets"/>
    <s v="Noise-Canceling Headset"/>
    <n v="10"/>
    <n v="154.94"/>
    <n v="0.1"/>
    <n v="1394.46"/>
    <n v="1127.75"/>
    <n v="266.70999999999998"/>
    <s v="Credit Card"/>
  </r>
  <r>
    <s v="ORD-02837"/>
    <x v="48"/>
    <x v="1"/>
    <s v="Florida"/>
    <s v="Orlando"/>
    <s v="Drew Anderson"/>
    <x v="0"/>
    <x v="0"/>
    <s v="Paper"/>
    <s v="Premium Paper"/>
    <n v="10"/>
    <n v="19.09"/>
    <n v="0.1"/>
    <n v="171.81"/>
    <n v="112.19"/>
    <n v="59.62"/>
    <s v="PayPal"/>
  </r>
  <r>
    <s v="ORD-00684"/>
    <x v="48"/>
    <x v="0"/>
    <s v="Oregon"/>
    <s v="Salem"/>
    <s v="Jordan Lee"/>
    <x v="0"/>
    <x v="0"/>
    <s v="Printers"/>
    <s v="Color Printer"/>
    <n v="9"/>
    <n v="365.66"/>
    <n v="0.1"/>
    <n v="2961.85"/>
    <n v="2169.1799999999998"/>
    <n v="792.67"/>
    <s v="Bank Transfer"/>
  </r>
  <r>
    <s v="ORD-02171"/>
    <x v="48"/>
    <x v="3"/>
    <s v="Minnesota"/>
    <s v="Minneapolis"/>
    <s v="Jordan Lee"/>
    <x v="0"/>
    <x v="1"/>
    <s v="Keyboards"/>
    <s v="Mechanical Keyboard"/>
    <n v="6"/>
    <n v="68.06"/>
    <n v="0"/>
    <n v="408.36"/>
    <n v="302.41000000000003"/>
    <n v="105.95"/>
    <s v="Debit Card"/>
  </r>
  <r>
    <s v="ORD-00156"/>
    <x v="48"/>
    <x v="1"/>
    <s v="Georgia"/>
    <s v="Savannah"/>
    <s v="Jordan Lee"/>
    <x v="0"/>
    <x v="1"/>
    <s v="Laptops"/>
    <s v="Ultrabook"/>
    <n v="5"/>
    <n v="810.24"/>
    <n v="0.1"/>
    <n v="3646.08"/>
    <n v="2735.65"/>
    <n v="910.43"/>
    <s v="Credit Card"/>
  </r>
  <r>
    <s v="ORD-02442"/>
    <x v="48"/>
    <x v="1"/>
    <s v="Georgia"/>
    <s v="Savannah"/>
    <s v="Avery Johnson"/>
    <x v="0"/>
    <x v="0"/>
    <s v="Paper"/>
    <s v="Premium Paper"/>
    <n v="4"/>
    <n v="29.91"/>
    <n v="0.05"/>
    <n v="113.66"/>
    <n v="85.01"/>
    <n v="28.65"/>
    <s v="Credit Card"/>
  </r>
  <r>
    <s v="ORD-01436"/>
    <x v="48"/>
    <x v="1"/>
    <s v="Virginia"/>
    <s v="Norfolk"/>
    <s v="Drew Anderson"/>
    <x v="1"/>
    <x v="0"/>
    <s v="Paper"/>
    <s v="Recycled Paper"/>
    <n v="2"/>
    <n v="31.45"/>
    <n v="0.2"/>
    <n v="50.32"/>
    <n v="34.58"/>
    <n v="15.74"/>
    <s v="Credit Card"/>
  </r>
  <r>
    <s v="ORD-00257"/>
    <x v="48"/>
    <x v="3"/>
    <s v="Indiana"/>
    <s v="Indianapolis"/>
    <s v="Jordan Lee"/>
    <x v="2"/>
    <x v="0"/>
    <s v="Binders"/>
    <s v="Heavy-Duty Binder"/>
    <n v="9"/>
    <n v="9.01"/>
    <n v="0.1"/>
    <n v="72.98"/>
    <n v="58.62"/>
    <n v="14.36"/>
    <s v="Bank Transfer"/>
  </r>
  <r>
    <s v="ORD-00499"/>
    <x v="48"/>
    <x v="2"/>
    <s v="Massachusetts"/>
    <s v="Springfield"/>
    <s v="Drew Anderson"/>
    <x v="0"/>
    <x v="0"/>
    <s v="Pens"/>
    <s v="Gel Pens"/>
    <n v="10"/>
    <n v="18.91"/>
    <n v="0.1"/>
    <n v="170.19"/>
    <n v="137.77000000000001"/>
    <n v="32.42"/>
    <s v="Bank Transfer"/>
  </r>
  <r>
    <s v="ORD-01630"/>
    <x v="48"/>
    <x v="1"/>
    <s v="Texas"/>
    <s v="Austin"/>
    <s v="Cameron Clark"/>
    <x v="0"/>
    <x v="1"/>
    <s v="Laptops"/>
    <s v="Ultrabook"/>
    <n v="10"/>
    <n v="1500.03"/>
    <n v="0.05"/>
    <n v="14250.28"/>
    <n v="9797.65"/>
    <n v="4452.63"/>
    <s v="Bank Transfer"/>
  </r>
  <r>
    <s v="ORD-00388"/>
    <x v="49"/>
    <x v="3"/>
    <s v="Indiana"/>
    <s v="Fort Wayne"/>
    <s v="Riley Wilson"/>
    <x v="0"/>
    <x v="2"/>
    <s v="Bookcases"/>
    <s v="Storage Bookcase"/>
    <n v="8"/>
    <n v="437.68"/>
    <n v="0.2"/>
    <n v="2801.15"/>
    <n v="2007.34"/>
    <n v="793.81"/>
    <s v="Bank Transfer"/>
  </r>
  <r>
    <s v="ORD-00877"/>
    <x v="50"/>
    <x v="1"/>
    <s v="Virginia"/>
    <s v="Richmond"/>
    <s v="Avery Johnson"/>
    <x v="1"/>
    <x v="1"/>
    <s v="Monitors"/>
    <s v="34in Monitor"/>
    <n v="8"/>
    <n v="638.57000000000005"/>
    <n v="0"/>
    <n v="5108.5600000000004"/>
    <n v="3875.73"/>
    <n v="1232.83"/>
    <s v="PayPal"/>
  </r>
  <r>
    <s v="ORD-02047"/>
    <x v="50"/>
    <x v="1"/>
    <s v="Virginia"/>
    <s v="Richmond"/>
    <s v="Drew Anderson"/>
    <x v="2"/>
    <x v="2"/>
    <s v="Tables"/>
    <s v="Side Table"/>
    <n v="8"/>
    <n v="152.46"/>
    <n v="0.1"/>
    <n v="1097.71"/>
    <n v="657.11"/>
    <n v="440.6"/>
    <s v="Debit Card"/>
  </r>
  <r>
    <s v="ORD-00379"/>
    <x v="50"/>
    <x v="1"/>
    <s v="North Carolina"/>
    <s v="Charlotte"/>
    <s v="Jamie Miller"/>
    <x v="2"/>
    <x v="2"/>
    <s v="Desks"/>
    <s v="Standing Desk"/>
    <n v="1"/>
    <n v="705.18"/>
    <n v="0"/>
    <n v="705.18"/>
    <n v="472.59"/>
    <n v="232.59"/>
    <s v="Credit Card"/>
  </r>
  <r>
    <s v="ORD-00368"/>
    <x v="50"/>
    <x v="1"/>
    <s v="Florida"/>
    <s v="Tampa"/>
    <s v="Casey Brown"/>
    <x v="0"/>
    <x v="1"/>
    <s v="Monitors"/>
    <s v="24in Monitor"/>
    <n v="1"/>
    <n v="396.91"/>
    <n v="0"/>
    <n v="396.91"/>
    <n v="303.95"/>
    <n v="92.96"/>
    <s v="Credit Card"/>
  </r>
  <r>
    <s v="ORD-00810"/>
    <x v="50"/>
    <x v="2"/>
    <s v="Vermont"/>
    <s v="Montpelier"/>
    <s v="Jordan Lee"/>
    <x v="0"/>
    <x v="0"/>
    <s v="Binders"/>
    <s v="Heavy-Duty Binder"/>
    <n v="3"/>
    <n v="28.6"/>
    <n v="0"/>
    <n v="85.8"/>
    <n v="53.07"/>
    <n v="32.729999999999997"/>
    <s v="PayPal"/>
  </r>
  <r>
    <s v="ORD-00975"/>
    <x v="50"/>
    <x v="0"/>
    <s v="California"/>
    <s v="San Jose"/>
    <s v="Morgan Davis"/>
    <x v="2"/>
    <x v="1"/>
    <s v="Headsets"/>
    <s v="Wireless Headset"/>
    <n v="1"/>
    <n v="136.19"/>
    <n v="0.05"/>
    <n v="129.38"/>
    <n v="84.45"/>
    <n v="44.93"/>
    <s v="PayPal"/>
  </r>
  <r>
    <s v="ORD-00230"/>
    <x v="50"/>
    <x v="2"/>
    <s v="Massachusetts"/>
    <s v="Boston"/>
    <s v="Riley Wilson"/>
    <x v="1"/>
    <x v="0"/>
    <s v="Pens"/>
    <s v="Ballpoint Pens"/>
    <n v="10"/>
    <n v="6.34"/>
    <n v="0.05"/>
    <n v="60.23"/>
    <n v="35.07"/>
    <n v="25.16"/>
    <s v="Credit Card"/>
  </r>
  <r>
    <s v="ORD-02705"/>
    <x v="50"/>
    <x v="0"/>
    <s v="California"/>
    <s v="San Diego"/>
    <s v="Casey Brown"/>
    <x v="2"/>
    <x v="1"/>
    <s v="Laptops"/>
    <s v="Workstation Laptop"/>
    <n v="6"/>
    <n v="1498.66"/>
    <n v="0.15"/>
    <n v="7643.17"/>
    <n v="5784.11"/>
    <n v="1859.06"/>
    <s v="PayPal"/>
  </r>
  <r>
    <s v="ORD-02670"/>
    <x v="50"/>
    <x v="3"/>
    <s v="Indiana"/>
    <s v="Indianapolis"/>
    <s v="Alex Morgan"/>
    <x v="0"/>
    <x v="0"/>
    <s v="Pens"/>
    <s v="Fine Tip Pens"/>
    <n v="4"/>
    <n v="6.57"/>
    <n v="0.1"/>
    <n v="23.65"/>
    <n v="16.260000000000002"/>
    <n v="7.39"/>
    <s v="Bank Transfer"/>
  </r>
  <r>
    <s v="ORD-00710"/>
    <x v="50"/>
    <x v="0"/>
    <s v="Colorado"/>
    <s v="Colorado Springs"/>
    <s v="Jordan Lee"/>
    <x v="2"/>
    <x v="2"/>
    <s v="Chairs"/>
    <s v="Task Chair"/>
    <n v="5"/>
    <n v="684.61"/>
    <n v="0.15"/>
    <n v="2909.59"/>
    <n v="2059.08"/>
    <n v="850.51"/>
    <s v="Debit Card"/>
  </r>
  <r>
    <s v="ORD-00651"/>
    <x v="51"/>
    <x v="3"/>
    <s v="Ohio"/>
    <s v="Cincinnati"/>
    <s v="Alex Morgan"/>
    <x v="1"/>
    <x v="0"/>
    <s v="Paper"/>
    <s v="Premium Paper"/>
    <n v="9"/>
    <n v="15.67"/>
    <n v="0.05"/>
    <n v="133.97999999999999"/>
    <n v="90.44"/>
    <n v="43.54"/>
    <s v="Bank Transfer"/>
  </r>
  <r>
    <s v="ORD-01906"/>
    <x v="51"/>
    <x v="1"/>
    <s v="Virginia"/>
    <s v="Richmond"/>
    <s v="Taylor Smith"/>
    <x v="0"/>
    <x v="2"/>
    <s v="Tables"/>
    <s v="Conference Table"/>
    <n v="2"/>
    <n v="616.04999999999995"/>
    <n v="0.1"/>
    <n v="1108.8900000000001"/>
    <n v="855.49"/>
    <n v="253.4"/>
    <s v="Bank Transfer"/>
  </r>
  <r>
    <s v="ORD-01518"/>
    <x v="51"/>
    <x v="3"/>
    <s v="Indiana"/>
    <s v="Indianapolis"/>
    <s v="Jordan Lee"/>
    <x v="1"/>
    <x v="0"/>
    <s v="Paper"/>
    <s v="Recycled Paper"/>
    <n v="4"/>
    <n v="16.16"/>
    <n v="0.1"/>
    <n v="58.18"/>
    <n v="46.86"/>
    <n v="11.32"/>
    <s v="Bank Transfer"/>
  </r>
  <r>
    <s v="ORD-01065"/>
    <x v="51"/>
    <x v="1"/>
    <s v="Texas"/>
    <s v="Austin"/>
    <s v="Drew Anderson"/>
    <x v="1"/>
    <x v="1"/>
    <s v="Monitors"/>
    <s v="34in Monitor"/>
    <n v="8"/>
    <n v="459.22"/>
    <n v="0.15"/>
    <n v="3122.7"/>
    <n v="2374.0100000000002"/>
    <n v="748.69"/>
    <s v="Bank Transfer"/>
  </r>
  <r>
    <s v="ORD-00546"/>
    <x v="51"/>
    <x v="0"/>
    <s v="Colorado"/>
    <s v="Boulder"/>
    <s v="Riley Wilson"/>
    <x v="0"/>
    <x v="1"/>
    <s v="Laptops"/>
    <s v="Workstation Laptop"/>
    <n v="10"/>
    <n v="1628.12"/>
    <n v="0"/>
    <n v="16281.2"/>
    <n v="9744.7999999999993"/>
    <n v="6536.4"/>
    <s v="Debit Card"/>
  </r>
  <r>
    <s v="ORD-01539"/>
    <x v="51"/>
    <x v="1"/>
    <s v="North Carolina"/>
    <s v="Charlotte"/>
    <s v="Riley Wilson"/>
    <x v="2"/>
    <x v="0"/>
    <s v="Pens"/>
    <s v="Gel Pens"/>
    <n v="2"/>
    <n v="12.35"/>
    <n v="0.05"/>
    <n v="23.46"/>
    <n v="16.97"/>
    <n v="6.49"/>
    <s v="PayPal"/>
  </r>
  <r>
    <s v="ORD-02194"/>
    <x v="51"/>
    <x v="2"/>
    <s v="Massachusetts"/>
    <s v="Boston"/>
    <s v="Riley Wilson"/>
    <x v="0"/>
    <x v="2"/>
    <s v="Bookcases"/>
    <s v="Storage Bookcase"/>
    <n v="1"/>
    <n v="252.26"/>
    <n v="0.05"/>
    <n v="239.65"/>
    <n v="177.03"/>
    <n v="62.62"/>
    <s v="Debit Card"/>
  </r>
  <r>
    <s v="ORD-02659"/>
    <x v="51"/>
    <x v="3"/>
    <s v="Illinois"/>
    <s v="Chicago"/>
    <s v="Casey Brown"/>
    <x v="2"/>
    <x v="1"/>
    <s v="Laptops"/>
    <s v="Ultrabook"/>
    <n v="5"/>
    <n v="705.56"/>
    <n v="0.05"/>
    <n v="3351.41"/>
    <n v="2122.87"/>
    <n v="1228.54"/>
    <s v="Credit Card"/>
  </r>
  <r>
    <s v="ORD-02664"/>
    <x v="51"/>
    <x v="3"/>
    <s v="Minnesota"/>
    <s v="St. Paul"/>
    <s v="Avery Johnson"/>
    <x v="0"/>
    <x v="2"/>
    <s v="Chairs"/>
    <s v="Executive Chair"/>
    <n v="3"/>
    <n v="401.73"/>
    <n v="0"/>
    <n v="1205.19"/>
    <n v="942.38"/>
    <n v="262.81"/>
    <s v="Credit Card"/>
  </r>
  <r>
    <s v="ORD-00747"/>
    <x v="52"/>
    <x v="3"/>
    <s v="Indiana"/>
    <s v="Indianapolis"/>
    <s v="Taylor Smith"/>
    <x v="0"/>
    <x v="2"/>
    <s v="Tables"/>
    <s v="Conference Table"/>
    <n v="5"/>
    <n v="774.38"/>
    <n v="0.1"/>
    <n v="3484.71"/>
    <n v="2248.5500000000002"/>
    <n v="1236.1600000000001"/>
    <s v="Credit Card"/>
  </r>
  <r>
    <s v="ORD-00633"/>
    <x v="52"/>
    <x v="2"/>
    <s v="Massachusetts"/>
    <s v="Springfield"/>
    <s v="Cameron Clark"/>
    <x v="0"/>
    <x v="0"/>
    <s v="Printers"/>
    <s v="All-in-One Printer"/>
    <n v="5"/>
    <n v="304.39999999999998"/>
    <n v="0.15"/>
    <n v="1293.7"/>
    <n v="957.95"/>
    <n v="335.75"/>
    <s v="Credit Card"/>
  </r>
  <r>
    <s v="ORD-00856"/>
    <x v="52"/>
    <x v="2"/>
    <s v="Pennsylvania"/>
    <s v="Allentown"/>
    <s v="Morgan Davis"/>
    <x v="0"/>
    <x v="2"/>
    <s v="Tables"/>
    <s v="Training Table"/>
    <n v="3"/>
    <n v="531.79999999999995"/>
    <n v="0"/>
    <n v="1595.4"/>
    <n v="1207"/>
    <n v="388.4"/>
    <s v="PayPal"/>
  </r>
  <r>
    <s v="ORD-00753"/>
    <x v="52"/>
    <x v="1"/>
    <s v="Texas"/>
    <s v="Austin"/>
    <s v="Riley Wilson"/>
    <x v="1"/>
    <x v="0"/>
    <s v="Binders"/>
    <s v="Presentation Binder"/>
    <n v="3"/>
    <n v="17.170000000000002"/>
    <n v="0.05"/>
    <n v="48.93"/>
    <n v="36.58"/>
    <n v="12.35"/>
    <s v="PayPal"/>
  </r>
  <r>
    <s v="ORD-02864"/>
    <x v="52"/>
    <x v="3"/>
    <s v="Minnesota"/>
    <s v="St. Paul"/>
    <s v="Drew Anderson"/>
    <x v="0"/>
    <x v="0"/>
    <s v="Pens"/>
    <s v="Ballpoint Pens"/>
    <n v="2"/>
    <n v="8.8000000000000007"/>
    <n v="0.05"/>
    <n v="16.72"/>
    <n v="10.23"/>
    <n v="6.49"/>
    <s v="Credit Card"/>
  </r>
  <r>
    <s v="ORD-00184"/>
    <x v="52"/>
    <x v="3"/>
    <s v="Illinois"/>
    <s v="Chicago"/>
    <s v="Cameron Clark"/>
    <x v="1"/>
    <x v="2"/>
    <s v="Bookcases"/>
    <s v="3-Shelf Bookcase"/>
    <n v="6"/>
    <n v="189.72"/>
    <n v="0.05"/>
    <n v="1081.4000000000001"/>
    <n v="711.3"/>
    <n v="370.1"/>
    <s v="PayPal"/>
  </r>
  <r>
    <s v="ORD-01470"/>
    <x v="52"/>
    <x v="2"/>
    <s v="New Jersey"/>
    <s v="Newark"/>
    <s v="Cameron Clark"/>
    <x v="2"/>
    <x v="0"/>
    <s v="Pens"/>
    <s v="Gel Pens"/>
    <n v="2"/>
    <n v="18.03"/>
    <n v="0.15"/>
    <n v="30.65"/>
    <n v="20.62"/>
    <n v="10.029999999999999"/>
    <s v="PayPal"/>
  </r>
  <r>
    <s v="ORD-00227"/>
    <x v="52"/>
    <x v="2"/>
    <s v="Vermont"/>
    <s v="Burlington"/>
    <s v="Riley Wilson"/>
    <x v="2"/>
    <x v="1"/>
    <s v="Headsets"/>
    <s v="USB Headset"/>
    <n v="3"/>
    <n v="194.16"/>
    <n v="0.1"/>
    <n v="524.23"/>
    <n v="413.62"/>
    <n v="110.61"/>
    <s v="Credit Card"/>
  </r>
  <r>
    <s v="ORD-00625"/>
    <x v="52"/>
    <x v="2"/>
    <s v="New Jersey"/>
    <s v="Jersey City"/>
    <s v="Morgan Davis"/>
    <x v="0"/>
    <x v="1"/>
    <s v="Monitors"/>
    <s v="34in Monitor"/>
    <n v="10"/>
    <n v="180.42"/>
    <n v="0.15"/>
    <n v="1533.57"/>
    <n v="1229.7"/>
    <n v="303.87"/>
    <s v="Credit Card"/>
  </r>
  <r>
    <s v="ORD-02149"/>
    <x v="52"/>
    <x v="1"/>
    <s v="Texas"/>
    <s v="Dallas"/>
    <s v="Drew Anderson"/>
    <x v="0"/>
    <x v="2"/>
    <s v="Desks"/>
    <s v="Executive Desk"/>
    <n v="5"/>
    <n v="330.61"/>
    <n v="0.05"/>
    <n v="1570.4"/>
    <n v="1052.6500000000001"/>
    <n v="517.75"/>
    <s v="Bank Transfer"/>
  </r>
  <r>
    <s v="ORD-01897"/>
    <x v="53"/>
    <x v="1"/>
    <s v="Georgia"/>
    <s v="Atlanta"/>
    <s v="Taylor Smith"/>
    <x v="2"/>
    <x v="0"/>
    <s v="Printers"/>
    <s v="Laser Printer"/>
    <n v="4"/>
    <n v="274.14"/>
    <n v="0"/>
    <n v="1096.56"/>
    <n v="678.68"/>
    <n v="417.88"/>
    <s v="PayPal"/>
  </r>
  <r>
    <s v="ORD-02075"/>
    <x v="53"/>
    <x v="3"/>
    <s v="Ohio"/>
    <s v="Cleveland"/>
    <s v="Taylor Smith"/>
    <x v="0"/>
    <x v="0"/>
    <s v="Paper"/>
    <s v="Recycled Paper"/>
    <n v="3"/>
    <n v="8.83"/>
    <n v="0"/>
    <n v="26.49"/>
    <n v="17.329999999999998"/>
    <n v="9.16"/>
    <s v="PayPal"/>
  </r>
  <r>
    <s v="ORD-02063"/>
    <x v="53"/>
    <x v="3"/>
    <s v="Illinois"/>
    <s v="Springfield"/>
    <s v="Cameron Clark"/>
    <x v="1"/>
    <x v="0"/>
    <s v="Printers"/>
    <s v="Color Printer"/>
    <n v="6"/>
    <n v="544.51"/>
    <n v="0"/>
    <n v="3267.06"/>
    <n v="2400.89"/>
    <n v="866.17"/>
    <s v="Bank Transfer"/>
  </r>
  <r>
    <s v="ORD-02001"/>
    <x v="53"/>
    <x v="3"/>
    <s v="Indiana"/>
    <s v="Indianapolis"/>
    <s v="Alex Morgan"/>
    <x v="0"/>
    <x v="1"/>
    <s v="Keyboards"/>
    <s v="Wireless Keyboard"/>
    <n v="8"/>
    <n v="129.47"/>
    <n v="0"/>
    <n v="1035.76"/>
    <n v="704"/>
    <n v="331.76"/>
    <s v="Debit Card"/>
  </r>
  <r>
    <s v="ORD-01672"/>
    <x v="53"/>
    <x v="2"/>
    <s v="New Jersey"/>
    <s v="Trenton"/>
    <s v="Morgan Davis"/>
    <x v="1"/>
    <x v="1"/>
    <s v="Monitors"/>
    <s v="34in Monitor"/>
    <n v="5"/>
    <n v="476.1"/>
    <n v="0.05"/>
    <n v="2261.48"/>
    <n v="1474.41"/>
    <n v="787.07"/>
    <s v="Bank Transfer"/>
  </r>
  <r>
    <s v="ORD-02313"/>
    <x v="53"/>
    <x v="3"/>
    <s v="Illinois"/>
    <s v="Chicago"/>
    <s v="Drew Anderson"/>
    <x v="2"/>
    <x v="0"/>
    <s v="Binders"/>
    <s v="Heavy-Duty Binder"/>
    <n v="7"/>
    <n v="12.57"/>
    <n v="0.2"/>
    <n v="70.39"/>
    <n v="56.86"/>
    <n v="13.53"/>
    <s v="Debit Card"/>
  </r>
  <r>
    <s v="ORD-00187"/>
    <x v="53"/>
    <x v="1"/>
    <s v="Virginia"/>
    <s v="Richmond"/>
    <s v="Cameron Clark"/>
    <x v="0"/>
    <x v="1"/>
    <s v="Laptops"/>
    <s v="Workstation Laptop"/>
    <n v="9"/>
    <n v="1331.09"/>
    <n v="0.1"/>
    <n v="10781.83"/>
    <n v="6672.84"/>
    <n v="4108.99"/>
    <s v="PayPal"/>
  </r>
  <r>
    <s v="ORD-02386"/>
    <x v="53"/>
    <x v="1"/>
    <s v="Virginia"/>
    <s v="Richmond"/>
    <s v="Cameron Clark"/>
    <x v="0"/>
    <x v="0"/>
    <s v="Paper"/>
    <s v="Premium Paper"/>
    <n v="6"/>
    <n v="19.600000000000001"/>
    <n v="0.05"/>
    <n v="111.72"/>
    <n v="91.56"/>
    <n v="20.16"/>
    <s v="Credit Card"/>
  </r>
  <r>
    <s v="ORD-01329"/>
    <x v="53"/>
    <x v="1"/>
    <s v="Georgia"/>
    <s v="Atlanta"/>
    <s v="Cameron Clark"/>
    <x v="0"/>
    <x v="2"/>
    <s v="Chairs"/>
    <s v="Ergonomic Chair"/>
    <n v="8"/>
    <n v="543.24"/>
    <n v="0.05"/>
    <n v="4128.62"/>
    <n v="3194.42"/>
    <n v="934.2"/>
    <s v="Credit Card"/>
  </r>
  <r>
    <s v="ORD-00463"/>
    <x v="53"/>
    <x v="1"/>
    <s v="Florida"/>
    <s v="Tampa"/>
    <s v="Morgan Davis"/>
    <x v="2"/>
    <x v="1"/>
    <s v="Keyboards"/>
    <s v="Ergonomic Keyboard"/>
    <n v="8"/>
    <n v="100.57"/>
    <n v="0.05"/>
    <n v="764.33"/>
    <n v="609.79"/>
    <n v="154.54"/>
    <s v="Bank Transfer"/>
  </r>
  <r>
    <s v="ORD-02323"/>
    <x v="53"/>
    <x v="1"/>
    <s v="Florida"/>
    <s v="Miami"/>
    <s v="Riley Wilson"/>
    <x v="0"/>
    <x v="2"/>
    <s v="Bookcases"/>
    <s v="Storage Bookcase"/>
    <n v="2"/>
    <n v="257.89"/>
    <n v="0.05"/>
    <n v="489.99"/>
    <n v="273.02"/>
    <n v="216.97"/>
    <s v="Debit Card"/>
  </r>
  <r>
    <s v="ORD-02237"/>
    <x v="53"/>
    <x v="3"/>
    <s v="Minnesota"/>
    <s v="Rochester"/>
    <s v="Jordan Lee"/>
    <x v="2"/>
    <x v="2"/>
    <s v="Bookcases"/>
    <s v="5-Shelf Bookcase"/>
    <n v="3"/>
    <n v="128.33000000000001"/>
    <n v="0.05"/>
    <n v="365.74"/>
    <n v="286.06"/>
    <n v="79.680000000000007"/>
    <s v="Credit Card"/>
  </r>
  <r>
    <s v="ORD-00976"/>
    <x v="54"/>
    <x v="1"/>
    <s v="Texas"/>
    <s v="Dallas"/>
    <s v="Cameron Clark"/>
    <x v="2"/>
    <x v="2"/>
    <s v="Tables"/>
    <s v="Side Table"/>
    <n v="3"/>
    <n v="436.03"/>
    <n v="0.1"/>
    <n v="1177.28"/>
    <n v="923.63"/>
    <n v="253.65"/>
    <s v="Credit Card"/>
  </r>
  <r>
    <s v="ORD-00788"/>
    <x v="54"/>
    <x v="0"/>
    <s v="Colorado"/>
    <s v="Denver"/>
    <s v="Taylor Smith"/>
    <x v="1"/>
    <x v="2"/>
    <s v="Chairs"/>
    <s v="Executive Chair"/>
    <n v="4"/>
    <n v="258.14"/>
    <n v="0.05"/>
    <n v="980.93"/>
    <n v="747.68"/>
    <n v="233.25"/>
    <s v="Bank Transfer"/>
  </r>
  <r>
    <s v="ORD-02360"/>
    <x v="54"/>
    <x v="2"/>
    <s v="Massachusetts"/>
    <s v="Boston"/>
    <s v="Jamie Miller"/>
    <x v="0"/>
    <x v="1"/>
    <s v="Monitors"/>
    <s v="27in Monitor"/>
    <n v="5"/>
    <n v="527.73"/>
    <n v="0"/>
    <n v="2638.65"/>
    <n v="2066.71"/>
    <n v="571.94000000000005"/>
    <s v="Bank Transfer"/>
  </r>
  <r>
    <s v="ORD-00869"/>
    <x v="54"/>
    <x v="3"/>
    <s v="Ohio"/>
    <s v="Cleveland"/>
    <s v="Avery Johnson"/>
    <x v="2"/>
    <x v="2"/>
    <s v="Bookcases"/>
    <s v="3-Shelf Bookcase"/>
    <n v="9"/>
    <n v="474"/>
    <n v="0.1"/>
    <n v="3839.4"/>
    <n v="2672.26"/>
    <n v="1167.1400000000001"/>
    <s v="Credit Card"/>
  </r>
  <r>
    <s v="ORD-00706"/>
    <x v="54"/>
    <x v="2"/>
    <s v="New Jersey"/>
    <s v="Jersey City"/>
    <s v="Riley Wilson"/>
    <x v="0"/>
    <x v="0"/>
    <s v="Paper"/>
    <s v="Recycled Paper"/>
    <n v="3"/>
    <n v="33.119999999999997"/>
    <n v="0.1"/>
    <n v="89.42"/>
    <n v="51.11"/>
    <n v="38.31"/>
    <s v="PayPal"/>
  </r>
  <r>
    <s v="ORD-02772"/>
    <x v="54"/>
    <x v="2"/>
    <s v="New York"/>
    <s v="New York City"/>
    <s v="Morgan Davis"/>
    <x v="0"/>
    <x v="1"/>
    <s v="Laptops"/>
    <s v="Business Laptop"/>
    <n v="2"/>
    <n v="1628.54"/>
    <n v="0.1"/>
    <n v="2931.37"/>
    <n v="1777.95"/>
    <n v="1153.42"/>
    <s v="PayPal"/>
  </r>
  <r>
    <s v="ORD-01978"/>
    <x v="54"/>
    <x v="3"/>
    <s v="Ohio"/>
    <s v="Cleveland"/>
    <s v="Taylor Smith"/>
    <x v="0"/>
    <x v="0"/>
    <s v="Paper"/>
    <s v="Recycled Paper"/>
    <n v="7"/>
    <n v="32.75"/>
    <n v="0"/>
    <n v="229.25"/>
    <n v="156.63"/>
    <n v="72.62"/>
    <s v="Credit Card"/>
  </r>
  <r>
    <s v="ORD-01718"/>
    <x v="54"/>
    <x v="3"/>
    <s v="Ohio"/>
    <s v="Cleveland"/>
    <s v="Jamie Miller"/>
    <x v="2"/>
    <x v="2"/>
    <s v="Desks"/>
    <s v="Standing Desk"/>
    <n v="6"/>
    <n v="327.3"/>
    <n v="0.1"/>
    <n v="1767.42"/>
    <n v="1428.88"/>
    <n v="338.54"/>
    <s v="Credit Card"/>
  </r>
  <r>
    <s v="ORD-02551"/>
    <x v="54"/>
    <x v="0"/>
    <s v="Washington"/>
    <s v="Tacoma"/>
    <s v="Casey Brown"/>
    <x v="2"/>
    <x v="1"/>
    <s v="Monitors"/>
    <s v="24in Monitor"/>
    <n v="7"/>
    <n v="485.65"/>
    <n v="0"/>
    <n v="3399.55"/>
    <n v="2707.92"/>
    <n v="691.63"/>
    <s v="PayPal"/>
  </r>
  <r>
    <s v="ORD-02481"/>
    <x v="54"/>
    <x v="2"/>
    <s v="Massachusetts"/>
    <s v="Worcester"/>
    <s v="Taylor Smith"/>
    <x v="0"/>
    <x v="2"/>
    <s v="Desks"/>
    <s v="Standing Desk"/>
    <n v="5"/>
    <n v="426.44"/>
    <n v="0.05"/>
    <n v="2025.59"/>
    <n v="1210.21"/>
    <n v="815.38"/>
    <s v="Bank Transfer"/>
  </r>
  <r>
    <s v="ORD-00990"/>
    <x v="54"/>
    <x v="0"/>
    <s v="California"/>
    <s v="Los Angeles"/>
    <s v="Jamie Miller"/>
    <x v="2"/>
    <x v="0"/>
    <s v="Pens"/>
    <s v="Ballpoint Pens"/>
    <n v="4"/>
    <n v="13.23"/>
    <n v="0"/>
    <n v="52.92"/>
    <n v="32.32"/>
    <n v="20.6"/>
    <s v="Debit Card"/>
  </r>
  <r>
    <s v="ORD-02317"/>
    <x v="54"/>
    <x v="1"/>
    <s v="Florida"/>
    <s v="Orlando"/>
    <s v="Riley Wilson"/>
    <x v="0"/>
    <x v="1"/>
    <s v="Keyboards"/>
    <s v="Wireless Keyboard"/>
    <n v="6"/>
    <n v="68.61"/>
    <n v="0"/>
    <n v="411.66"/>
    <n v="274.44"/>
    <n v="137.22"/>
    <s v="Bank Transfer"/>
  </r>
  <r>
    <s v="ORD-00406"/>
    <x v="54"/>
    <x v="0"/>
    <s v="California"/>
    <s v="Los Angeles"/>
    <s v="Jordan Lee"/>
    <x v="2"/>
    <x v="2"/>
    <s v="Chairs"/>
    <s v="Executive Chair"/>
    <n v="2"/>
    <n v="236.32"/>
    <n v="0"/>
    <n v="472.64"/>
    <n v="327.58"/>
    <n v="145.06"/>
    <s v="Credit Card"/>
  </r>
  <r>
    <s v="ORD-00433"/>
    <x v="55"/>
    <x v="2"/>
    <s v="New York"/>
    <s v="Buffalo"/>
    <s v="Avery Johnson"/>
    <x v="0"/>
    <x v="1"/>
    <s v="Keyboards"/>
    <s v="Ergonomic Keyboard"/>
    <n v="4"/>
    <n v="88.46"/>
    <n v="0"/>
    <n v="353.84"/>
    <n v="289.72000000000003"/>
    <n v="64.12"/>
    <s v="PayPal"/>
  </r>
  <r>
    <s v="ORD-00382"/>
    <x v="55"/>
    <x v="1"/>
    <s v="Texas"/>
    <s v="Austin"/>
    <s v="Morgan Davis"/>
    <x v="1"/>
    <x v="1"/>
    <s v="Keyboards"/>
    <s v="Mechanical Keyboard"/>
    <n v="1"/>
    <n v="110.85"/>
    <n v="0.1"/>
    <n v="99.76"/>
    <n v="61.14"/>
    <n v="38.619999999999997"/>
    <s v="Bank Transfer"/>
  </r>
  <r>
    <s v="ORD-02361"/>
    <x v="55"/>
    <x v="0"/>
    <s v="Arizona"/>
    <s v="Tucson"/>
    <s v="Drew Anderson"/>
    <x v="2"/>
    <x v="0"/>
    <s v="Printers"/>
    <s v="Laser Printer"/>
    <n v="6"/>
    <n v="532.49"/>
    <n v="0.15"/>
    <n v="2715.7"/>
    <n v="1493.74"/>
    <n v="1221.96"/>
    <s v="Bank Transfer"/>
  </r>
  <r>
    <s v="ORD-01309"/>
    <x v="55"/>
    <x v="2"/>
    <s v="Vermont"/>
    <s v="Montpelier"/>
    <s v="Jordan Lee"/>
    <x v="0"/>
    <x v="2"/>
    <s v="Tables"/>
    <s v="Conference Table"/>
    <n v="4"/>
    <n v="185.6"/>
    <n v="0.1"/>
    <n v="668.16"/>
    <n v="507.19"/>
    <n v="160.97"/>
    <s v="Credit Card"/>
  </r>
  <r>
    <s v="ORD-02342"/>
    <x v="55"/>
    <x v="3"/>
    <s v="Minnesota"/>
    <s v="Rochester"/>
    <s v="Jamie Miller"/>
    <x v="1"/>
    <x v="2"/>
    <s v="Tables"/>
    <s v="Side Table"/>
    <n v="5"/>
    <n v="727.49"/>
    <n v="0.05"/>
    <n v="3455.58"/>
    <n v="2393.36"/>
    <n v="1062.22"/>
    <s v="Debit Card"/>
  </r>
  <r>
    <s v="ORD-00573"/>
    <x v="55"/>
    <x v="2"/>
    <s v="New York"/>
    <s v="New York City"/>
    <s v="Drew Anderson"/>
    <x v="0"/>
    <x v="0"/>
    <s v="Binders"/>
    <s v="Presentation Binder"/>
    <n v="5"/>
    <n v="28.82"/>
    <n v="0"/>
    <n v="144.1"/>
    <n v="93.62"/>
    <n v="50.48"/>
    <s v="Credit Card"/>
  </r>
  <r>
    <s v="ORD-01768"/>
    <x v="55"/>
    <x v="2"/>
    <s v="New Jersey"/>
    <s v="Jersey City"/>
    <s v="Jordan Lee"/>
    <x v="1"/>
    <x v="2"/>
    <s v="Desks"/>
    <s v="Executive Desk"/>
    <n v="10"/>
    <n v="740.5"/>
    <n v="0"/>
    <n v="7405"/>
    <n v="4410.96"/>
    <n v="2994.04"/>
    <s v="Debit Card"/>
  </r>
  <r>
    <s v="ORD-02206"/>
    <x v="55"/>
    <x v="2"/>
    <s v="New York"/>
    <s v="Rochester"/>
    <s v="Riley Wilson"/>
    <x v="0"/>
    <x v="1"/>
    <s v="Monitors"/>
    <s v="24in Monitor"/>
    <n v="2"/>
    <n v="505.37"/>
    <n v="0.15"/>
    <n v="859.13"/>
    <n v="592.84"/>
    <n v="266.29000000000002"/>
    <s v="PayPal"/>
  </r>
  <r>
    <s v="ORD-01214"/>
    <x v="56"/>
    <x v="1"/>
    <s v="Virginia"/>
    <s v="Norfolk"/>
    <s v="Riley Wilson"/>
    <x v="0"/>
    <x v="2"/>
    <s v="Desks"/>
    <s v="Work Desk"/>
    <n v="10"/>
    <n v="371.56"/>
    <n v="0.05"/>
    <n v="3529.82"/>
    <n v="2289.12"/>
    <n v="1240.7"/>
    <s v="Debit Card"/>
  </r>
  <r>
    <s v="ORD-02947"/>
    <x v="56"/>
    <x v="2"/>
    <s v="Vermont"/>
    <s v="Rutland"/>
    <s v="Avery Johnson"/>
    <x v="2"/>
    <x v="1"/>
    <s v="Keyboards"/>
    <s v="Ergonomic Keyboard"/>
    <n v="5"/>
    <n v="149.87"/>
    <n v="0.05"/>
    <n v="711.88"/>
    <n v="415.06"/>
    <n v="296.82"/>
    <s v="PayPal"/>
  </r>
  <r>
    <s v="ORD-01759"/>
    <x v="56"/>
    <x v="3"/>
    <s v="Ohio"/>
    <s v="Cleveland"/>
    <s v="Alex Morgan"/>
    <x v="0"/>
    <x v="2"/>
    <s v="Tables"/>
    <s v="Side Table"/>
    <n v="9"/>
    <n v="664.1"/>
    <n v="0.05"/>
    <n v="5678.06"/>
    <n v="4318.3999999999996"/>
    <n v="1359.66"/>
    <s v="Bank Transfer"/>
  </r>
  <r>
    <s v="ORD-00199"/>
    <x v="56"/>
    <x v="2"/>
    <s v="New York"/>
    <s v="Rochester"/>
    <s v="Riley Wilson"/>
    <x v="2"/>
    <x v="0"/>
    <s v="Pens"/>
    <s v="Ballpoint Pens"/>
    <n v="8"/>
    <n v="5.98"/>
    <n v="0"/>
    <n v="47.84"/>
    <n v="28.96"/>
    <n v="18.88"/>
    <s v="Bank Transfer"/>
  </r>
  <r>
    <s v="ORD-00025"/>
    <x v="56"/>
    <x v="0"/>
    <s v="Colorado"/>
    <s v="Colorado Springs"/>
    <s v="Jordan Lee"/>
    <x v="2"/>
    <x v="2"/>
    <s v="Chairs"/>
    <s v="Executive Chair"/>
    <n v="8"/>
    <n v="652.16999999999996"/>
    <n v="0.05"/>
    <n v="4956.49"/>
    <n v="3950.07"/>
    <n v="1006.42"/>
    <s v="Debit Card"/>
  </r>
  <r>
    <s v="ORD-01124"/>
    <x v="56"/>
    <x v="3"/>
    <s v="Indiana"/>
    <s v="Evansville"/>
    <s v="Drew Anderson"/>
    <x v="0"/>
    <x v="1"/>
    <s v="Laptops"/>
    <s v="Ultrabook"/>
    <n v="3"/>
    <n v="1512.8"/>
    <n v="0.15"/>
    <n v="3857.64"/>
    <n v="3093.99"/>
    <n v="763.65"/>
    <s v="Debit Card"/>
  </r>
  <r>
    <s v="ORD-02201"/>
    <x v="56"/>
    <x v="2"/>
    <s v="Massachusetts"/>
    <s v="Boston"/>
    <s v="Jordan Lee"/>
    <x v="0"/>
    <x v="0"/>
    <s v="Pens"/>
    <s v="Gel Pens"/>
    <n v="3"/>
    <n v="24.06"/>
    <n v="0.05"/>
    <n v="68.569999999999993"/>
    <n v="43.52"/>
    <n v="25.05"/>
    <s v="Credit Card"/>
  </r>
  <r>
    <s v="ORD-01602"/>
    <x v="57"/>
    <x v="3"/>
    <s v="Indiana"/>
    <s v="Evansville"/>
    <s v="Avery Johnson"/>
    <x v="0"/>
    <x v="2"/>
    <s v="Desks"/>
    <s v="Executive Desk"/>
    <n v="4"/>
    <n v="847.17"/>
    <n v="0.05"/>
    <n v="3219.25"/>
    <n v="2178.67"/>
    <n v="1040.58"/>
    <s v="Bank Transfer"/>
  </r>
  <r>
    <s v="ORD-01425"/>
    <x v="57"/>
    <x v="0"/>
    <s v="California"/>
    <s v="San Jose"/>
    <s v="Jordan Lee"/>
    <x v="2"/>
    <x v="0"/>
    <s v="Pens"/>
    <s v="Fine Tip Pens"/>
    <n v="9"/>
    <n v="20.62"/>
    <n v="0"/>
    <n v="185.58"/>
    <n v="105.56"/>
    <n v="80.02"/>
    <s v="Credit Card"/>
  </r>
  <r>
    <s v="ORD-01932"/>
    <x v="57"/>
    <x v="0"/>
    <s v="Colorado"/>
    <s v="Boulder"/>
    <s v="Jordan Lee"/>
    <x v="0"/>
    <x v="0"/>
    <s v="Paper"/>
    <s v="Premium Paper"/>
    <n v="6"/>
    <n v="30.16"/>
    <n v="0.05"/>
    <n v="171.91"/>
    <n v="104.93"/>
    <n v="66.98"/>
    <s v="Debit Card"/>
  </r>
  <r>
    <s v="ORD-00153"/>
    <x v="57"/>
    <x v="2"/>
    <s v="New Jersey"/>
    <s v="Jersey City"/>
    <s v="Casey Brown"/>
    <x v="1"/>
    <x v="1"/>
    <s v="Keyboards"/>
    <s v="Mechanical Keyboard"/>
    <n v="8"/>
    <n v="157.80000000000001"/>
    <n v="0.1"/>
    <n v="1136.1600000000001"/>
    <n v="735.3"/>
    <n v="400.86"/>
    <s v="PayPal"/>
  </r>
  <r>
    <s v="ORD-02240"/>
    <x v="57"/>
    <x v="2"/>
    <s v="New York"/>
    <s v="Buffalo"/>
    <s v="Cameron Clark"/>
    <x v="1"/>
    <x v="1"/>
    <s v="Laptops"/>
    <s v="Workstation Laptop"/>
    <n v="8"/>
    <n v="1404.13"/>
    <n v="0.15"/>
    <n v="9548.08"/>
    <n v="6085.34"/>
    <n v="3462.74"/>
    <s v="Debit Card"/>
  </r>
  <r>
    <s v="ORD-01591"/>
    <x v="57"/>
    <x v="0"/>
    <s v="California"/>
    <s v="San Diego"/>
    <s v="Morgan Davis"/>
    <x v="2"/>
    <x v="1"/>
    <s v="Headsets"/>
    <s v="Noise-Canceling Headset"/>
    <n v="3"/>
    <n v="217.64"/>
    <n v="0.05"/>
    <n v="620.27"/>
    <n v="461.55"/>
    <n v="158.72"/>
    <s v="Bank Transfer"/>
  </r>
  <r>
    <s v="ORD-01490"/>
    <x v="57"/>
    <x v="2"/>
    <s v="Pennsylvania"/>
    <s v="Philadelphia"/>
    <s v="Drew Anderson"/>
    <x v="2"/>
    <x v="1"/>
    <s v="Laptops"/>
    <s v="Business Laptop"/>
    <n v="7"/>
    <n v="888.45"/>
    <n v="0.1"/>
    <n v="5597.24"/>
    <n v="4349.8599999999997"/>
    <n v="1247.3800000000001"/>
    <s v="PayPal"/>
  </r>
  <r>
    <s v="ORD-02411"/>
    <x v="57"/>
    <x v="3"/>
    <s v="Michigan"/>
    <s v="Grand Rapids"/>
    <s v="Riley Wilson"/>
    <x v="2"/>
    <x v="2"/>
    <s v="Tables"/>
    <s v="Side Table"/>
    <n v="1"/>
    <n v="372.85"/>
    <n v="0.15"/>
    <n v="316.92"/>
    <n v="174.41"/>
    <n v="142.51"/>
    <s v="PayPal"/>
  </r>
  <r>
    <s v="ORD-00904"/>
    <x v="57"/>
    <x v="3"/>
    <s v="Minnesota"/>
    <s v="St. Paul"/>
    <s v="Drew Anderson"/>
    <x v="0"/>
    <x v="0"/>
    <s v="Binders"/>
    <s v="Heavy-Duty Binder"/>
    <n v="3"/>
    <n v="21.2"/>
    <n v="0.15"/>
    <n v="54.06"/>
    <n v="35.11"/>
    <n v="18.95"/>
    <s v="Bank Transfer"/>
  </r>
  <r>
    <s v="ORD-01256"/>
    <x v="58"/>
    <x v="1"/>
    <s v="Florida"/>
    <s v="Tampa"/>
    <s v="Drew Anderson"/>
    <x v="2"/>
    <x v="0"/>
    <s v="Paper"/>
    <s v="Premium Paper"/>
    <n v="3"/>
    <n v="21.89"/>
    <n v="0.15"/>
    <n v="55.82"/>
    <n v="40.31"/>
    <n v="15.51"/>
    <s v="Debit Card"/>
  </r>
  <r>
    <s v="ORD-02723"/>
    <x v="58"/>
    <x v="0"/>
    <s v="Oregon"/>
    <s v="Salem"/>
    <s v="Drew Anderson"/>
    <x v="0"/>
    <x v="1"/>
    <s v="Keyboards"/>
    <s v="Wireless Keyboard"/>
    <n v="3"/>
    <n v="110.96"/>
    <n v="0"/>
    <n v="332.88"/>
    <n v="269.29000000000002"/>
    <n v="63.59"/>
    <s v="Debit Card"/>
  </r>
  <r>
    <s v="ORD-01439"/>
    <x v="58"/>
    <x v="0"/>
    <s v="Arizona"/>
    <s v="Mesa"/>
    <s v="Drew Anderson"/>
    <x v="2"/>
    <x v="2"/>
    <s v="Bookcases"/>
    <s v="3-Shelf Bookcase"/>
    <n v="1"/>
    <n v="457.28"/>
    <n v="0.1"/>
    <n v="411.55"/>
    <n v="258.81"/>
    <n v="152.74"/>
    <s v="Debit Card"/>
  </r>
  <r>
    <s v="ORD-02794"/>
    <x v="58"/>
    <x v="2"/>
    <s v="New York"/>
    <s v="Buffalo"/>
    <s v="Drew Anderson"/>
    <x v="0"/>
    <x v="2"/>
    <s v="Tables"/>
    <s v="Conference Table"/>
    <n v="4"/>
    <n v="769.29"/>
    <n v="0.1"/>
    <n v="2769.44"/>
    <n v="2174.13"/>
    <n v="595.30999999999995"/>
    <s v="Credit Card"/>
  </r>
  <r>
    <s v="ORD-00287"/>
    <x v="58"/>
    <x v="2"/>
    <s v="New Jersey"/>
    <s v="Newark"/>
    <s v="Cameron Clark"/>
    <x v="1"/>
    <x v="1"/>
    <s v="Keyboards"/>
    <s v="Mechanical Keyboard"/>
    <n v="9"/>
    <n v="72.69"/>
    <n v="0.2"/>
    <n v="523.37"/>
    <n v="362.74"/>
    <n v="160.63"/>
    <s v="PayPal"/>
  </r>
  <r>
    <s v="ORD-00766"/>
    <x v="58"/>
    <x v="3"/>
    <s v="Illinois"/>
    <s v="Springfield"/>
    <s v="Taylor Smith"/>
    <x v="2"/>
    <x v="0"/>
    <s v="Binders"/>
    <s v="Heavy-Duty Binder"/>
    <n v="10"/>
    <n v="17.23"/>
    <n v="0"/>
    <n v="172.3"/>
    <n v="122.88"/>
    <n v="49.42"/>
    <s v="PayPal"/>
  </r>
  <r>
    <s v="ORD-01859"/>
    <x v="58"/>
    <x v="3"/>
    <s v="Minnesota"/>
    <s v="St. Paul"/>
    <s v="Casey Brown"/>
    <x v="2"/>
    <x v="1"/>
    <s v="Keyboards"/>
    <s v="Mechanical Keyboard"/>
    <n v="1"/>
    <n v="141.76"/>
    <n v="0.05"/>
    <n v="134.66999999999999"/>
    <n v="83.15"/>
    <n v="51.52"/>
    <s v="Credit Card"/>
  </r>
  <r>
    <s v="ORD-00171"/>
    <x v="58"/>
    <x v="0"/>
    <s v="Arizona"/>
    <s v="Mesa"/>
    <s v="Casey Brown"/>
    <x v="2"/>
    <x v="2"/>
    <s v="Bookcases"/>
    <s v="5-Shelf Bookcase"/>
    <n v="7"/>
    <n v="298.75"/>
    <n v="0.05"/>
    <n v="1986.69"/>
    <n v="1450.24"/>
    <n v="536.45000000000005"/>
    <s v="Bank Transfer"/>
  </r>
  <r>
    <s v="ORD-00968"/>
    <x v="58"/>
    <x v="1"/>
    <s v="North Carolina"/>
    <s v="Charlotte"/>
    <s v="Riley Wilson"/>
    <x v="0"/>
    <x v="0"/>
    <s v="Printers"/>
    <s v="Laser Printer"/>
    <n v="10"/>
    <n v="536.91999999999996"/>
    <n v="0.1"/>
    <n v="4832.28"/>
    <n v="3235.02"/>
    <n v="1597.26"/>
    <s v="Bank Transfer"/>
  </r>
  <r>
    <s v="ORD-02994"/>
    <x v="58"/>
    <x v="1"/>
    <s v="Virginia"/>
    <s v="Richmond"/>
    <s v="Drew Anderson"/>
    <x v="1"/>
    <x v="2"/>
    <s v="Chairs"/>
    <s v="Executive Chair"/>
    <n v="6"/>
    <n v="641"/>
    <n v="0.1"/>
    <n v="3461.4"/>
    <n v="2063.46"/>
    <n v="1397.94"/>
    <s v="Credit Card"/>
  </r>
  <r>
    <s v="ORD-01079"/>
    <x v="59"/>
    <x v="1"/>
    <s v="Georgia"/>
    <s v="Savannah"/>
    <s v="Alex Morgan"/>
    <x v="2"/>
    <x v="0"/>
    <s v="Printers"/>
    <s v="Color Printer"/>
    <n v="8"/>
    <n v="440.63"/>
    <n v="0"/>
    <n v="3525.04"/>
    <n v="2462.48"/>
    <n v="1062.56"/>
    <s v="Debit Card"/>
  </r>
  <r>
    <s v="ORD-01663"/>
    <x v="59"/>
    <x v="0"/>
    <s v="California"/>
    <s v="San Jose"/>
    <s v="Jamie Miller"/>
    <x v="1"/>
    <x v="0"/>
    <s v="Pens"/>
    <s v="Ballpoint Pens"/>
    <n v="9"/>
    <n v="22.62"/>
    <n v="0.15"/>
    <n v="173.04"/>
    <n v="141.19"/>
    <n v="31.85"/>
    <s v="PayPal"/>
  </r>
  <r>
    <s v="ORD-00723"/>
    <x v="59"/>
    <x v="0"/>
    <s v="California"/>
    <s v="San Diego"/>
    <s v="Morgan Davis"/>
    <x v="2"/>
    <x v="2"/>
    <s v="Chairs"/>
    <s v="Ergonomic Chair"/>
    <n v="8"/>
    <n v="400.41"/>
    <n v="0"/>
    <n v="3203.28"/>
    <n v="2408.34"/>
    <n v="794.94"/>
    <s v="Credit Card"/>
  </r>
  <r>
    <s v="ORD-02023"/>
    <x v="59"/>
    <x v="1"/>
    <s v="Texas"/>
    <s v="Dallas"/>
    <s v="Alex Morgan"/>
    <x v="0"/>
    <x v="1"/>
    <s v="Monitors"/>
    <s v="34in Monitor"/>
    <n v="8"/>
    <n v="209.08"/>
    <n v="0"/>
    <n v="1672.64"/>
    <n v="1331.64"/>
    <n v="341"/>
    <s v="Bank Transfer"/>
  </r>
  <r>
    <s v="ORD-01171"/>
    <x v="59"/>
    <x v="0"/>
    <s v="Oregon"/>
    <s v="Eugene"/>
    <s v="Casey Brown"/>
    <x v="0"/>
    <x v="0"/>
    <s v="Printers"/>
    <s v="Color Printer"/>
    <n v="7"/>
    <n v="281.02"/>
    <n v="0"/>
    <n v="1967.14"/>
    <n v="1422.09"/>
    <n v="545.04999999999995"/>
    <s v="Bank Transfer"/>
  </r>
  <r>
    <s v="ORD-01212"/>
    <x v="59"/>
    <x v="0"/>
    <s v="Colorado"/>
    <s v="Colorado Springs"/>
    <s v="Jordan Lee"/>
    <x v="0"/>
    <x v="0"/>
    <s v="Paper"/>
    <s v="Premium Paper"/>
    <n v="7"/>
    <n v="12.13"/>
    <n v="0.05"/>
    <n v="80.66"/>
    <n v="64.459999999999994"/>
    <n v="16.2"/>
    <s v="Debit Card"/>
  </r>
  <r>
    <s v="ORD-02430"/>
    <x v="59"/>
    <x v="3"/>
    <s v="Minnesota"/>
    <s v="Minneapolis"/>
    <s v="Morgan Davis"/>
    <x v="1"/>
    <x v="1"/>
    <s v="Monitors"/>
    <s v="24in Monitor"/>
    <n v="2"/>
    <n v="472.78"/>
    <n v="0"/>
    <n v="945.56"/>
    <n v="674.94"/>
    <n v="270.62"/>
    <s v="Bank Transfer"/>
  </r>
  <r>
    <s v="ORD-02581"/>
    <x v="59"/>
    <x v="1"/>
    <s v="Florida"/>
    <s v="Orlando"/>
    <s v="Morgan Davis"/>
    <x v="1"/>
    <x v="1"/>
    <s v="Keyboards"/>
    <s v="Ergonomic Keyboard"/>
    <n v="3"/>
    <n v="69.52"/>
    <n v="0.15"/>
    <n v="177.28"/>
    <n v="123.26"/>
    <n v="54.02"/>
    <s v="Debit Card"/>
  </r>
  <r>
    <s v="ORD-02489"/>
    <x v="59"/>
    <x v="0"/>
    <s v="California"/>
    <s v="San Jose"/>
    <s v="Morgan Davis"/>
    <x v="0"/>
    <x v="0"/>
    <s v="Binders"/>
    <s v="Presentation Binder"/>
    <n v="9"/>
    <n v="10.24"/>
    <n v="0"/>
    <n v="92.16"/>
    <n v="62.93"/>
    <n v="29.23"/>
    <s v="Credit Card"/>
  </r>
  <r>
    <s v="ORD-01373"/>
    <x v="59"/>
    <x v="0"/>
    <s v="Arizona"/>
    <s v="Tucson"/>
    <s v="Morgan Davis"/>
    <x v="2"/>
    <x v="2"/>
    <s v="Chairs"/>
    <s v="Executive Chair"/>
    <n v="1"/>
    <n v="556.61"/>
    <n v="0.05"/>
    <n v="528.78"/>
    <n v="381.64"/>
    <n v="147.13999999999999"/>
    <s v="PayPal"/>
  </r>
  <r>
    <s v="ORD-00363"/>
    <x v="60"/>
    <x v="2"/>
    <s v="Massachusetts"/>
    <s v="Worcester"/>
    <s v="Alex Morgan"/>
    <x v="0"/>
    <x v="1"/>
    <s v="Headsets"/>
    <s v="Noise-Canceling Headset"/>
    <n v="6"/>
    <n v="124.91"/>
    <n v="0"/>
    <n v="749.46"/>
    <n v="590.37"/>
    <n v="159.09"/>
    <s v="PayPal"/>
  </r>
  <r>
    <s v="ORD-00361"/>
    <x v="60"/>
    <x v="0"/>
    <s v="Washington"/>
    <s v="Tacoma"/>
    <s v="Drew Anderson"/>
    <x v="2"/>
    <x v="1"/>
    <s v="Monitors"/>
    <s v="27in Monitor"/>
    <n v="7"/>
    <n v="698.63"/>
    <n v="0.1"/>
    <n v="4401.37"/>
    <n v="3353.35"/>
    <n v="1048.02"/>
    <s v="Bank Transfer"/>
  </r>
  <r>
    <s v="ORD-01000"/>
    <x v="60"/>
    <x v="3"/>
    <s v="Michigan"/>
    <s v="Detroit"/>
    <s v="Casey Brown"/>
    <x v="1"/>
    <x v="2"/>
    <s v="Tables"/>
    <s v="Conference Table"/>
    <n v="9"/>
    <n v="309.33999999999997"/>
    <n v="0.1"/>
    <n v="2505.65"/>
    <n v="1395.51"/>
    <n v="1110.1400000000001"/>
    <s v="Bank Transfer"/>
  </r>
  <r>
    <s v="ORD-02380"/>
    <x v="60"/>
    <x v="0"/>
    <s v="Washington"/>
    <s v="Seattle"/>
    <s v="Alex Morgan"/>
    <x v="0"/>
    <x v="0"/>
    <s v="Printers"/>
    <s v="All-in-One Printer"/>
    <n v="3"/>
    <n v="587.99"/>
    <n v="0.05"/>
    <n v="1675.77"/>
    <n v="977.03"/>
    <n v="698.74"/>
    <s v="Bank Transfer"/>
  </r>
  <r>
    <s v="ORD-02921"/>
    <x v="60"/>
    <x v="2"/>
    <s v="Pennsylvania"/>
    <s v="Allentown"/>
    <s v="Jordan Lee"/>
    <x v="2"/>
    <x v="1"/>
    <s v="Monitors"/>
    <s v="27in Monitor"/>
    <n v="1"/>
    <n v="536.41999999999996"/>
    <n v="0"/>
    <n v="536.41999999999996"/>
    <n v="366.23"/>
    <n v="170.19"/>
    <s v="Credit Card"/>
  </r>
  <r>
    <s v="ORD-02662"/>
    <x v="60"/>
    <x v="1"/>
    <s v="Virginia"/>
    <s v="Richmond"/>
    <s v="Cameron Clark"/>
    <x v="2"/>
    <x v="2"/>
    <s v="Chairs"/>
    <s v="Executive Chair"/>
    <n v="5"/>
    <n v="303.7"/>
    <n v="0.05"/>
    <n v="1442.58"/>
    <n v="1129.78"/>
    <n v="312.8"/>
    <s v="Debit Card"/>
  </r>
  <r>
    <s v="ORD-01031"/>
    <x v="61"/>
    <x v="3"/>
    <s v="Minnesota"/>
    <s v="St. Paul"/>
    <s v="Drew Anderson"/>
    <x v="0"/>
    <x v="0"/>
    <s v="Pens"/>
    <s v="Ballpoint Pens"/>
    <n v="9"/>
    <n v="19.5"/>
    <n v="0.15"/>
    <n v="149.16999999999999"/>
    <n v="85.31"/>
    <n v="63.86"/>
    <s v="PayPal"/>
  </r>
  <r>
    <s v="ORD-02097"/>
    <x v="61"/>
    <x v="1"/>
    <s v="Virginia"/>
    <s v="Arlington"/>
    <s v="Riley Wilson"/>
    <x v="0"/>
    <x v="0"/>
    <s v="Pens"/>
    <s v="Ballpoint Pens"/>
    <n v="5"/>
    <n v="19.649999999999999"/>
    <n v="0.05"/>
    <n v="93.34"/>
    <n v="62.61"/>
    <n v="30.73"/>
    <s v="Debit Card"/>
  </r>
  <r>
    <s v="ORD-00359"/>
    <x v="61"/>
    <x v="2"/>
    <s v="Pennsylvania"/>
    <s v="Allentown"/>
    <s v="Riley Wilson"/>
    <x v="2"/>
    <x v="0"/>
    <s v="Binders"/>
    <s v="Presentation Binder"/>
    <n v="10"/>
    <n v="19.899999999999999"/>
    <n v="0.1"/>
    <n v="179.1"/>
    <n v="135.04"/>
    <n v="44.06"/>
    <s v="Credit Card"/>
  </r>
  <r>
    <s v="ORD-01566"/>
    <x v="61"/>
    <x v="3"/>
    <s v="Indiana"/>
    <s v="Fort Wayne"/>
    <s v="Alex Morgan"/>
    <x v="0"/>
    <x v="0"/>
    <s v="Paper"/>
    <s v="Copy Paper"/>
    <n v="7"/>
    <n v="30.78"/>
    <n v="0.05"/>
    <n v="204.69"/>
    <n v="133.86000000000001"/>
    <n v="70.83"/>
    <s v="Credit Card"/>
  </r>
  <r>
    <s v="ORD-02009"/>
    <x v="61"/>
    <x v="2"/>
    <s v="Massachusetts"/>
    <s v="Springfield"/>
    <s v="Morgan Davis"/>
    <x v="0"/>
    <x v="0"/>
    <s v="Printers"/>
    <s v="Color Printer"/>
    <n v="5"/>
    <n v="396.16"/>
    <n v="0.05"/>
    <n v="1881.76"/>
    <n v="1035.83"/>
    <n v="845.93"/>
    <s v="Credit Card"/>
  </r>
  <r>
    <s v="ORD-00855"/>
    <x v="61"/>
    <x v="3"/>
    <s v="Illinois"/>
    <s v="Springfield"/>
    <s v="Drew Anderson"/>
    <x v="2"/>
    <x v="2"/>
    <s v="Desks"/>
    <s v="Standing Desk"/>
    <n v="10"/>
    <n v="791.4"/>
    <n v="0.05"/>
    <n v="7518.3"/>
    <n v="5571.71"/>
    <n v="1946.59"/>
    <s v="Bank Transfer"/>
  </r>
  <r>
    <s v="ORD-01609"/>
    <x v="61"/>
    <x v="1"/>
    <s v="North Carolina"/>
    <s v="Charlotte"/>
    <s v="Riley Wilson"/>
    <x v="0"/>
    <x v="1"/>
    <s v="Keyboards"/>
    <s v="Ergonomic Keyboard"/>
    <n v="7"/>
    <n v="53.9"/>
    <n v="0.2"/>
    <n v="301.83999999999997"/>
    <n v="244.37"/>
    <n v="57.47"/>
    <s v="Debit Card"/>
  </r>
  <r>
    <s v="ORD-00715"/>
    <x v="61"/>
    <x v="0"/>
    <s v="Washington"/>
    <s v="Seattle"/>
    <s v="Casey Brown"/>
    <x v="2"/>
    <x v="0"/>
    <s v="Printers"/>
    <s v="Color Printer"/>
    <n v="6"/>
    <n v="521.84"/>
    <n v="0.1"/>
    <n v="2817.94"/>
    <n v="2042.68"/>
    <n v="775.26"/>
    <s v="PayPal"/>
  </r>
  <r>
    <s v="ORD-01984"/>
    <x v="61"/>
    <x v="3"/>
    <s v="Michigan"/>
    <s v="Grand Rapids"/>
    <s v="Taylor Smith"/>
    <x v="0"/>
    <x v="0"/>
    <s v="Paper"/>
    <s v="Premium Paper"/>
    <n v="3"/>
    <n v="14.43"/>
    <n v="0.05"/>
    <n v="41.13"/>
    <n v="22.68"/>
    <n v="18.45"/>
    <s v="PayPal"/>
  </r>
  <r>
    <s v="ORD-00744"/>
    <x v="62"/>
    <x v="2"/>
    <s v="Vermont"/>
    <s v="Rutland"/>
    <s v="Casey Brown"/>
    <x v="2"/>
    <x v="0"/>
    <s v="Paper"/>
    <s v="Recycled Paper"/>
    <n v="7"/>
    <n v="20.3"/>
    <n v="0.15"/>
    <n v="120.78"/>
    <n v="95.52"/>
    <n v="25.26"/>
    <s v="Credit Card"/>
  </r>
  <r>
    <s v="ORD-00336"/>
    <x v="62"/>
    <x v="0"/>
    <s v="Washington"/>
    <s v="Seattle"/>
    <s v="Jordan Lee"/>
    <x v="2"/>
    <x v="0"/>
    <s v="Pens"/>
    <s v="Fine Tip Pens"/>
    <n v="2"/>
    <n v="10.85"/>
    <n v="0.05"/>
    <n v="20.62"/>
    <n v="12.22"/>
    <n v="8.4"/>
    <s v="Bank Transfer"/>
  </r>
  <r>
    <s v="ORD-00737"/>
    <x v="62"/>
    <x v="0"/>
    <s v="California"/>
    <s v="Los Angeles"/>
    <s v="Alex Morgan"/>
    <x v="1"/>
    <x v="2"/>
    <s v="Desks"/>
    <s v="Executive Desk"/>
    <n v="5"/>
    <n v="294.60000000000002"/>
    <n v="0.05"/>
    <n v="1399.35"/>
    <n v="1052.81"/>
    <n v="346.54"/>
    <s v="Credit Card"/>
  </r>
  <r>
    <s v="ORD-01208"/>
    <x v="62"/>
    <x v="1"/>
    <s v="North Carolina"/>
    <s v="Charlotte"/>
    <s v="Cameron Clark"/>
    <x v="1"/>
    <x v="1"/>
    <s v="Keyboards"/>
    <s v="Ergonomic Keyboard"/>
    <n v="10"/>
    <n v="30.08"/>
    <n v="0.15"/>
    <n v="255.68"/>
    <n v="171.01"/>
    <n v="84.67"/>
    <s v="PayPal"/>
  </r>
  <r>
    <s v="ORD-02189"/>
    <x v="62"/>
    <x v="1"/>
    <s v="Texas"/>
    <s v="Houston"/>
    <s v="Alex Morgan"/>
    <x v="0"/>
    <x v="1"/>
    <s v="Headsets"/>
    <s v="Noise-Canceling Headset"/>
    <n v="3"/>
    <n v="146.13999999999999"/>
    <n v="0"/>
    <n v="438.42"/>
    <n v="348.06"/>
    <n v="90.36"/>
    <s v="Debit Card"/>
  </r>
  <r>
    <s v="ORD-02064"/>
    <x v="62"/>
    <x v="0"/>
    <s v="Oregon"/>
    <s v="Eugene"/>
    <s v="Casey Brown"/>
    <x v="0"/>
    <x v="1"/>
    <s v="Keyboards"/>
    <s v="Mechanical Keyboard"/>
    <n v="7"/>
    <n v="67.83"/>
    <n v="0"/>
    <n v="474.81"/>
    <n v="328.95"/>
    <n v="145.86000000000001"/>
    <s v="Credit Card"/>
  </r>
  <r>
    <s v="ORD-01166"/>
    <x v="62"/>
    <x v="1"/>
    <s v="North Carolina"/>
    <s v="Durham"/>
    <s v="Morgan Davis"/>
    <x v="1"/>
    <x v="1"/>
    <s v="Keyboards"/>
    <s v="Ergonomic Keyboard"/>
    <n v="6"/>
    <n v="177.64"/>
    <n v="0"/>
    <n v="1065.8399999999999"/>
    <n v="599.80999999999995"/>
    <n v="466.03"/>
    <s v="Debit Card"/>
  </r>
  <r>
    <s v="ORD-01001"/>
    <x v="62"/>
    <x v="1"/>
    <s v="Virginia"/>
    <s v="Norfolk"/>
    <s v="Riley Wilson"/>
    <x v="2"/>
    <x v="1"/>
    <s v="Headsets"/>
    <s v="Wireless Headset"/>
    <n v="4"/>
    <n v="176.54"/>
    <n v="0.1"/>
    <n v="635.54"/>
    <n v="473.38"/>
    <n v="162.16"/>
    <s v="PayPal"/>
  </r>
  <r>
    <s v="ORD-00421"/>
    <x v="62"/>
    <x v="1"/>
    <s v="Virginia"/>
    <s v="Richmond"/>
    <s v="Morgan Davis"/>
    <x v="0"/>
    <x v="1"/>
    <s v="Laptops"/>
    <s v="Workstation Laptop"/>
    <n v="2"/>
    <n v="1227.8900000000001"/>
    <n v="0.15"/>
    <n v="2087.41"/>
    <n v="1183.3900000000001"/>
    <n v="904.02"/>
    <s v="PayPal"/>
  </r>
  <r>
    <s v="ORD-00617"/>
    <x v="63"/>
    <x v="2"/>
    <s v="New Jersey"/>
    <s v="Newark"/>
    <s v="Jamie Miller"/>
    <x v="0"/>
    <x v="2"/>
    <s v="Desks"/>
    <s v="Work Desk"/>
    <n v="10"/>
    <n v="529.91"/>
    <n v="0.2"/>
    <n v="4239.28"/>
    <n v="2738.09"/>
    <n v="1501.19"/>
    <s v="Debit Card"/>
  </r>
  <r>
    <s v="ORD-02448"/>
    <x v="63"/>
    <x v="3"/>
    <s v="Illinois"/>
    <s v="Springfield"/>
    <s v="Casey Brown"/>
    <x v="0"/>
    <x v="0"/>
    <s v="Paper"/>
    <s v="Recycled Paper"/>
    <n v="7"/>
    <n v="34.97"/>
    <n v="0.05"/>
    <n v="232.55"/>
    <n v="168.03"/>
    <n v="64.52"/>
    <s v="PayPal"/>
  </r>
  <r>
    <s v="ORD-02437"/>
    <x v="63"/>
    <x v="1"/>
    <s v="Texas"/>
    <s v="Austin"/>
    <s v="Jordan Lee"/>
    <x v="0"/>
    <x v="0"/>
    <s v="Printers"/>
    <s v="Color Printer"/>
    <n v="9"/>
    <n v="523.25"/>
    <n v="0.15"/>
    <n v="4002.86"/>
    <n v="2215.15"/>
    <n v="1787.71"/>
    <s v="Credit Card"/>
  </r>
  <r>
    <s v="ORD-01372"/>
    <x v="63"/>
    <x v="3"/>
    <s v="Ohio"/>
    <s v="Columbus"/>
    <s v="Jordan Lee"/>
    <x v="1"/>
    <x v="2"/>
    <s v="Desks"/>
    <s v="Work Desk"/>
    <n v="9"/>
    <n v="501.8"/>
    <n v="0.15"/>
    <n v="3838.77"/>
    <n v="2186.2199999999998"/>
    <n v="1652.55"/>
    <s v="Credit Card"/>
  </r>
  <r>
    <s v="ORD-00128"/>
    <x v="63"/>
    <x v="2"/>
    <s v="Pennsylvania"/>
    <s v="Allentown"/>
    <s v="Jordan Lee"/>
    <x v="2"/>
    <x v="1"/>
    <s v="Headsets"/>
    <s v="USB Headset"/>
    <n v="7"/>
    <n v="232.94"/>
    <n v="0.05"/>
    <n v="1549.05"/>
    <n v="1065.42"/>
    <n v="483.63"/>
    <s v="Debit Card"/>
  </r>
  <r>
    <s v="ORD-01946"/>
    <x v="63"/>
    <x v="0"/>
    <s v="Arizona"/>
    <s v="Phoenix"/>
    <s v="Jordan Lee"/>
    <x v="2"/>
    <x v="2"/>
    <s v="Desks"/>
    <s v="Work Desk"/>
    <n v="9"/>
    <n v="583.70000000000005"/>
    <n v="0.1"/>
    <n v="4727.97"/>
    <n v="3843.94"/>
    <n v="884.03"/>
    <s v="Credit Card"/>
  </r>
  <r>
    <s v="ORD-00079"/>
    <x v="63"/>
    <x v="3"/>
    <s v="Minnesota"/>
    <s v="St. Paul"/>
    <s v="Jamie Miller"/>
    <x v="0"/>
    <x v="1"/>
    <s v="Monitors"/>
    <s v="27in Monitor"/>
    <n v="10"/>
    <n v="642.04"/>
    <n v="0.05"/>
    <n v="6099.38"/>
    <n v="4257.95"/>
    <n v="1841.43"/>
    <s v="Credit Card"/>
  </r>
  <r>
    <s v="ORD-01608"/>
    <x v="63"/>
    <x v="2"/>
    <s v="Massachusetts"/>
    <s v="Springfield"/>
    <s v="Alex Morgan"/>
    <x v="2"/>
    <x v="1"/>
    <s v="Laptops"/>
    <s v="Business Laptop"/>
    <n v="3"/>
    <n v="1548.93"/>
    <n v="0.05"/>
    <n v="4414.45"/>
    <n v="3245.7"/>
    <n v="1168.75"/>
    <s v="PayPal"/>
  </r>
  <r>
    <s v="ORD-01536"/>
    <x v="63"/>
    <x v="1"/>
    <s v="Texas"/>
    <s v="Houston"/>
    <s v="Morgan Davis"/>
    <x v="2"/>
    <x v="1"/>
    <s v="Laptops"/>
    <s v="Ultrabook"/>
    <n v="9"/>
    <n v="1302.71"/>
    <n v="0.05"/>
    <n v="11138.17"/>
    <n v="8037.56"/>
    <n v="3100.61"/>
    <s v="PayPal"/>
  </r>
  <r>
    <s v="ORD-01468"/>
    <x v="63"/>
    <x v="1"/>
    <s v="Georgia"/>
    <s v="Savannah"/>
    <s v="Taylor Smith"/>
    <x v="2"/>
    <x v="2"/>
    <s v="Chairs"/>
    <s v="Executive Chair"/>
    <n v="9"/>
    <n v="517.47"/>
    <n v="0.1"/>
    <n v="4191.51"/>
    <n v="3051.68"/>
    <n v="1139.83"/>
    <s v="Debit Card"/>
  </r>
  <r>
    <s v="ORD-01928"/>
    <x v="64"/>
    <x v="3"/>
    <s v="Minnesota"/>
    <s v="St. Paul"/>
    <s v="Jordan Lee"/>
    <x v="0"/>
    <x v="0"/>
    <s v="Pens"/>
    <s v="Ballpoint Pens"/>
    <n v="5"/>
    <n v="15.2"/>
    <n v="0.1"/>
    <n v="68.400000000000006"/>
    <n v="47.25"/>
    <n v="21.15"/>
    <s v="Bank Transfer"/>
  </r>
  <r>
    <s v="ORD-02239"/>
    <x v="64"/>
    <x v="0"/>
    <s v="Washington"/>
    <s v="Seattle"/>
    <s v="Alex Morgan"/>
    <x v="0"/>
    <x v="1"/>
    <s v="Monitors"/>
    <s v="24in Monitor"/>
    <n v="9"/>
    <n v="693.62"/>
    <n v="0"/>
    <n v="6242.58"/>
    <n v="3455.73"/>
    <n v="2786.85"/>
    <s v="Bank Transfer"/>
  </r>
  <r>
    <s v="ORD-01038"/>
    <x v="64"/>
    <x v="3"/>
    <s v="Indiana"/>
    <s v="Indianapolis"/>
    <s v="Drew Anderson"/>
    <x v="1"/>
    <x v="2"/>
    <s v="Desks"/>
    <s v="Standing Desk"/>
    <n v="5"/>
    <n v="711.64"/>
    <n v="0"/>
    <n v="3558.2"/>
    <n v="2143.09"/>
    <n v="1415.11"/>
    <s v="Credit Card"/>
  </r>
  <r>
    <s v="ORD-01960"/>
    <x v="64"/>
    <x v="3"/>
    <s v="Illinois"/>
    <s v="Chicago"/>
    <s v="Cameron Clark"/>
    <x v="2"/>
    <x v="1"/>
    <s v="Monitors"/>
    <s v="24in Monitor"/>
    <n v="8"/>
    <n v="461.74"/>
    <n v="0.05"/>
    <n v="3509.22"/>
    <n v="2815.92"/>
    <n v="693.3"/>
    <s v="PayPal"/>
  </r>
  <r>
    <s v="ORD-01122"/>
    <x v="64"/>
    <x v="3"/>
    <s v="Illinois"/>
    <s v="Peoria"/>
    <s v="Cameron Clark"/>
    <x v="0"/>
    <x v="1"/>
    <s v="Monitors"/>
    <s v="34in Monitor"/>
    <n v="10"/>
    <n v="543.80999999999995"/>
    <n v="0.05"/>
    <n v="5166.1899999999996"/>
    <n v="3975"/>
    <n v="1191.19"/>
    <s v="Debit Card"/>
  </r>
  <r>
    <s v="ORD-02058"/>
    <x v="64"/>
    <x v="3"/>
    <s v="Illinois"/>
    <s v="Chicago"/>
    <s v="Drew Anderson"/>
    <x v="0"/>
    <x v="1"/>
    <s v="Monitors"/>
    <s v="24in Monitor"/>
    <n v="9"/>
    <n v="262.27"/>
    <n v="0"/>
    <n v="2360.4299999999998"/>
    <n v="1302.02"/>
    <n v="1058.4100000000001"/>
    <s v="PayPal"/>
  </r>
  <r>
    <s v="ORD-01849"/>
    <x v="64"/>
    <x v="2"/>
    <s v="New York"/>
    <s v="Buffalo"/>
    <s v="Jamie Miller"/>
    <x v="0"/>
    <x v="2"/>
    <s v="Tables"/>
    <s v="Side Table"/>
    <n v="3"/>
    <n v="197.93"/>
    <n v="0"/>
    <n v="593.79"/>
    <n v="415.95"/>
    <n v="177.84"/>
    <s v="Debit Card"/>
  </r>
  <r>
    <s v="ORD-01500"/>
    <x v="64"/>
    <x v="3"/>
    <s v="Ohio"/>
    <s v="Columbus"/>
    <s v="Jordan Lee"/>
    <x v="2"/>
    <x v="1"/>
    <s v="Keyboards"/>
    <s v="Mechanical Keyboard"/>
    <n v="5"/>
    <n v="151.38999999999999"/>
    <n v="0.1"/>
    <n v="681.26"/>
    <n v="536.29999999999995"/>
    <n v="144.96"/>
    <s v="PayPal"/>
  </r>
  <r>
    <s v="ORD-00293"/>
    <x v="64"/>
    <x v="2"/>
    <s v="New Jersey"/>
    <s v="Newark"/>
    <s v="Morgan Davis"/>
    <x v="2"/>
    <x v="1"/>
    <s v="Keyboards"/>
    <s v="Mechanical Keyboard"/>
    <n v="6"/>
    <n v="81.97"/>
    <n v="0"/>
    <n v="491.82"/>
    <n v="376.34"/>
    <n v="115.48"/>
    <s v="Bank Transfer"/>
  </r>
  <r>
    <s v="ORD-01846"/>
    <x v="65"/>
    <x v="3"/>
    <s v="Illinois"/>
    <s v="Peoria"/>
    <s v="Avery Johnson"/>
    <x v="1"/>
    <x v="2"/>
    <s v="Bookcases"/>
    <s v="5-Shelf Bookcase"/>
    <n v="6"/>
    <n v="156.88999999999999"/>
    <n v="0.15"/>
    <n v="800.14"/>
    <n v="649.71"/>
    <n v="150.43"/>
    <s v="Credit Card"/>
  </r>
  <r>
    <s v="ORD-00667"/>
    <x v="65"/>
    <x v="1"/>
    <s v="Texas"/>
    <s v="Austin"/>
    <s v="Drew Anderson"/>
    <x v="2"/>
    <x v="1"/>
    <s v="Headsets"/>
    <s v="Wireless Headset"/>
    <n v="9"/>
    <n v="81.69"/>
    <n v="0"/>
    <n v="735.21"/>
    <n v="573.03"/>
    <n v="162.18"/>
    <s v="Bank Transfer"/>
  </r>
  <r>
    <s v="ORD-00218"/>
    <x v="65"/>
    <x v="2"/>
    <s v="Pennsylvania"/>
    <s v="Philadelphia"/>
    <s v="Jordan Lee"/>
    <x v="2"/>
    <x v="1"/>
    <s v="Headsets"/>
    <s v="Wireless Headset"/>
    <n v="2"/>
    <n v="159.91999999999999"/>
    <n v="0"/>
    <n v="319.83999999999997"/>
    <n v="204.39"/>
    <n v="115.45"/>
    <s v="Debit Card"/>
  </r>
  <r>
    <s v="ORD-02645"/>
    <x v="65"/>
    <x v="2"/>
    <s v="Massachusetts"/>
    <s v="Worcester"/>
    <s v="Riley Wilson"/>
    <x v="2"/>
    <x v="1"/>
    <s v="Laptops"/>
    <s v="Business Laptop"/>
    <n v="9"/>
    <n v="792.65"/>
    <n v="0.15"/>
    <n v="6063.77"/>
    <n v="3603.86"/>
    <n v="2459.91"/>
    <s v="Debit Card"/>
  </r>
  <r>
    <s v="ORD-01623"/>
    <x v="65"/>
    <x v="1"/>
    <s v="Texas"/>
    <s v="Houston"/>
    <s v="Cameron Clark"/>
    <x v="2"/>
    <x v="0"/>
    <s v="Pens"/>
    <s v="Fine Tip Pens"/>
    <n v="6"/>
    <n v="5.13"/>
    <n v="0.1"/>
    <n v="27.7"/>
    <n v="22.12"/>
    <n v="5.58"/>
    <s v="PayPal"/>
  </r>
  <r>
    <s v="ORD-00916"/>
    <x v="65"/>
    <x v="1"/>
    <s v="Texas"/>
    <s v="Austin"/>
    <s v="Drew Anderson"/>
    <x v="2"/>
    <x v="0"/>
    <s v="Binders"/>
    <s v="Heavy-Duty Binder"/>
    <n v="3"/>
    <n v="29.5"/>
    <n v="0.05"/>
    <n v="84.08"/>
    <n v="52.9"/>
    <n v="31.18"/>
    <s v="PayPal"/>
  </r>
  <r>
    <s v="ORD-00544"/>
    <x v="65"/>
    <x v="1"/>
    <s v="Florida"/>
    <s v="Tampa"/>
    <s v="Riley Wilson"/>
    <x v="0"/>
    <x v="1"/>
    <s v="Laptops"/>
    <s v="Business Laptop"/>
    <n v="5"/>
    <n v="1397.59"/>
    <n v="0.1"/>
    <n v="6289.16"/>
    <n v="4415.5200000000004"/>
    <n v="1873.64"/>
    <s v="Credit Card"/>
  </r>
  <r>
    <s v="ORD-00828"/>
    <x v="65"/>
    <x v="1"/>
    <s v="Florida"/>
    <s v="Miami"/>
    <s v="Jordan Lee"/>
    <x v="0"/>
    <x v="1"/>
    <s v="Headsets"/>
    <s v="Wireless Headset"/>
    <n v="4"/>
    <n v="227.84"/>
    <n v="0.1"/>
    <n v="820.22"/>
    <n v="511.74"/>
    <n v="308.48"/>
    <s v="PayPal"/>
  </r>
  <r>
    <s v="ORD-00722"/>
    <x v="65"/>
    <x v="3"/>
    <s v="Minnesota"/>
    <s v="Rochester"/>
    <s v="Jamie Miller"/>
    <x v="2"/>
    <x v="2"/>
    <s v="Desks"/>
    <s v="Work Desk"/>
    <n v="1"/>
    <n v="872.83"/>
    <n v="0.05"/>
    <n v="829.19"/>
    <n v="555.4"/>
    <n v="273.79000000000002"/>
    <s v="Bank Transfer"/>
  </r>
  <r>
    <s v="ORD-00797"/>
    <x v="65"/>
    <x v="2"/>
    <s v="Massachusetts"/>
    <s v="Boston"/>
    <s v="Cameron Clark"/>
    <x v="2"/>
    <x v="1"/>
    <s v="Laptops"/>
    <s v="Workstation Laptop"/>
    <n v="3"/>
    <n v="751.16"/>
    <n v="0.1"/>
    <n v="2028.13"/>
    <n v="1552.06"/>
    <n v="476.07"/>
    <s v="Debit Card"/>
  </r>
  <r>
    <s v="ORD-01977"/>
    <x v="66"/>
    <x v="3"/>
    <s v="Indiana"/>
    <s v="Evansville"/>
    <s v="Jordan Lee"/>
    <x v="0"/>
    <x v="0"/>
    <s v="Printers"/>
    <s v="Color Printer"/>
    <n v="2"/>
    <n v="562.36"/>
    <n v="0.2"/>
    <n v="899.78"/>
    <n v="584.02"/>
    <n v="315.76"/>
    <s v="Credit Card"/>
  </r>
  <r>
    <s v="ORD-00182"/>
    <x v="66"/>
    <x v="3"/>
    <s v="Indiana"/>
    <s v="Fort Wayne"/>
    <s v="Casey Brown"/>
    <x v="1"/>
    <x v="0"/>
    <s v="Binders"/>
    <s v="Presentation Binder"/>
    <n v="1"/>
    <n v="21.21"/>
    <n v="0.1"/>
    <n v="19.09"/>
    <n v="11.28"/>
    <n v="7.81"/>
    <s v="Bank Transfer"/>
  </r>
  <r>
    <s v="ORD-00104"/>
    <x v="66"/>
    <x v="0"/>
    <s v="Colorado"/>
    <s v="Colorado Springs"/>
    <s v="Jamie Miller"/>
    <x v="0"/>
    <x v="1"/>
    <s v="Headsets"/>
    <s v="Wireless Headset"/>
    <n v="10"/>
    <n v="116.72"/>
    <n v="0"/>
    <n v="1167.2"/>
    <n v="785.17"/>
    <n v="382.03"/>
    <s v="PayPal"/>
  </r>
  <r>
    <s v="ORD-02986"/>
    <x v="66"/>
    <x v="1"/>
    <s v="North Carolina"/>
    <s v="Durham"/>
    <s v="Alex Morgan"/>
    <x v="0"/>
    <x v="1"/>
    <s v="Headsets"/>
    <s v="USB Headset"/>
    <n v="5"/>
    <n v="188.18"/>
    <n v="0"/>
    <n v="940.9"/>
    <n v="541.70000000000005"/>
    <n v="399.2"/>
    <s v="PayPal"/>
  </r>
  <r>
    <s v="ORD-02980"/>
    <x v="66"/>
    <x v="2"/>
    <s v="Vermont"/>
    <s v="Burlington"/>
    <s v="Morgan Davis"/>
    <x v="2"/>
    <x v="2"/>
    <s v="Desks"/>
    <s v="Standing Desk"/>
    <n v="1"/>
    <n v="741.19"/>
    <n v="0"/>
    <n v="741.19"/>
    <n v="492.02"/>
    <n v="249.17"/>
    <s v="PayPal"/>
  </r>
  <r>
    <s v="ORD-02277"/>
    <x v="66"/>
    <x v="0"/>
    <s v="Oregon"/>
    <s v="Salem"/>
    <s v="Drew Anderson"/>
    <x v="0"/>
    <x v="0"/>
    <s v="Pens"/>
    <s v="Ballpoint Pens"/>
    <n v="4"/>
    <n v="16.96"/>
    <n v="0.05"/>
    <n v="64.45"/>
    <n v="43.64"/>
    <n v="20.81"/>
    <s v="Credit Card"/>
  </r>
  <r>
    <s v="ORD-00188"/>
    <x v="67"/>
    <x v="3"/>
    <s v="Ohio"/>
    <s v="Cleveland"/>
    <s v="Drew Anderson"/>
    <x v="2"/>
    <x v="0"/>
    <s v="Pens"/>
    <s v="Ballpoint Pens"/>
    <n v="4"/>
    <n v="16.079999999999998"/>
    <n v="0.15"/>
    <n v="54.67"/>
    <n v="30.89"/>
    <n v="23.78"/>
    <s v="PayPal"/>
  </r>
  <r>
    <s v="ORD-02843"/>
    <x v="67"/>
    <x v="2"/>
    <s v="Pennsylvania"/>
    <s v="Pittsburgh"/>
    <s v="Riley Wilson"/>
    <x v="2"/>
    <x v="0"/>
    <s v="Pens"/>
    <s v="Fine Tip Pens"/>
    <n v="9"/>
    <n v="12.18"/>
    <n v="0.05"/>
    <n v="104.14"/>
    <n v="84.85"/>
    <n v="19.29"/>
    <s v="Bank Transfer"/>
  </r>
  <r>
    <s v="ORD-02791"/>
    <x v="67"/>
    <x v="1"/>
    <s v="Texas"/>
    <s v="Austin"/>
    <s v="Jordan Lee"/>
    <x v="2"/>
    <x v="0"/>
    <s v="Pens"/>
    <s v="Gel Pens"/>
    <n v="4"/>
    <n v="18.309999999999999"/>
    <n v="0.1"/>
    <n v="65.92"/>
    <n v="41.03"/>
    <n v="24.89"/>
    <s v="Credit Card"/>
  </r>
  <r>
    <s v="ORD-02897"/>
    <x v="67"/>
    <x v="1"/>
    <s v="Texas"/>
    <s v="Dallas"/>
    <s v="Alex Morgan"/>
    <x v="0"/>
    <x v="1"/>
    <s v="Headsets"/>
    <s v="Wireless Headset"/>
    <n v="6"/>
    <n v="223.63"/>
    <n v="0"/>
    <n v="1341.78"/>
    <n v="1028.3599999999999"/>
    <n v="313.42"/>
    <s v="PayPal"/>
  </r>
  <r>
    <s v="ORD-02140"/>
    <x v="67"/>
    <x v="1"/>
    <s v="North Carolina"/>
    <s v="Charlotte"/>
    <s v="Jamie Miller"/>
    <x v="2"/>
    <x v="1"/>
    <s v="Monitors"/>
    <s v="27in Monitor"/>
    <n v="3"/>
    <n v="388.68"/>
    <n v="0.1"/>
    <n v="1049.44"/>
    <n v="605.69000000000005"/>
    <n v="443.75"/>
    <s v="Debit Card"/>
  </r>
  <r>
    <s v="ORD-01050"/>
    <x v="67"/>
    <x v="2"/>
    <s v="New York"/>
    <s v="Rochester"/>
    <s v="Jordan Lee"/>
    <x v="2"/>
    <x v="1"/>
    <s v="Laptops"/>
    <s v="Business Laptop"/>
    <n v="5"/>
    <n v="1306.77"/>
    <n v="0.1"/>
    <n v="5880.46"/>
    <n v="3613.31"/>
    <n v="2267.15"/>
    <s v="PayPal"/>
  </r>
  <r>
    <s v="ORD-02555"/>
    <x v="67"/>
    <x v="2"/>
    <s v="Massachusetts"/>
    <s v="Worcester"/>
    <s v="Drew Anderson"/>
    <x v="2"/>
    <x v="0"/>
    <s v="Binders"/>
    <s v="Heavy-Duty Binder"/>
    <n v="8"/>
    <n v="20.51"/>
    <n v="0.05"/>
    <n v="155.88"/>
    <n v="120.94"/>
    <n v="34.94"/>
    <s v="PayPal"/>
  </r>
  <r>
    <s v="ORD-02715"/>
    <x v="67"/>
    <x v="1"/>
    <s v="Texas"/>
    <s v="Austin"/>
    <s v="Avery Johnson"/>
    <x v="2"/>
    <x v="0"/>
    <s v="Pens"/>
    <s v="Ballpoint Pens"/>
    <n v="10"/>
    <n v="11.07"/>
    <n v="0.15"/>
    <n v="94.1"/>
    <n v="64.75"/>
    <n v="29.35"/>
    <s v="PayPal"/>
  </r>
  <r>
    <s v="ORD-02783"/>
    <x v="68"/>
    <x v="3"/>
    <s v="Ohio"/>
    <s v="Cleveland"/>
    <s v="Alex Morgan"/>
    <x v="0"/>
    <x v="1"/>
    <s v="Laptops"/>
    <s v="Business Laptop"/>
    <n v="10"/>
    <n v="1609.43"/>
    <n v="0.1"/>
    <n v="14484.87"/>
    <n v="9151.1200000000008"/>
    <n v="5333.75"/>
    <s v="PayPal"/>
  </r>
  <r>
    <s v="ORD-02513"/>
    <x v="68"/>
    <x v="1"/>
    <s v="North Carolina"/>
    <s v="Durham"/>
    <s v="Jamie Miller"/>
    <x v="0"/>
    <x v="2"/>
    <s v="Chairs"/>
    <s v="Ergonomic Chair"/>
    <n v="4"/>
    <n v="236.35"/>
    <n v="0.05"/>
    <n v="898.13"/>
    <n v="516.05999999999995"/>
    <n v="382.07"/>
    <s v="Debit Card"/>
  </r>
  <r>
    <s v="ORD-01924"/>
    <x v="68"/>
    <x v="3"/>
    <s v="Michigan"/>
    <s v="Detroit"/>
    <s v="Drew Anderson"/>
    <x v="0"/>
    <x v="1"/>
    <s v="Keyboards"/>
    <s v="Wireless Keyboard"/>
    <n v="6"/>
    <n v="92.73"/>
    <n v="0"/>
    <n v="556.38"/>
    <n v="387.87"/>
    <n v="168.51"/>
    <s v="Debit Card"/>
  </r>
  <r>
    <s v="ORD-02598"/>
    <x v="68"/>
    <x v="2"/>
    <s v="New York"/>
    <s v="Buffalo"/>
    <s v="Jamie Miller"/>
    <x v="2"/>
    <x v="1"/>
    <s v="Headsets"/>
    <s v="Wireless Headset"/>
    <n v="10"/>
    <n v="232.89"/>
    <n v="0.1"/>
    <n v="2096.0100000000002"/>
    <n v="1624.21"/>
    <n v="471.8"/>
    <s v="Debit Card"/>
  </r>
  <r>
    <s v="ORD-00729"/>
    <x v="68"/>
    <x v="2"/>
    <s v="New York"/>
    <s v="New York City"/>
    <s v="Jordan Lee"/>
    <x v="2"/>
    <x v="0"/>
    <s v="Printers"/>
    <s v="Laser Printer"/>
    <n v="3"/>
    <n v="287.93"/>
    <n v="0.1"/>
    <n v="777.41"/>
    <n v="445.9"/>
    <n v="331.51"/>
    <s v="Bank Transfer"/>
  </r>
  <r>
    <s v="ORD-01100"/>
    <x v="69"/>
    <x v="3"/>
    <s v="Michigan"/>
    <s v="Grand Rapids"/>
    <s v="Riley Wilson"/>
    <x v="2"/>
    <x v="2"/>
    <s v="Chairs"/>
    <s v="Executive Chair"/>
    <n v="8"/>
    <n v="472.33"/>
    <n v="0.1"/>
    <n v="3400.78"/>
    <n v="2326.4"/>
    <n v="1074.3800000000001"/>
    <s v="Bank Transfer"/>
  </r>
  <r>
    <s v="ORD-01288"/>
    <x v="69"/>
    <x v="1"/>
    <s v="Georgia"/>
    <s v="Savannah"/>
    <s v="Morgan Davis"/>
    <x v="0"/>
    <x v="1"/>
    <s v="Keyboards"/>
    <s v="Mechanical Keyboard"/>
    <n v="6"/>
    <n v="161.55000000000001"/>
    <n v="0"/>
    <n v="969.3"/>
    <n v="558.03"/>
    <n v="411.27"/>
    <s v="Credit Card"/>
  </r>
  <r>
    <s v="ORD-00461"/>
    <x v="69"/>
    <x v="1"/>
    <s v="North Carolina"/>
    <s v="Raleigh"/>
    <s v="Cameron Clark"/>
    <x v="2"/>
    <x v="0"/>
    <s v="Printers"/>
    <s v="Color Printer"/>
    <n v="7"/>
    <n v="364.43"/>
    <n v="0.05"/>
    <n v="2423.46"/>
    <n v="1450.37"/>
    <n v="973.09"/>
    <s v="Credit Card"/>
  </r>
  <r>
    <s v="ORD-01637"/>
    <x v="69"/>
    <x v="2"/>
    <s v="New Jersey"/>
    <s v="Trenton"/>
    <s v="Jamie Miller"/>
    <x v="0"/>
    <x v="2"/>
    <s v="Desks"/>
    <s v="Executive Desk"/>
    <n v="7"/>
    <n v="687.34"/>
    <n v="0.05"/>
    <n v="4570.8100000000004"/>
    <n v="3596.27"/>
    <n v="974.54"/>
    <s v="Bank Transfer"/>
  </r>
  <r>
    <s v="ORD-02370"/>
    <x v="69"/>
    <x v="1"/>
    <s v="Florida"/>
    <s v="Tampa"/>
    <s v="Cameron Clark"/>
    <x v="1"/>
    <x v="1"/>
    <s v="Laptops"/>
    <s v="Business Laptop"/>
    <n v="9"/>
    <n v="884.32"/>
    <n v="0.05"/>
    <n v="7560.94"/>
    <n v="5519.96"/>
    <n v="2040.98"/>
    <s v="Debit Card"/>
  </r>
  <r>
    <s v="ORD-00059"/>
    <x v="70"/>
    <x v="3"/>
    <s v="Indiana"/>
    <s v="Evansville"/>
    <s v="Jamie Miller"/>
    <x v="2"/>
    <x v="0"/>
    <s v="Paper"/>
    <s v="Copy Paper"/>
    <n v="10"/>
    <n v="15.04"/>
    <n v="0.2"/>
    <n v="120.32"/>
    <n v="98.41"/>
    <n v="21.91"/>
    <s v="PayPal"/>
  </r>
  <r>
    <s v="ORD-02296"/>
    <x v="70"/>
    <x v="0"/>
    <s v="Colorado"/>
    <s v="Colorado Springs"/>
    <s v="Cameron Clark"/>
    <x v="1"/>
    <x v="1"/>
    <s v="Laptops"/>
    <s v="Ultrabook"/>
    <n v="8"/>
    <n v="961.23"/>
    <n v="0.1"/>
    <n v="6920.86"/>
    <n v="4754.5600000000004"/>
    <n v="2166.3000000000002"/>
    <s v="Credit Card"/>
  </r>
  <r>
    <s v="ORD-01945"/>
    <x v="70"/>
    <x v="2"/>
    <s v="Pennsylvania"/>
    <s v="Philadelphia"/>
    <s v="Avery Johnson"/>
    <x v="0"/>
    <x v="1"/>
    <s v="Keyboards"/>
    <s v="Wireless Keyboard"/>
    <n v="1"/>
    <n v="84.72"/>
    <n v="0.1"/>
    <n v="76.25"/>
    <n v="57.15"/>
    <n v="19.100000000000001"/>
    <s v="Credit Card"/>
  </r>
  <r>
    <s v="ORD-02688"/>
    <x v="70"/>
    <x v="1"/>
    <s v="Virginia"/>
    <s v="Norfolk"/>
    <s v="Casey Brown"/>
    <x v="2"/>
    <x v="1"/>
    <s v="Headsets"/>
    <s v="USB Headset"/>
    <n v="8"/>
    <n v="134.82"/>
    <n v="0.05"/>
    <n v="1024.6300000000001"/>
    <n v="806.32"/>
    <n v="218.31"/>
    <s v="PayPal"/>
  </r>
  <r>
    <s v="ORD-02624"/>
    <x v="70"/>
    <x v="0"/>
    <s v="Oregon"/>
    <s v="Portland"/>
    <s v="Taylor Smith"/>
    <x v="0"/>
    <x v="2"/>
    <s v="Bookcases"/>
    <s v="Storage Bookcase"/>
    <n v="9"/>
    <n v="485.76"/>
    <n v="0"/>
    <n v="4371.84"/>
    <n v="2748.51"/>
    <n v="1623.33"/>
    <s v="PayPal"/>
  </r>
  <r>
    <s v="ORD-02464"/>
    <x v="70"/>
    <x v="1"/>
    <s v="North Carolina"/>
    <s v="Charlotte"/>
    <s v="Avery Johnson"/>
    <x v="0"/>
    <x v="0"/>
    <s v="Printers"/>
    <s v="All-in-One Printer"/>
    <n v="8"/>
    <n v="246.36"/>
    <n v="0"/>
    <n v="1970.88"/>
    <n v="1563.2"/>
    <n v="407.68"/>
    <s v="PayPal"/>
  </r>
  <r>
    <s v="ORD-00506"/>
    <x v="70"/>
    <x v="2"/>
    <s v="Massachusetts"/>
    <s v="Worcester"/>
    <s v="Riley Wilson"/>
    <x v="0"/>
    <x v="0"/>
    <s v="Binders"/>
    <s v="3-Ring Binder"/>
    <n v="4"/>
    <n v="11.34"/>
    <n v="0.2"/>
    <n v="36.29"/>
    <n v="29.5"/>
    <n v="6.79"/>
    <s v="Debit Card"/>
  </r>
  <r>
    <s v="ORD-00939"/>
    <x v="70"/>
    <x v="1"/>
    <s v="North Carolina"/>
    <s v="Raleigh"/>
    <s v="Drew Anderson"/>
    <x v="0"/>
    <x v="1"/>
    <s v="Laptops"/>
    <s v="Workstation Laptop"/>
    <n v="7"/>
    <n v="913"/>
    <n v="0.05"/>
    <n v="6071.45"/>
    <n v="4460.46"/>
    <n v="1610.99"/>
    <s v="Bank Transfer"/>
  </r>
  <r>
    <s v="ORD-02255"/>
    <x v="70"/>
    <x v="0"/>
    <s v="Colorado"/>
    <s v="Colorado Springs"/>
    <s v="Avery Johnson"/>
    <x v="0"/>
    <x v="0"/>
    <s v="Binders"/>
    <s v="3-Ring Binder"/>
    <n v="3"/>
    <n v="15.05"/>
    <n v="0.05"/>
    <n v="42.89"/>
    <n v="33.4"/>
    <n v="9.49"/>
    <s v="Debit Card"/>
  </r>
  <r>
    <s v="ORD-02874"/>
    <x v="70"/>
    <x v="0"/>
    <s v="Arizona"/>
    <s v="Phoenix"/>
    <s v="Avery Johnson"/>
    <x v="1"/>
    <x v="0"/>
    <s v="Paper"/>
    <s v="Recycled Paper"/>
    <n v="5"/>
    <n v="17.920000000000002"/>
    <n v="0.1"/>
    <n v="80.64"/>
    <n v="61.41"/>
    <n v="19.23"/>
    <s v="Debit Card"/>
  </r>
  <r>
    <s v="ORD-02479"/>
    <x v="70"/>
    <x v="1"/>
    <s v="Florida"/>
    <s v="Miami"/>
    <s v="Avery Johnson"/>
    <x v="1"/>
    <x v="0"/>
    <s v="Binders"/>
    <s v="3-Ring Binder"/>
    <n v="1"/>
    <n v="9.06"/>
    <n v="0"/>
    <n v="9.06"/>
    <n v="5.27"/>
    <n v="3.79"/>
    <s v="PayPal"/>
  </r>
  <r>
    <s v="ORD-00360"/>
    <x v="70"/>
    <x v="3"/>
    <s v="Illinois"/>
    <s v="Chicago"/>
    <s v="Alex Morgan"/>
    <x v="0"/>
    <x v="1"/>
    <s v="Monitors"/>
    <s v="27in Monitor"/>
    <n v="6"/>
    <n v="687.99"/>
    <n v="0.15"/>
    <n v="3508.75"/>
    <n v="2263.9499999999998"/>
    <n v="1244.8"/>
    <s v="Bank Transfer"/>
  </r>
  <r>
    <s v="ORD-01948"/>
    <x v="71"/>
    <x v="1"/>
    <s v="Florida"/>
    <s v="Orlando"/>
    <s v="Morgan Davis"/>
    <x v="1"/>
    <x v="0"/>
    <s v="Paper"/>
    <s v="Copy Paper"/>
    <n v="8"/>
    <n v="15.74"/>
    <n v="0.05"/>
    <n v="119.62"/>
    <n v="98.06"/>
    <n v="21.56"/>
    <s v="Credit Card"/>
  </r>
  <r>
    <s v="ORD-01170"/>
    <x v="71"/>
    <x v="3"/>
    <s v="Ohio"/>
    <s v="Columbus"/>
    <s v="Casey Brown"/>
    <x v="0"/>
    <x v="2"/>
    <s v="Tables"/>
    <s v="Training Table"/>
    <n v="5"/>
    <n v="359.17"/>
    <n v="0.05"/>
    <n v="1706.06"/>
    <n v="1326.62"/>
    <n v="379.44"/>
    <s v="Bank Transfer"/>
  </r>
  <r>
    <s v="ORD-02992"/>
    <x v="71"/>
    <x v="1"/>
    <s v="Florida"/>
    <s v="Orlando"/>
    <s v="Alex Morgan"/>
    <x v="1"/>
    <x v="2"/>
    <s v="Tables"/>
    <s v="Side Table"/>
    <n v="8"/>
    <n v="435.5"/>
    <n v="0.05"/>
    <n v="3309.8"/>
    <n v="2647.17"/>
    <n v="662.63"/>
    <s v="Debit Card"/>
  </r>
  <r>
    <s v="ORD-02652"/>
    <x v="71"/>
    <x v="2"/>
    <s v="New Jersey"/>
    <s v="Jersey City"/>
    <s v="Cameron Clark"/>
    <x v="0"/>
    <x v="2"/>
    <s v="Tables"/>
    <s v="Side Table"/>
    <n v="4"/>
    <n v="191.24"/>
    <n v="0"/>
    <n v="764.96"/>
    <n v="604.58000000000004"/>
    <n v="160.38"/>
    <s v="Debit Card"/>
  </r>
  <r>
    <s v="ORD-00208"/>
    <x v="71"/>
    <x v="0"/>
    <s v="Colorado"/>
    <s v="Colorado Springs"/>
    <s v="Cameron Clark"/>
    <x v="1"/>
    <x v="2"/>
    <s v="Chairs"/>
    <s v="Task Chair"/>
    <n v="5"/>
    <n v="616.89"/>
    <n v="0"/>
    <n v="3084.45"/>
    <n v="2241.46"/>
    <n v="842.99"/>
    <s v="Debit Card"/>
  </r>
  <r>
    <s v="ORD-00161"/>
    <x v="71"/>
    <x v="3"/>
    <s v="Indiana"/>
    <s v="Indianapolis"/>
    <s v="Drew Anderson"/>
    <x v="0"/>
    <x v="0"/>
    <s v="Paper"/>
    <s v="Recycled Paper"/>
    <n v="6"/>
    <n v="24.4"/>
    <n v="0.1"/>
    <n v="131.76"/>
    <n v="92.11"/>
    <n v="39.65"/>
    <s v="PayPal"/>
  </r>
  <r>
    <s v="ORD-01323"/>
    <x v="71"/>
    <x v="2"/>
    <s v="Massachusetts"/>
    <s v="Springfield"/>
    <s v="Jordan Lee"/>
    <x v="0"/>
    <x v="0"/>
    <s v="Binders"/>
    <s v="Heavy-Duty Binder"/>
    <n v="1"/>
    <n v="12.41"/>
    <n v="0.1"/>
    <n v="11.17"/>
    <n v="7.34"/>
    <n v="3.83"/>
    <s v="Credit Card"/>
  </r>
  <r>
    <s v="ORD-00347"/>
    <x v="71"/>
    <x v="3"/>
    <s v="Ohio"/>
    <s v="Cleveland"/>
    <s v="Taylor Smith"/>
    <x v="2"/>
    <x v="0"/>
    <s v="Pens"/>
    <s v="Gel Pens"/>
    <n v="5"/>
    <n v="20.02"/>
    <n v="0.1"/>
    <n v="90.09"/>
    <n v="70.27"/>
    <n v="19.82"/>
    <s v="Credit Card"/>
  </r>
  <r>
    <s v="ORD-01628"/>
    <x v="71"/>
    <x v="2"/>
    <s v="New Jersey"/>
    <s v="Trenton"/>
    <s v="Drew Anderson"/>
    <x v="1"/>
    <x v="2"/>
    <s v="Chairs"/>
    <s v="Ergonomic Chair"/>
    <n v="2"/>
    <n v="346.19"/>
    <n v="0"/>
    <n v="692.38"/>
    <n v="463.43"/>
    <n v="228.95"/>
    <s v="Bank Transfer"/>
  </r>
  <r>
    <s v="ORD-00069"/>
    <x v="71"/>
    <x v="0"/>
    <s v="Washington"/>
    <s v="Seattle"/>
    <s v="Cameron Clark"/>
    <x v="0"/>
    <x v="1"/>
    <s v="Laptops"/>
    <s v="Workstation Laptop"/>
    <n v="4"/>
    <n v="1262.24"/>
    <n v="0.1"/>
    <n v="4544.0600000000004"/>
    <n v="3306.11"/>
    <n v="1237.95"/>
    <s v="Bank Transfer"/>
  </r>
  <r>
    <s v="ORD-02094"/>
    <x v="71"/>
    <x v="1"/>
    <s v="Georgia"/>
    <s v="Augusta"/>
    <s v="Avery Johnson"/>
    <x v="2"/>
    <x v="2"/>
    <s v="Bookcases"/>
    <s v="5-Shelf Bookcase"/>
    <n v="1"/>
    <n v="301.17"/>
    <n v="0.05"/>
    <n v="286.11"/>
    <n v="221.32"/>
    <n v="64.790000000000006"/>
    <s v="PayPal"/>
  </r>
  <r>
    <s v="ORD-01230"/>
    <x v="71"/>
    <x v="3"/>
    <s v="Minnesota"/>
    <s v="Minneapolis"/>
    <s v="Alex Morgan"/>
    <x v="2"/>
    <x v="1"/>
    <s v="Monitors"/>
    <s v="34in Monitor"/>
    <n v="2"/>
    <n v="369.6"/>
    <n v="0.05"/>
    <n v="702.24"/>
    <n v="523.64"/>
    <n v="178.6"/>
    <s v="PayPal"/>
  </r>
  <r>
    <s v="ORD-02088"/>
    <x v="71"/>
    <x v="2"/>
    <s v="Vermont"/>
    <s v="Burlington"/>
    <s v="Jamie Miller"/>
    <x v="1"/>
    <x v="1"/>
    <s v="Headsets"/>
    <s v="Noise-Canceling Headset"/>
    <n v="7"/>
    <n v="130.5"/>
    <n v="0.05"/>
    <n v="867.82"/>
    <n v="655.61"/>
    <n v="212.21"/>
    <s v="Debit Card"/>
  </r>
  <r>
    <s v="ORD-00636"/>
    <x v="71"/>
    <x v="1"/>
    <s v="Virginia"/>
    <s v="Richmond"/>
    <s v="Drew Anderson"/>
    <x v="1"/>
    <x v="0"/>
    <s v="Pens"/>
    <s v="Ballpoint Pens"/>
    <n v="6"/>
    <n v="17.71"/>
    <n v="0.1"/>
    <n v="95.63"/>
    <n v="57.46"/>
    <n v="38.17"/>
    <s v="Bank Transfer"/>
  </r>
  <r>
    <s v="ORD-01066"/>
    <x v="71"/>
    <x v="3"/>
    <s v="Ohio"/>
    <s v="Cleveland"/>
    <s v="Jordan Lee"/>
    <x v="0"/>
    <x v="2"/>
    <s v="Chairs"/>
    <s v="Executive Chair"/>
    <n v="6"/>
    <n v="556.9"/>
    <n v="0.2"/>
    <n v="2673.12"/>
    <n v="1987.7"/>
    <n v="685.42"/>
    <s v="Debit Card"/>
  </r>
  <r>
    <s v="ORD-02521"/>
    <x v="72"/>
    <x v="2"/>
    <s v="New Jersey"/>
    <s v="Trenton"/>
    <s v="Cameron Clark"/>
    <x v="0"/>
    <x v="0"/>
    <s v="Binders"/>
    <s v="Heavy-Duty Binder"/>
    <n v="2"/>
    <n v="11.34"/>
    <n v="0.05"/>
    <n v="21.55"/>
    <n v="14.86"/>
    <n v="6.69"/>
    <s v="Debit Card"/>
  </r>
  <r>
    <s v="ORD-02244"/>
    <x v="72"/>
    <x v="1"/>
    <s v="North Carolina"/>
    <s v="Raleigh"/>
    <s v="Casey Brown"/>
    <x v="2"/>
    <x v="0"/>
    <s v="Printers"/>
    <s v="Color Printer"/>
    <n v="8"/>
    <n v="257.39"/>
    <n v="0.1"/>
    <n v="1853.21"/>
    <n v="1426.54"/>
    <n v="426.67"/>
    <s v="Debit Card"/>
  </r>
  <r>
    <s v="ORD-01174"/>
    <x v="72"/>
    <x v="3"/>
    <s v="Indiana"/>
    <s v="Indianapolis"/>
    <s v="Alex Morgan"/>
    <x v="0"/>
    <x v="0"/>
    <s v="Pens"/>
    <s v="Ballpoint Pens"/>
    <n v="8"/>
    <n v="15.35"/>
    <n v="0.05"/>
    <n v="116.66"/>
    <n v="75.25"/>
    <n v="41.41"/>
    <s v="PayPal"/>
  </r>
  <r>
    <s v="ORD-02691"/>
    <x v="72"/>
    <x v="0"/>
    <s v="Washington"/>
    <s v="Tacoma"/>
    <s v="Casey Brown"/>
    <x v="0"/>
    <x v="1"/>
    <s v="Headsets"/>
    <s v="Noise-Canceling Headset"/>
    <n v="5"/>
    <n v="148.31"/>
    <n v="0"/>
    <n v="741.55"/>
    <n v="411.54"/>
    <n v="330.01"/>
    <s v="Credit Card"/>
  </r>
  <r>
    <s v="ORD-01475"/>
    <x v="72"/>
    <x v="0"/>
    <s v="California"/>
    <s v="San Diego"/>
    <s v="Alex Morgan"/>
    <x v="0"/>
    <x v="1"/>
    <s v="Laptops"/>
    <s v="Ultrabook"/>
    <n v="5"/>
    <n v="1432.03"/>
    <n v="0"/>
    <n v="7160.15"/>
    <n v="4407.57"/>
    <n v="2752.58"/>
    <s v="Debit Card"/>
  </r>
  <r>
    <s v="ORD-00626"/>
    <x v="72"/>
    <x v="1"/>
    <s v="North Carolina"/>
    <s v="Charlotte"/>
    <s v="Alex Morgan"/>
    <x v="0"/>
    <x v="2"/>
    <s v="Chairs"/>
    <s v="Executive Chair"/>
    <n v="7"/>
    <n v="455.01"/>
    <n v="0.2"/>
    <n v="2548.06"/>
    <n v="1765.88"/>
    <n v="782.18"/>
    <s v="Debit Card"/>
  </r>
  <r>
    <s v="ORD-00134"/>
    <x v="72"/>
    <x v="2"/>
    <s v="Vermont"/>
    <s v="Burlington"/>
    <s v="Jordan Lee"/>
    <x v="0"/>
    <x v="1"/>
    <s v="Keyboards"/>
    <s v="Mechanical Keyboard"/>
    <n v="2"/>
    <n v="152.62"/>
    <n v="0.1"/>
    <n v="274.72000000000003"/>
    <n v="202.25"/>
    <n v="72.47"/>
    <s v="Bank Transfer"/>
  </r>
  <r>
    <s v="ORD-02055"/>
    <x v="72"/>
    <x v="3"/>
    <s v="Illinois"/>
    <s v="Springfield"/>
    <s v="Casey Brown"/>
    <x v="1"/>
    <x v="0"/>
    <s v="Binders"/>
    <s v="3-Ring Binder"/>
    <n v="2"/>
    <n v="25.11"/>
    <n v="0"/>
    <n v="50.22"/>
    <n v="31.95"/>
    <n v="18.27"/>
    <s v="Credit Card"/>
  </r>
  <r>
    <s v="ORD-02859"/>
    <x v="72"/>
    <x v="2"/>
    <s v="Vermont"/>
    <s v="Rutland"/>
    <s v="Morgan Davis"/>
    <x v="2"/>
    <x v="1"/>
    <s v="Headsets"/>
    <s v="USB Headset"/>
    <n v="2"/>
    <n v="230.86"/>
    <n v="0.1"/>
    <n v="415.55"/>
    <n v="279.35000000000002"/>
    <n v="136.19999999999999"/>
    <s v="Debit Card"/>
  </r>
  <r>
    <s v="ORD-02572"/>
    <x v="72"/>
    <x v="2"/>
    <s v="New York"/>
    <s v="New York City"/>
    <s v="Riley Wilson"/>
    <x v="0"/>
    <x v="2"/>
    <s v="Chairs"/>
    <s v="Executive Chair"/>
    <n v="2"/>
    <n v="692.95"/>
    <n v="0.05"/>
    <n v="1316.6"/>
    <n v="849.09"/>
    <n v="467.51"/>
    <s v="Bank Transfer"/>
  </r>
  <r>
    <s v="ORD-01671"/>
    <x v="72"/>
    <x v="1"/>
    <s v="Florida"/>
    <s v="Miami"/>
    <s v="Avery Johnson"/>
    <x v="0"/>
    <x v="0"/>
    <s v="Binders"/>
    <s v="Heavy-Duty Binder"/>
    <n v="8"/>
    <n v="17.63"/>
    <n v="0"/>
    <n v="141.04"/>
    <n v="95.66"/>
    <n v="45.38"/>
    <s v="Debit Card"/>
  </r>
  <r>
    <s v="ORD-00078"/>
    <x v="73"/>
    <x v="0"/>
    <s v="Colorado"/>
    <s v="Denver"/>
    <s v="Morgan Davis"/>
    <x v="2"/>
    <x v="1"/>
    <s v="Laptops"/>
    <s v="Ultrabook"/>
    <n v="10"/>
    <n v="1461.27"/>
    <n v="0"/>
    <n v="14612.7"/>
    <n v="9788.74"/>
    <n v="4823.96"/>
    <s v="PayPal"/>
  </r>
  <r>
    <s v="ORD-02152"/>
    <x v="73"/>
    <x v="3"/>
    <s v="Indiana"/>
    <s v="Evansville"/>
    <s v="Riley Wilson"/>
    <x v="2"/>
    <x v="2"/>
    <s v="Desks"/>
    <s v="Standing Desk"/>
    <n v="9"/>
    <n v="346.41"/>
    <n v="0.05"/>
    <n v="2961.81"/>
    <n v="1911.3"/>
    <n v="1050.51"/>
    <s v="Bank Transfer"/>
  </r>
  <r>
    <s v="ORD-00867"/>
    <x v="73"/>
    <x v="2"/>
    <s v="New Jersey"/>
    <s v="Trenton"/>
    <s v="Cameron Clark"/>
    <x v="2"/>
    <x v="0"/>
    <s v="Printers"/>
    <s v="Color Printer"/>
    <n v="1"/>
    <n v="415.34"/>
    <n v="0"/>
    <n v="415.34"/>
    <n v="318.88"/>
    <n v="96.46"/>
    <s v="Credit Card"/>
  </r>
  <r>
    <s v="ORD-02095"/>
    <x v="73"/>
    <x v="3"/>
    <s v="Illinois"/>
    <s v="Chicago"/>
    <s v="Jordan Lee"/>
    <x v="1"/>
    <x v="0"/>
    <s v="Printers"/>
    <s v="All-in-One Printer"/>
    <n v="7"/>
    <n v="496.29"/>
    <n v="0"/>
    <n v="3474.03"/>
    <n v="2097.7600000000002"/>
    <n v="1376.27"/>
    <s v="Bank Transfer"/>
  </r>
  <r>
    <s v="ORD-02728"/>
    <x v="73"/>
    <x v="2"/>
    <s v="New York"/>
    <s v="New York City"/>
    <s v="Avery Johnson"/>
    <x v="2"/>
    <x v="2"/>
    <s v="Desks"/>
    <s v="Executive Desk"/>
    <n v="1"/>
    <n v="707.36"/>
    <n v="0.05"/>
    <n v="671.99"/>
    <n v="497.68"/>
    <n v="174.31"/>
    <s v="Bank Transfer"/>
  </r>
  <r>
    <s v="ORD-01358"/>
    <x v="73"/>
    <x v="3"/>
    <s v="Minnesota"/>
    <s v="St. Paul"/>
    <s v="Jamie Miller"/>
    <x v="0"/>
    <x v="0"/>
    <s v="Printers"/>
    <s v="All-in-One Printer"/>
    <n v="1"/>
    <n v="524.14"/>
    <n v="0.1"/>
    <n v="471.73"/>
    <n v="345.72"/>
    <n v="126.01"/>
    <s v="Debit Card"/>
  </r>
  <r>
    <s v="ORD-02850"/>
    <x v="73"/>
    <x v="1"/>
    <s v="North Carolina"/>
    <s v="Charlotte"/>
    <s v="Jordan Lee"/>
    <x v="0"/>
    <x v="0"/>
    <s v="Paper"/>
    <s v="Recycled Paper"/>
    <n v="7"/>
    <n v="25.22"/>
    <n v="0.1"/>
    <n v="158.88999999999999"/>
    <n v="95.52"/>
    <n v="63.37"/>
    <s v="PayPal"/>
  </r>
  <r>
    <s v="ORD-01520"/>
    <x v="73"/>
    <x v="2"/>
    <s v="New York"/>
    <s v="Buffalo"/>
    <s v="Jordan Lee"/>
    <x v="0"/>
    <x v="0"/>
    <s v="Printers"/>
    <s v="Laser Printer"/>
    <n v="6"/>
    <n v="328.53"/>
    <n v="0"/>
    <n v="1971.18"/>
    <n v="1097.81"/>
    <n v="873.37"/>
    <s v="Debit Card"/>
  </r>
  <r>
    <s v="ORD-01761"/>
    <x v="73"/>
    <x v="0"/>
    <s v="Oregon"/>
    <s v="Portland"/>
    <s v="Alex Morgan"/>
    <x v="1"/>
    <x v="1"/>
    <s v="Headsets"/>
    <s v="Wireless Headset"/>
    <n v="8"/>
    <n v="170.91"/>
    <n v="0"/>
    <n v="1367.28"/>
    <n v="954.17"/>
    <n v="413.11"/>
    <s v="Debit Card"/>
  </r>
  <r>
    <s v="ORD-02805"/>
    <x v="74"/>
    <x v="2"/>
    <s v="Pennsylvania"/>
    <s v="Allentown"/>
    <s v="Alex Morgan"/>
    <x v="1"/>
    <x v="1"/>
    <s v="Monitors"/>
    <s v="24in Monitor"/>
    <n v="1"/>
    <n v="453.98"/>
    <n v="0"/>
    <n v="453.98"/>
    <n v="326.26"/>
    <n v="127.72"/>
    <s v="Debit Card"/>
  </r>
  <r>
    <s v="ORD-01562"/>
    <x v="74"/>
    <x v="0"/>
    <s v="Arizona"/>
    <s v="Phoenix"/>
    <s v="Morgan Davis"/>
    <x v="0"/>
    <x v="1"/>
    <s v="Keyboards"/>
    <s v="Ergonomic Keyboard"/>
    <n v="9"/>
    <n v="123.53"/>
    <n v="0.1"/>
    <n v="1000.59"/>
    <n v="553.38"/>
    <n v="447.21"/>
    <s v="Debit Card"/>
  </r>
  <r>
    <s v="ORD-00004"/>
    <x v="74"/>
    <x v="3"/>
    <s v="Minnesota"/>
    <s v="Rochester"/>
    <s v="Riley Wilson"/>
    <x v="1"/>
    <x v="1"/>
    <s v="Keyboards"/>
    <s v="Ergonomic Keyboard"/>
    <n v="8"/>
    <n v="82.03"/>
    <n v="0.1"/>
    <n v="590.62"/>
    <n v="476.87"/>
    <n v="113.75"/>
    <s v="Credit Card"/>
  </r>
  <r>
    <s v="ORD-01731"/>
    <x v="74"/>
    <x v="1"/>
    <s v="Texas"/>
    <s v="Houston"/>
    <s v="Jamie Miller"/>
    <x v="0"/>
    <x v="1"/>
    <s v="Monitors"/>
    <s v="24in Monitor"/>
    <n v="3"/>
    <n v="250.38"/>
    <n v="0.15"/>
    <n v="638.47"/>
    <n v="476.98"/>
    <n v="161.49"/>
    <s v="Bank Transfer"/>
  </r>
  <r>
    <s v="ORD-00681"/>
    <x v="74"/>
    <x v="0"/>
    <s v="California"/>
    <s v="Los Angeles"/>
    <s v="Riley Wilson"/>
    <x v="2"/>
    <x v="1"/>
    <s v="Keyboards"/>
    <s v="Ergonomic Keyboard"/>
    <n v="10"/>
    <n v="97.03"/>
    <n v="0.15"/>
    <n v="824.76"/>
    <n v="517.19000000000005"/>
    <n v="307.57"/>
    <s v="Bank Transfer"/>
  </r>
  <r>
    <s v="ORD-02180"/>
    <x v="75"/>
    <x v="0"/>
    <s v="Arizona"/>
    <s v="Phoenix"/>
    <s v="Drew Anderson"/>
    <x v="2"/>
    <x v="1"/>
    <s v="Keyboards"/>
    <s v="Mechanical Keyboard"/>
    <n v="4"/>
    <n v="43.14"/>
    <n v="0.15"/>
    <n v="146.68"/>
    <n v="106.13"/>
    <n v="40.549999999999997"/>
    <s v="Debit Card"/>
  </r>
  <r>
    <s v="ORD-00957"/>
    <x v="75"/>
    <x v="0"/>
    <s v="Oregon"/>
    <s v="Portland"/>
    <s v="Drew Anderson"/>
    <x v="0"/>
    <x v="0"/>
    <s v="Printers"/>
    <s v="Laser Printer"/>
    <n v="1"/>
    <n v="561.9"/>
    <n v="0.1"/>
    <n v="505.71"/>
    <n v="408.49"/>
    <n v="97.22"/>
    <s v="Debit Card"/>
  </r>
  <r>
    <s v="ORD-02694"/>
    <x v="75"/>
    <x v="0"/>
    <s v="Oregon"/>
    <s v="Salem"/>
    <s v="Taylor Smith"/>
    <x v="0"/>
    <x v="1"/>
    <s v="Keyboards"/>
    <s v="Wireless Keyboard"/>
    <n v="5"/>
    <n v="66.05"/>
    <n v="0.05"/>
    <n v="313.74"/>
    <n v="198.74"/>
    <n v="115"/>
    <s v="Debit Card"/>
  </r>
  <r>
    <s v="ORD-01055"/>
    <x v="75"/>
    <x v="2"/>
    <s v="New Jersey"/>
    <s v="Jersey City"/>
    <s v="Drew Anderson"/>
    <x v="0"/>
    <x v="0"/>
    <s v="Pens"/>
    <s v="Gel Pens"/>
    <n v="1"/>
    <n v="16.600000000000001"/>
    <n v="0"/>
    <n v="16.600000000000001"/>
    <n v="12.45"/>
    <n v="4.1500000000000004"/>
    <s v="Bank Transfer"/>
  </r>
  <r>
    <s v="ORD-00416"/>
    <x v="75"/>
    <x v="2"/>
    <s v="Massachusetts"/>
    <s v="Springfield"/>
    <s v="Alex Morgan"/>
    <x v="2"/>
    <x v="1"/>
    <s v="Keyboards"/>
    <s v="Ergonomic Keyboard"/>
    <n v="5"/>
    <n v="149.31"/>
    <n v="0.05"/>
    <n v="709.22"/>
    <n v="406.38"/>
    <n v="302.83999999999997"/>
    <s v="Credit Card"/>
  </r>
  <r>
    <s v="ORD-00590"/>
    <x v="75"/>
    <x v="2"/>
    <s v="New York"/>
    <s v="Buffalo"/>
    <s v="Casey Brown"/>
    <x v="2"/>
    <x v="2"/>
    <s v="Bookcases"/>
    <s v="5-Shelf Bookcase"/>
    <n v="9"/>
    <n v="294.08999999999997"/>
    <n v="0.1"/>
    <n v="2382.13"/>
    <n v="1824.29"/>
    <n v="557.84"/>
    <s v="Credit Card"/>
  </r>
  <r>
    <s v="ORD-00527"/>
    <x v="75"/>
    <x v="3"/>
    <s v="Minnesota"/>
    <s v="Rochester"/>
    <s v="Taylor Smith"/>
    <x v="2"/>
    <x v="1"/>
    <s v="Keyboards"/>
    <s v="Wireless Keyboard"/>
    <n v="2"/>
    <n v="30.05"/>
    <n v="0.1"/>
    <n v="54.09"/>
    <n v="34.630000000000003"/>
    <n v="19.46"/>
    <s v="Bank Transfer"/>
  </r>
  <r>
    <s v="ORD-02362"/>
    <x v="75"/>
    <x v="1"/>
    <s v="Georgia"/>
    <s v="Atlanta"/>
    <s v="Morgan Davis"/>
    <x v="0"/>
    <x v="1"/>
    <s v="Laptops"/>
    <s v="Business Laptop"/>
    <n v="8"/>
    <n v="1064.47"/>
    <n v="0"/>
    <n v="8515.76"/>
    <n v="6074.34"/>
    <n v="2441.42"/>
    <s v="Credit Card"/>
  </r>
  <r>
    <s v="ORD-01662"/>
    <x v="75"/>
    <x v="3"/>
    <s v="Michigan"/>
    <s v="Detroit"/>
    <s v="Jordan Lee"/>
    <x v="0"/>
    <x v="2"/>
    <s v="Tables"/>
    <s v="Side Table"/>
    <n v="4"/>
    <n v="190.18"/>
    <n v="0.05"/>
    <n v="722.68"/>
    <n v="495.66"/>
    <n v="227.02"/>
    <s v="Credit Card"/>
  </r>
  <r>
    <s v="ORD-02024"/>
    <x v="76"/>
    <x v="2"/>
    <s v="Pennsylvania"/>
    <s v="Pittsburgh"/>
    <s v="Riley Wilson"/>
    <x v="2"/>
    <x v="2"/>
    <s v="Tables"/>
    <s v="Conference Table"/>
    <n v="8"/>
    <n v="280.48"/>
    <n v="0.15"/>
    <n v="1907.26"/>
    <n v="1209.22"/>
    <n v="698.04"/>
    <s v="Debit Card"/>
  </r>
  <r>
    <s v="ORD-02034"/>
    <x v="76"/>
    <x v="1"/>
    <s v="North Carolina"/>
    <s v="Durham"/>
    <s v="Drew Anderson"/>
    <x v="0"/>
    <x v="1"/>
    <s v="Laptops"/>
    <s v="Business Laptop"/>
    <n v="1"/>
    <n v="1381.61"/>
    <n v="0.1"/>
    <n v="1243.45"/>
    <n v="861.51"/>
    <n v="381.94"/>
    <s v="Debit Card"/>
  </r>
  <r>
    <s v="ORD-01643"/>
    <x v="76"/>
    <x v="2"/>
    <s v="Massachusetts"/>
    <s v="Worcester"/>
    <s v="Avery Johnson"/>
    <x v="1"/>
    <x v="0"/>
    <s v="Binders"/>
    <s v="Heavy-Duty Binder"/>
    <n v="3"/>
    <n v="15.02"/>
    <n v="0.05"/>
    <n v="42.81"/>
    <n v="31.31"/>
    <n v="11.5"/>
    <s v="Debit Card"/>
  </r>
  <r>
    <s v="ORD-00326"/>
    <x v="76"/>
    <x v="1"/>
    <s v="North Carolina"/>
    <s v="Durham"/>
    <s v="Cameron Clark"/>
    <x v="0"/>
    <x v="0"/>
    <s v="Binders"/>
    <s v="Presentation Binder"/>
    <n v="5"/>
    <n v="29.73"/>
    <n v="0.1"/>
    <n v="133.78"/>
    <n v="90.71"/>
    <n v="43.07"/>
    <s v="Bank Transfer"/>
  </r>
  <r>
    <s v="ORD-02056"/>
    <x v="76"/>
    <x v="3"/>
    <s v="Michigan"/>
    <s v="Grand Rapids"/>
    <s v="Cameron Clark"/>
    <x v="2"/>
    <x v="0"/>
    <s v="Paper"/>
    <s v="Recycled Paper"/>
    <n v="7"/>
    <n v="14.73"/>
    <n v="0.1"/>
    <n v="92.8"/>
    <n v="57.98"/>
    <n v="34.82"/>
    <s v="PayPal"/>
  </r>
  <r>
    <s v="ORD-00170"/>
    <x v="76"/>
    <x v="1"/>
    <s v="Virginia"/>
    <s v="Arlington"/>
    <s v="Jordan Lee"/>
    <x v="1"/>
    <x v="1"/>
    <s v="Laptops"/>
    <s v="Workstation Laptop"/>
    <n v="8"/>
    <n v="1331.54"/>
    <n v="0.1"/>
    <n v="9587.09"/>
    <n v="6828.35"/>
    <n v="2758.74"/>
    <s v="Credit Card"/>
  </r>
  <r>
    <s v="ORD-02790"/>
    <x v="76"/>
    <x v="0"/>
    <s v="Colorado"/>
    <s v="Denver"/>
    <s v="Drew Anderson"/>
    <x v="1"/>
    <x v="0"/>
    <s v="Pens"/>
    <s v="Gel Pens"/>
    <n v="1"/>
    <n v="13.65"/>
    <n v="0.15"/>
    <n v="11.6"/>
    <n v="6.48"/>
    <n v="5.12"/>
    <s v="Debit Card"/>
  </r>
  <r>
    <s v="ORD-02988"/>
    <x v="76"/>
    <x v="3"/>
    <s v="Ohio"/>
    <s v="Cincinnati"/>
    <s v="Avery Johnson"/>
    <x v="2"/>
    <x v="2"/>
    <s v="Chairs"/>
    <s v="Ergonomic Chair"/>
    <n v="8"/>
    <n v="162.25"/>
    <n v="0.15"/>
    <n v="1103.3"/>
    <n v="662.53"/>
    <n v="440.77"/>
    <s v="Bank Transfer"/>
  </r>
  <r>
    <s v="ORD-01881"/>
    <x v="76"/>
    <x v="1"/>
    <s v="Texas"/>
    <s v="Dallas"/>
    <s v="Morgan Davis"/>
    <x v="2"/>
    <x v="2"/>
    <s v="Desks"/>
    <s v="Work Desk"/>
    <n v="3"/>
    <n v="268.77"/>
    <n v="0.1"/>
    <n v="725.68"/>
    <n v="549.44000000000005"/>
    <n v="176.24"/>
    <s v="Credit Card"/>
  </r>
  <r>
    <s v="ORD-01355"/>
    <x v="76"/>
    <x v="1"/>
    <s v="Texas"/>
    <s v="Houston"/>
    <s v="Jordan Lee"/>
    <x v="0"/>
    <x v="2"/>
    <s v="Desks"/>
    <s v="Standing Desk"/>
    <n v="3"/>
    <n v="712.06"/>
    <n v="0.15"/>
    <n v="1815.75"/>
    <n v="1406.3"/>
    <n v="409.45"/>
    <s v="PayPal"/>
  </r>
  <r>
    <s v="ORD-01073"/>
    <x v="77"/>
    <x v="1"/>
    <s v="Georgia"/>
    <s v="Savannah"/>
    <s v="Jordan Lee"/>
    <x v="1"/>
    <x v="1"/>
    <s v="Headsets"/>
    <s v="Noise-Canceling Headset"/>
    <n v="5"/>
    <n v="182.32"/>
    <n v="0"/>
    <n v="911.6"/>
    <n v="526.84"/>
    <n v="384.76"/>
    <s v="Credit Card"/>
  </r>
  <r>
    <s v="ORD-02084"/>
    <x v="77"/>
    <x v="1"/>
    <s v="North Carolina"/>
    <s v="Charlotte"/>
    <s v="Casey Brown"/>
    <x v="0"/>
    <x v="1"/>
    <s v="Laptops"/>
    <s v="Ultrabook"/>
    <n v="7"/>
    <n v="1370.1"/>
    <n v="0.15"/>
    <n v="8152.09"/>
    <n v="4650.84"/>
    <n v="3501.25"/>
    <s v="Credit Card"/>
  </r>
  <r>
    <s v="ORD-00407"/>
    <x v="77"/>
    <x v="1"/>
    <s v="Florida"/>
    <s v="Tampa"/>
    <s v="Taylor Smith"/>
    <x v="0"/>
    <x v="0"/>
    <s v="Printers"/>
    <s v="Color Printer"/>
    <n v="9"/>
    <n v="279.7"/>
    <n v="0.15"/>
    <n v="2139.6999999999998"/>
    <n v="1460.06"/>
    <n v="679.64"/>
    <s v="Credit Card"/>
  </r>
  <r>
    <s v="ORD-00415"/>
    <x v="77"/>
    <x v="3"/>
    <s v="Illinois"/>
    <s v="Peoria"/>
    <s v="Taylor Smith"/>
    <x v="0"/>
    <x v="0"/>
    <s v="Printers"/>
    <s v="Laser Printer"/>
    <n v="1"/>
    <n v="121.28"/>
    <n v="0.05"/>
    <n v="115.22"/>
    <n v="89.66"/>
    <n v="25.56"/>
    <s v="PayPal"/>
  </r>
  <r>
    <s v="ORD-00123"/>
    <x v="77"/>
    <x v="1"/>
    <s v="Virginia"/>
    <s v="Norfolk"/>
    <s v="Avery Johnson"/>
    <x v="0"/>
    <x v="1"/>
    <s v="Laptops"/>
    <s v="Ultrabook"/>
    <n v="6"/>
    <n v="657.48"/>
    <n v="0.1"/>
    <n v="3550.39"/>
    <n v="2397.1999999999998"/>
    <n v="1153.19"/>
    <s v="PayPal"/>
  </r>
  <r>
    <s v="ORD-02751"/>
    <x v="77"/>
    <x v="0"/>
    <s v="Colorado"/>
    <s v="Denver"/>
    <s v="Jordan Lee"/>
    <x v="0"/>
    <x v="2"/>
    <s v="Tables"/>
    <s v="Training Table"/>
    <n v="9"/>
    <n v="525.83000000000004"/>
    <n v="0.05"/>
    <n v="4495.8500000000004"/>
    <n v="3522.66"/>
    <n v="973.19"/>
    <s v="Credit Card"/>
  </r>
  <r>
    <s v="ORD-00581"/>
    <x v="77"/>
    <x v="1"/>
    <s v="North Carolina"/>
    <s v="Durham"/>
    <s v="Taylor Smith"/>
    <x v="1"/>
    <x v="1"/>
    <s v="Keyboards"/>
    <s v="Mechanical Keyboard"/>
    <n v="1"/>
    <n v="167.26"/>
    <n v="0"/>
    <n v="167.26"/>
    <n v="93.38"/>
    <n v="73.88"/>
    <s v="PayPal"/>
  </r>
  <r>
    <s v="ORD-01661"/>
    <x v="77"/>
    <x v="3"/>
    <s v="Illinois"/>
    <s v="Peoria"/>
    <s v="Avery Johnson"/>
    <x v="2"/>
    <x v="1"/>
    <s v="Keyboards"/>
    <s v="Wireless Keyboard"/>
    <n v="5"/>
    <n v="111.94"/>
    <n v="0"/>
    <n v="559.70000000000005"/>
    <n v="433.96"/>
    <n v="125.74"/>
    <s v="Credit Card"/>
  </r>
  <r>
    <s v="ORD-01760"/>
    <x v="77"/>
    <x v="3"/>
    <s v="Indiana"/>
    <s v="Fort Wayne"/>
    <s v="Casey Brown"/>
    <x v="2"/>
    <x v="0"/>
    <s v="Pens"/>
    <s v="Gel Pens"/>
    <n v="1"/>
    <n v="23.74"/>
    <n v="0.15"/>
    <n v="20.18"/>
    <n v="12.12"/>
    <n v="8.06"/>
    <s v="Bank Transfer"/>
  </r>
  <r>
    <s v="ORD-01838"/>
    <x v="77"/>
    <x v="0"/>
    <s v="Oregon"/>
    <s v="Portland"/>
    <s v="Morgan Davis"/>
    <x v="0"/>
    <x v="0"/>
    <s v="Binders"/>
    <s v="Presentation Binder"/>
    <n v="5"/>
    <n v="29.18"/>
    <n v="0.1"/>
    <n v="131.31"/>
    <n v="80.17"/>
    <n v="51.14"/>
    <s v="Bank Transfer"/>
  </r>
  <r>
    <s v="ORD-00502"/>
    <x v="77"/>
    <x v="2"/>
    <s v="New York"/>
    <s v="Rochester"/>
    <s v="Jamie Miller"/>
    <x v="0"/>
    <x v="1"/>
    <s v="Monitors"/>
    <s v="24in Monitor"/>
    <n v="9"/>
    <n v="283.74"/>
    <n v="0.1"/>
    <n v="2298.29"/>
    <n v="1769.65"/>
    <n v="528.64"/>
    <s v="Debit Card"/>
  </r>
  <r>
    <s v="ORD-02658"/>
    <x v="77"/>
    <x v="0"/>
    <s v="California"/>
    <s v="San Diego"/>
    <s v="Avery Johnson"/>
    <x v="0"/>
    <x v="0"/>
    <s v="Pens"/>
    <s v="Fine Tip Pens"/>
    <n v="6"/>
    <n v="19.64"/>
    <n v="0"/>
    <n v="117.84"/>
    <n v="92.14"/>
    <n v="25.7"/>
    <s v="Debit Card"/>
  </r>
  <r>
    <s v="ORD-02215"/>
    <x v="78"/>
    <x v="1"/>
    <s v="Texas"/>
    <s v="Austin"/>
    <s v="Taylor Smith"/>
    <x v="1"/>
    <x v="2"/>
    <s v="Desks"/>
    <s v="Standing Desk"/>
    <n v="8"/>
    <n v="773.69"/>
    <n v="0"/>
    <n v="6189.52"/>
    <n v="4053.94"/>
    <n v="2135.58"/>
    <s v="Bank Transfer"/>
  </r>
  <r>
    <s v="ORD-01102"/>
    <x v="78"/>
    <x v="1"/>
    <s v="Virginia"/>
    <s v="Norfolk"/>
    <s v="Jamie Miller"/>
    <x v="2"/>
    <x v="2"/>
    <s v="Tables"/>
    <s v="Conference Table"/>
    <n v="3"/>
    <n v="658.19"/>
    <n v="0.1"/>
    <n v="1777.11"/>
    <n v="1434.94"/>
    <n v="342.17"/>
    <s v="Bank Transfer"/>
  </r>
  <r>
    <s v="ORD-02961"/>
    <x v="78"/>
    <x v="3"/>
    <s v="Indiana"/>
    <s v="Fort Wayne"/>
    <s v="Cameron Clark"/>
    <x v="0"/>
    <x v="0"/>
    <s v="Printers"/>
    <s v="Laser Printer"/>
    <n v="9"/>
    <n v="153.09"/>
    <n v="0"/>
    <n v="1377.81"/>
    <n v="835.63"/>
    <n v="542.17999999999995"/>
    <s v="PayPal"/>
  </r>
  <r>
    <s v="ORD-00963"/>
    <x v="78"/>
    <x v="1"/>
    <s v="Virginia"/>
    <s v="Arlington"/>
    <s v="Morgan Davis"/>
    <x v="1"/>
    <x v="0"/>
    <s v="Paper"/>
    <s v="Recycled Paper"/>
    <n v="9"/>
    <n v="31.87"/>
    <n v="0.1"/>
    <n v="258.14999999999998"/>
    <n v="195.07"/>
    <n v="63.08"/>
    <s v="Bank Transfer"/>
  </r>
  <r>
    <s v="ORD-01665"/>
    <x v="79"/>
    <x v="3"/>
    <s v="Indiana"/>
    <s v="Evansville"/>
    <s v="Cameron Clark"/>
    <x v="0"/>
    <x v="0"/>
    <s v="Paper"/>
    <s v="Premium Paper"/>
    <n v="1"/>
    <n v="26.2"/>
    <n v="0.2"/>
    <n v="20.96"/>
    <n v="13.07"/>
    <n v="7.89"/>
    <s v="Credit Card"/>
  </r>
  <r>
    <s v="ORD-00205"/>
    <x v="79"/>
    <x v="0"/>
    <s v="Washington"/>
    <s v="Tacoma"/>
    <s v="Morgan Davis"/>
    <x v="2"/>
    <x v="0"/>
    <s v="Paper"/>
    <s v="Recycled Paper"/>
    <n v="8"/>
    <n v="26.91"/>
    <n v="0.1"/>
    <n v="193.75"/>
    <n v="114.77"/>
    <n v="78.98"/>
    <s v="Bank Transfer"/>
  </r>
  <r>
    <s v="ORD-02771"/>
    <x v="79"/>
    <x v="3"/>
    <s v="Ohio"/>
    <s v="Cincinnati"/>
    <s v="Avery Johnson"/>
    <x v="2"/>
    <x v="2"/>
    <s v="Bookcases"/>
    <s v="Storage Bookcase"/>
    <n v="4"/>
    <n v="346.44"/>
    <n v="0.1"/>
    <n v="1247.18"/>
    <n v="735.16"/>
    <n v="512.02"/>
    <s v="Debit Card"/>
  </r>
  <r>
    <s v="ORD-00894"/>
    <x v="79"/>
    <x v="2"/>
    <s v="New Jersey"/>
    <s v="Jersey City"/>
    <s v="Avery Johnson"/>
    <x v="0"/>
    <x v="1"/>
    <s v="Laptops"/>
    <s v="Ultrabook"/>
    <n v="2"/>
    <n v="1616.31"/>
    <n v="0.1"/>
    <n v="2909.36"/>
    <n v="1733.21"/>
    <n v="1176.1500000000001"/>
    <s v="PayPal"/>
  </r>
  <r>
    <s v="ORD-00545"/>
    <x v="79"/>
    <x v="2"/>
    <s v="Massachusetts"/>
    <s v="Boston"/>
    <s v="Riley Wilson"/>
    <x v="0"/>
    <x v="0"/>
    <s v="Printers"/>
    <s v="Color Printer"/>
    <n v="4"/>
    <n v="389.46"/>
    <n v="0.05"/>
    <n v="1479.95"/>
    <n v="964.73"/>
    <n v="515.22"/>
    <s v="PayPal"/>
  </r>
  <r>
    <s v="ORD-02235"/>
    <x v="79"/>
    <x v="2"/>
    <s v="Massachusetts"/>
    <s v="Worcester"/>
    <s v="Jordan Lee"/>
    <x v="2"/>
    <x v="2"/>
    <s v="Bookcases"/>
    <s v="3-Shelf Bookcase"/>
    <n v="6"/>
    <n v="173.84"/>
    <n v="0.1"/>
    <n v="938.74"/>
    <n v="662.83"/>
    <n v="275.91000000000003"/>
    <s v="Debit Card"/>
  </r>
  <r>
    <s v="ORD-02315"/>
    <x v="79"/>
    <x v="3"/>
    <s v="Indiana"/>
    <s v="Evansville"/>
    <s v="Cameron Clark"/>
    <x v="0"/>
    <x v="1"/>
    <s v="Keyboards"/>
    <s v="Mechanical Keyboard"/>
    <n v="5"/>
    <n v="126.67"/>
    <n v="0.05"/>
    <n v="601.67999999999995"/>
    <n v="425.97"/>
    <n v="175.71"/>
    <s v="Debit Card"/>
  </r>
  <r>
    <s v="ORD-01301"/>
    <x v="80"/>
    <x v="3"/>
    <s v="Illinois"/>
    <s v="Peoria"/>
    <s v="Drew Anderson"/>
    <x v="0"/>
    <x v="1"/>
    <s v="Monitors"/>
    <s v="24in Monitor"/>
    <n v="1"/>
    <n v="456.49"/>
    <n v="0"/>
    <n v="456.49"/>
    <n v="343.9"/>
    <n v="112.59"/>
    <s v="PayPal"/>
  </r>
  <r>
    <s v="ORD-00694"/>
    <x v="80"/>
    <x v="0"/>
    <s v="Washington"/>
    <s v="Spokane"/>
    <s v="Jamie Miller"/>
    <x v="0"/>
    <x v="0"/>
    <s v="Printers"/>
    <s v="Laser Printer"/>
    <n v="9"/>
    <n v="270.27"/>
    <n v="0.15"/>
    <n v="2067.5700000000002"/>
    <n v="1277.28"/>
    <n v="790.29"/>
    <s v="Debit Card"/>
  </r>
  <r>
    <s v="ORD-02256"/>
    <x v="80"/>
    <x v="0"/>
    <s v="Washington"/>
    <s v="Tacoma"/>
    <s v="Jamie Miller"/>
    <x v="0"/>
    <x v="0"/>
    <s v="Pens"/>
    <s v="Ballpoint Pens"/>
    <n v="2"/>
    <n v="5.59"/>
    <n v="0.15"/>
    <n v="9.5"/>
    <n v="6.8"/>
    <n v="2.7"/>
    <s v="PayPal"/>
  </r>
  <r>
    <s v="ORD-01013"/>
    <x v="80"/>
    <x v="1"/>
    <s v="Texas"/>
    <s v="Dallas"/>
    <s v="Cameron Clark"/>
    <x v="2"/>
    <x v="0"/>
    <s v="Paper"/>
    <s v="Premium Paper"/>
    <n v="5"/>
    <n v="23.32"/>
    <n v="0.2"/>
    <n v="93.28"/>
    <n v="69.98"/>
    <n v="23.3"/>
    <s v="Credit Card"/>
  </r>
  <r>
    <s v="ORD-02935"/>
    <x v="81"/>
    <x v="2"/>
    <s v="New York"/>
    <s v="New York City"/>
    <s v="Riley Wilson"/>
    <x v="2"/>
    <x v="0"/>
    <s v="Paper"/>
    <s v="Recycled Paper"/>
    <n v="4"/>
    <n v="29.38"/>
    <n v="0"/>
    <n v="117.52"/>
    <n v="67.040000000000006"/>
    <n v="50.48"/>
    <s v="Bank Transfer"/>
  </r>
  <r>
    <s v="ORD-02717"/>
    <x v="81"/>
    <x v="1"/>
    <s v="Georgia"/>
    <s v="Savannah"/>
    <s v="Taylor Smith"/>
    <x v="0"/>
    <x v="2"/>
    <s v="Chairs"/>
    <s v="Executive Chair"/>
    <n v="7"/>
    <n v="474.91"/>
    <n v="0.05"/>
    <n v="3158.15"/>
    <n v="2080.87"/>
    <n v="1077.28"/>
    <s v="Debit Card"/>
  </r>
  <r>
    <s v="ORD-02329"/>
    <x v="81"/>
    <x v="3"/>
    <s v="Michigan"/>
    <s v="Lansing"/>
    <s v="Avery Johnson"/>
    <x v="0"/>
    <x v="1"/>
    <s v="Laptops"/>
    <s v="Business Laptop"/>
    <n v="2"/>
    <n v="1510.75"/>
    <n v="0"/>
    <n v="3021.5"/>
    <n v="2304.33"/>
    <n v="717.17"/>
    <s v="Debit Card"/>
  </r>
  <r>
    <s v="ORD-02423"/>
    <x v="81"/>
    <x v="2"/>
    <s v="Pennsylvania"/>
    <s v="Pittsburgh"/>
    <s v="Casey Brown"/>
    <x v="0"/>
    <x v="2"/>
    <s v="Chairs"/>
    <s v="Ergonomic Chair"/>
    <n v="2"/>
    <n v="556.01"/>
    <n v="0.05"/>
    <n v="1056.42"/>
    <n v="855.71"/>
    <n v="200.71"/>
    <s v="Debit Card"/>
  </r>
  <r>
    <s v="ORD-01202"/>
    <x v="81"/>
    <x v="1"/>
    <s v="North Carolina"/>
    <s v="Charlotte"/>
    <s v="Avery Johnson"/>
    <x v="0"/>
    <x v="1"/>
    <s v="Keyboards"/>
    <s v="Mechanical Keyboard"/>
    <n v="3"/>
    <n v="179.78"/>
    <n v="0.1"/>
    <n v="485.41"/>
    <n v="282.27999999999997"/>
    <n v="203.13"/>
    <s v="PayPal"/>
  </r>
  <r>
    <s v="ORD-01186"/>
    <x v="81"/>
    <x v="0"/>
    <s v="California"/>
    <s v="San Jose"/>
    <s v="Cameron Clark"/>
    <x v="2"/>
    <x v="1"/>
    <s v="Laptops"/>
    <s v="Workstation Laptop"/>
    <n v="9"/>
    <n v="1795.29"/>
    <n v="0.1"/>
    <n v="14541.85"/>
    <n v="8284.58"/>
    <n v="6257.27"/>
    <s v="PayPal"/>
  </r>
  <r>
    <s v="ORD-01571"/>
    <x v="81"/>
    <x v="1"/>
    <s v="Texas"/>
    <s v="Austin"/>
    <s v="Jamie Miller"/>
    <x v="2"/>
    <x v="2"/>
    <s v="Bookcases"/>
    <s v="3-Shelf Bookcase"/>
    <n v="3"/>
    <n v="426.72"/>
    <n v="0.15"/>
    <n v="1088.1400000000001"/>
    <n v="840.94"/>
    <n v="247.2"/>
    <s v="Credit Card"/>
  </r>
  <r>
    <s v="ORD-00571"/>
    <x v="81"/>
    <x v="1"/>
    <s v="North Carolina"/>
    <s v="Charlotte"/>
    <s v="Riley Wilson"/>
    <x v="1"/>
    <x v="0"/>
    <s v="Printers"/>
    <s v="All-in-One Printer"/>
    <n v="8"/>
    <n v="216.17"/>
    <n v="0.1"/>
    <n v="1556.42"/>
    <n v="1107.6199999999999"/>
    <n v="448.8"/>
    <s v="Credit Card"/>
  </r>
  <r>
    <s v="ORD-00554"/>
    <x v="81"/>
    <x v="0"/>
    <s v="Washington"/>
    <s v="Tacoma"/>
    <s v="Taylor Smith"/>
    <x v="0"/>
    <x v="0"/>
    <s v="Printers"/>
    <s v="Laser Printer"/>
    <n v="8"/>
    <n v="593.03"/>
    <n v="0.05"/>
    <n v="4507.03"/>
    <n v="2591.02"/>
    <n v="1916.01"/>
    <s v="Credit Card"/>
  </r>
  <r>
    <s v="ORD-00397"/>
    <x v="81"/>
    <x v="0"/>
    <s v="Colorado"/>
    <s v="Colorado Springs"/>
    <s v="Taylor Smith"/>
    <x v="0"/>
    <x v="1"/>
    <s v="Laptops"/>
    <s v="Workstation Laptop"/>
    <n v="10"/>
    <n v="1158.4100000000001"/>
    <n v="0.15"/>
    <n v="9846.48"/>
    <n v="8071.79"/>
    <n v="1774.69"/>
    <s v="Bank Transfer"/>
  </r>
  <r>
    <s v="ORD-01842"/>
    <x v="81"/>
    <x v="1"/>
    <s v="Texas"/>
    <s v="Dallas"/>
    <s v="Jordan Lee"/>
    <x v="0"/>
    <x v="0"/>
    <s v="Binders"/>
    <s v="Heavy-Duty Binder"/>
    <n v="9"/>
    <n v="17.079999999999998"/>
    <n v="0.1"/>
    <n v="138.35"/>
    <n v="91.24"/>
    <n v="47.11"/>
    <s v="PayPal"/>
  </r>
  <r>
    <s v="ORD-02134"/>
    <x v="81"/>
    <x v="2"/>
    <s v="Pennsylvania"/>
    <s v="Philadelphia"/>
    <s v="Alex Morgan"/>
    <x v="1"/>
    <x v="1"/>
    <s v="Headsets"/>
    <s v="Noise-Canceling Headset"/>
    <n v="6"/>
    <n v="174.32"/>
    <n v="0.15"/>
    <n v="889.03"/>
    <n v="716.03"/>
    <n v="173"/>
    <s v="PayPal"/>
  </r>
  <r>
    <s v="ORD-00181"/>
    <x v="81"/>
    <x v="2"/>
    <s v="Pennsylvania"/>
    <s v="Allentown"/>
    <s v="Jamie Miller"/>
    <x v="0"/>
    <x v="0"/>
    <s v="Printers"/>
    <s v="Laser Printer"/>
    <n v="8"/>
    <n v="422.65"/>
    <n v="0.1"/>
    <n v="3043.08"/>
    <n v="1784.05"/>
    <n v="1259.03"/>
    <s v="PayPal"/>
  </r>
  <r>
    <s v="ORD-00274"/>
    <x v="81"/>
    <x v="0"/>
    <s v="California"/>
    <s v="Los Angeles"/>
    <s v="Cameron Clark"/>
    <x v="2"/>
    <x v="0"/>
    <s v="Printers"/>
    <s v="All-in-One Printer"/>
    <n v="2"/>
    <n v="149.22"/>
    <n v="0"/>
    <n v="298.44"/>
    <n v="203.05"/>
    <n v="95.39"/>
    <s v="Debit Card"/>
  </r>
  <r>
    <s v="ORD-00917"/>
    <x v="82"/>
    <x v="1"/>
    <s v="Virginia"/>
    <s v="Norfolk"/>
    <s v="Morgan Davis"/>
    <x v="1"/>
    <x v="1"/>
    <s v="Headsets"/>
    <s v="Noise-Canceling Headset"/>
    <n v="9"/>
    <n v="81.010000000000005"/>
    <n v="0.1"/>
    <n v="656.18"/>
    <n v="376.75"/>
    <n v="279.43"/>
    <s v="Bank Transfer"/>
  </r>
  <r>
    <s v="ORD-02591"/>
    <x v="82"/>
    <x v="1"/>
    <s v="Florida"/>
    <s v="Orlando"/>
    <s v="Avery Johnson"/>
    <x v="0"/>
    <x v="0"/>
    <s v="Binders"/>
    <s v="3-Ring Binder"/>
    <n v="7"/>
    <n v="15.71"/>
    <n v="0.1"/>
    <n v="98.97"/>
    <n v="74.349999999999994"/>
    <n v="24.62"/>
    <s v="PayPal"/>
  </r>
  <r>
    <s v="ORD-01814"/>
    <x v="82"/>
    <x v="2"/>
    <s v="New York"/>
    <s v="Buffalo"/>
    <s v="Avery Johnson"/>
    <x v="0"/>
    <x v="0"/>
    <s v="Paper"/>
    <s v="Copy Paper"/>
    <n v="2"/>
    <n v="25.54"/>
    <n v="0"/>
    <n v="51.08"/>
    <n v="30.31"/>
    <n v="20.77"/>
    <s v="Credit Card"/>
  </r>
  <r>
    <s v="ORD-00871"/>
    <x v="82"/>
    <x v="2"/>
    <s v="New York"/>
    <s v="Buffalo"/>
    <s v="Jordan Lee"/>
    <x v="0"/>
    <x v="1"/>
    <s v="Headsets"/>
    <s v="Noise-Canceling Headset"/>
    <n v="7"/>
    <n v="102.5"/>
    <n v="0.1"/>
    <n v="645.75"/>
    <n v="358.47"/>
    <n v="287.27999999999997"/>
    <s v="PayPal"/>
  </r>
  <r>
    <s v="ORD-00705"/>
    <x v="82"/>
    <x v="2"/>
    <s v="Pennsylvania"/>
    <s v="Allentown"/>
    <s v="Cameron Clark"/>
    <x v="2"/>
    <x v="1"/>
    <s v="Keyboards"/>
    <s v="Ergonomic Keyboard"/>
    <n v="9"/>
    <n v="85.74"/>
    <n v="0.1"/>
    <n v="694.49"/>
    <n v="484.41"/>
    <n v="210.08"/>
    <s v="Credit Card"/>
  </r>
  <r>
    <s v="ORD-00782"/>
    <x v="82"/>
    <x v="3"/>
    <s v="Minnesota"/>
    <s v="Rochester"/>
    <s v="Morgan Davis"/>
    <x v="1"/>
    <x v="1"/>
    <s v="Headsets"/>
    <s v="USB Headset"/>
    <n v="7"/>
    <n v="130.96"/>
    <n v="0.1"/>
    <n v="825.05"/>
    <n v="489.23"/>
    <n v="335.82"/>
    <s v="Bank Transfer"/>
  </r>
  <r>
    <s v="ORD-02218"/>
    <x v="82"/>
    <x v="2"/>
    <s v="Vermont"/>
    <s v="Rutland"/>
    <s v="Cameron Clark"/>
    <x v="0"/>
    <x v="2"/>
    <s v="Chairs"/>
    <s v="Executive Chair"/>
    <n v="1"/>
    <n v="143.22"/>
    <n v="0"/>
    <n v="143.22"/>
    <n v="111.65"/>
    <n v="31.57"/>
    <s v="Bank Transfer"/>
  </r>
  <r>
    <s v="ORD-02819"/>
    <x v="82"/>
    <x v="3"/>
    <s v="Indiana"/>
    <s v="Fort Wayne"/>
    <s v="Jordan Lee"/>
    <x v="2"/>
    <x v="0"/>
    <s v="Pens"/>
    <s v="Fine Tip Pens"/>
    <n v="6"/>
    <n v="14.78"/>
    <n v="0.1"/>
    <n v="79.81"/>
    <n v="56.7"/>
    <n v="23.11"/>
    <s v="Debit Card"/>
  </r>
  <r>
    <s v="ORD-02560"/>
    <x v="82"/>
    <x v="1"/>
    <s v="Virginia"/>
    <s v="Norfolk"/>
    <s v="Jamie Miller"/>
    <x v="2"/>
    <x v="1"/>
    <s v="Headsets"/>
    <s v="Wireless Headset"/>
    <n v="9"/>
    <n v="142.47"/>
    <n v="0.1"/>
    <n v="1154.01"/>
    <n v="930.28"/>
    <n v="223.73"/>
    <s v="Bank Transfer"/>
  </r>
  <r>
    <s v="ORD-02948"/>
    <x v="82"/>
    <x v="1"/>
    <s v="Florida"/>
    <s v="Miami"/>
    <s v="Avery Johnson"/>
    <x v="2"/>
    <x v="2"/>
    <s v="Desks"/>
    <s v="Executive Desk"/>
    <n v="4"/>
    <n v="293.36"/>
    <n v="0.1"/>
    <n v="1056.0999999999999"/>
    <n v="621.41999999999996"/>
    <n v="434.68"/>
    <s v="Debit Card"/>
  </r>
  <r>
    <s v="ORD-01264"/>
    <x v="82"/>
    <x v="3"/>
    <s v="Michigan"/>
    <s v="Grand Rapids"/>
    <s v="Jordan Lee"/>
    <x v="0"/>
    <x v="1"/>
    <s v="Laptops"/>
    <s v="Workstation Laptop"/>
    <n v="1"/>
    <n v="1016.16"/>
    <n v="0"/>
    <n v="1016.16"/>
    <n v="646.94000000000005"/>
    <n v="369.22"/>
    <s v="Bank Transfer"/>
  </r>
  <r>
    <s v="ORD-00937"/>
    <x v="82"/>
    <x v="1"/>
    <s v="Virginia"/>
    <s v="Arlington"/>
    <s v="Jamie Miller"/>
    <x v="0"/>
    <x v="2"/>
    <s v="Chairs"/>
    <s v="Executive Chair"/>
    <n v="3"/>
    <n v="375.95"/>
    <n v="0.05"/>
    <n v="1071.46"/>
    <n v="804.51"/>
    <n v="266.95"/>
    <s v="PayPal"/>
  </r>
  <r>
    <s v="ORD-00349"/>
    <x v="82"/>
    <x v="0"/>
    <s v="Washington"/>
    <s v="Seattle"/>
    <s v="Cameron Clark"/>
    <x v="0"/>
    <x v="2"/>
    <s v="Bookcases"/>
    <s v="Storage Bookcase"/>
    <n v="1"/>
    <n v="259.81"/>
    <n v="0.05"/>
    <n v="246.82"/>
    <n v="138.41999999999999"/>
    <n v="108.4"/>
    <s v="PayPal"/>
  </r>
  <r>
    <s v="ORD-02148"/>
    <x v="83"/>
    <x v="2"/>
    <s v="Pennsylvania"/>
    <s v="Philadelphia"/>
    <s v="Morgan Davis"/>
    <x v="1"/>
    <x v="2"/>
    <s v="Chairs"/>
    <s v="Ergonomic Chair"/>
    <n v="7"/>
    <n v="198.89"/>
    <n v="0.1"/>
    <n v="1253.01"/>
    <n v="973.11"/>
    <n v="279.89999999999998"/>
    <s v="PayPal"/>
  </r>
  <r>
    <s v="ORD-01059"/>
    <x v="83"/>
    <x v="1"/>
    <s v="Virginia"/>
    <s v="Richmond"/>
    <s v="Avery Johnson"/>
    <x v="0"/>
    <x v="1"/>
    <s v="Laptops"/>
    <s v="Workstation Laptop"/>
    <n v="1"/>
    <n v="1756.82"/>
    <n v="0.1"/>
    <n v="1581.14"/>
    <n v="1295.99"/>
    <n v="285.14999999999998"/>
    <s v="Credit Card"/>
  </r>
  <r>
    <s v="ORD-02350"/>
    <x v="83"/>
    <x v="0"/>
    <s v="Washington"/>
    <s v="Seattle"/>
    <s v="Taylor Smith"/>
    <x v="0"/>
    <x v="1"/>
    <s v="Headsets"/>
    <s v="USB Headset"/>
    <n v="9"/>
    <n v="69.680000000000007"/>
    <n v="0"/>
    <n v="627.12"/>
    <n v="400.58"/>
    <n v="226.54"/>
    <s v="Credit Card"/>
  </r>
  <r>
    <s v="ORD-01679"/>
    <x v="83"/>
    <x v="1"/>
    <s v="Florida"/>
    <s v="Miami"/>
    <s v="Morgan Davis"/>
    <x v="0"/>
    <x v="1"/>
    <s v="Headsets"/>
    <s v="Wireless Headset"/>
    <n v="7"/>
    <n v="161.19"/>
    <n v="0"/>
    <n v="1128.33"/>
    <n v="735.17"/>
    <n v="393.16"/>
    <s v="Debit Card"/>
  </r>
  <r>
    <s v="ORD-01115"/>
    <x v="83"/>
    <x v="3"/>
    <s v="Illinois"/>
    <s v="Peoria"/>
    <s v="Riley Wilson"/>
    <x v="0"/>
    <x v="0"/>
    <s v="Binders"/>
    <s v="Heavy-Duty Binder"/>
    <n v="2"/>
    <n v="16.41"/>
    <n v="0.15"/>
    <n v="27.9"/>
    <n v="17.170000000000002"/>
    <n v="10.73"/>
    <s v="PayPal"/>
  </r>
  <r>
    <s v="ORD-00017"/>
    <x v="83"/>
    <x v="0"/>
    <s v="Colorado"/>
    <s v="Boulder"/>
    <s v="Alex Morgan"/>
    <x v="2"/>
    <x v="0"/>
    <s v="Printers"/>
    <s v="Color Printer"/>
    <n v="10"/>
    <n v="352.83"/>
    <n v="0"/>
    <n v="3528.3"/>
    <n v="2260.69"/>
    <n v="1267.6099999999999"/>
    <s v="Debit Card"/>
  </r>
  <r>
    <s v="ORD-00606"/>
    <x v="83"/>
    <x v="3"/>
    <s v="Illinois"/>
    <s v="Springfield"/>
    <s v="Avery Johnson"/>
    <x v="2"/>
    <x v="0"/>
    <s v="Paper"/>
    <s v="Copy Paper"/>
    <n v="10"/>
    <n v="27.05"/>
    <n v="0.15"/>
    <n v="229.92"/>
    <n v="146.94"/>
    <n v="82.98"/>
    <s v="Credit Card"/>
  </r>
  <r>
    <s v="ORD-02514"/>
    <x v="84"/>
    <x v="0"/>
    <s v="California"/>
    <s v="San Jose"/>
    <s v="Casey Brown"/>
    <x v="2"/>
    <x v="1"/>
    <s v="Headsets"/>
    <s v="Wireless Headset"/>
    <n v="10"/>
    <n v="189.5"/>
    <n v="0.1"/>
    <n v="1705.5"/>
    <n v="1180.3800000000001"/>
    <n v="525.12"/>
    <s v="Bank Transfer"/>
  </r>
  <r>
    <s v="ORD-02175"/>
    <x v="84"/>
    <x v="2"/>
    <s v="Vermont"/>
    <s v="Montpelier"/>
    <s v="Morgan Davis"/>
    <x v="2"/>
    <x v="1"/>
    <s v="Laptops"/>
    <s v="Business Laptop"/>
    <n v="10"/>
    <n v="715.15"/>
    <n v="0.15"/>
    <n v="6078.78"/>
    <n v="3424.3"/>
    <n v="2654.48"/>
    <s v="Bank Transfer"/>
  </r>
  <r>
    <s v="ORD-00242"/>
    <x v="84"/>
    <x v="3"/>
    <s v="Indiana"/>
    <s v="Evansville"/>
    <s v="Casey Brown"/>
    <x v="1"/>
    <x v="1"/>
    <s v="Headsets"/>
    <s v="USB Headset"/>
    <n v="9"/>
    <n v="45.51"/>
    <n v="0"/>
    <n v="409.59"/>
    <n v="311.49"/>
    <n v="98.1"/>
    <s v="Debit Card"/>
  </r>
  <r>
    <s v="ORD-01383"/>
    <x v="84"/>
    <x v="3"/>
    <s v="Ohio"/>
    <s v="Columbus"/>
    <s v="Morgan Davis"/>
    <x v="2"/>
    <x v="0"/>
    <s v="Binders"/>
    <s v="Heavy-Duty Binder"/>
    <n v="10"/>
    <n v="22.14"/>
    <n v="0.15"/>
    <n v="188.19"/>
    <n v="123.81"/>
    <n v="64.38"/>
    <s v="Debit Card"/>
  </r>
  <r>
    <s v="ORD-02702"/>
    <x v="84"/>
    <x v="3"/>
    <s v="Illinois"/>
    <s v="Peoria"/>
    <s v="Alex Morgan"/>
    <x v="0"/>
    <x v="2"/>
    <s v="Desks"/>
    <s v="Standing Desk"/>
    <n v="9"/>
    <n v="577.54999999999995"/>
    <n v="0.05"/>
    <n v="4938.05"/>
    <n v="3122.94"/>
    <n v="1815.11"/>
    <s v="Debit Card"/>
  </r>
  <r>
    <s v="ORD-01664"/>
    <x v="84"/>
    <x v="3"/>
    <s v="Michigan"/>
    <s v="Lansing"/>
    <s v="Riley Wilson"/>
    <x v="2"/>
    <x v="1"/>
    <s v="Headsets"/>
    <s v="Wireless Headset"/>
    <n v="9"/>
    <n v="69.849999999999994"/>
    <n v="0.1"/>
    <n v="565.78"/>
    <n v="458.21"/>
    <n v="107.57"/>
    <s v="Bank Transfer"/>
  </r>
  <r>
    <s v="ORD-00072"/>
    <x v="84"/>
    <x v="1"/>
    <s v="Florida"/>
    <s v="Miami"/>
    <s v="Avery Johnson"/>
    <x v="0"/>
    <x v="0"/>
    <s v="Paper"/>
    <s v="Recycled Paper"/>
    <n v="6"/>
    <n v="14.93"/>
    <n v="0"/>
    <n v="89.58"/>
    <n v="72.64"/>
    <n v="16.940000000000001"/>
    <s v="Credit Card"/>
  </r>
  <r>
    <s v="ORD-00656"/>
    <x v="84"/>
    <x v="2"/>
    <s v="Massachusetts"/>
    <s v="Worcester"/>
    <s v="Casey Brown"/>
    <x v="0"/>
    <x v="0"/>
    <s v="Printers"/>
    <s v="Laser Printer"/>
    <n v="6"/>
    <n v="301.64999999999998"/>
    <n v="0"/>
    <n v="1809.9"/>
    <n v="1373.77"/>
    <n v="436.13"/>
    <s v="Debit Card"/>
  </r>
  <r>
    <s v="ORD-00047"/>
    <x v="84"/>
    <x v="0"/>
    <s v="Washington"/>
    <s v="Spokane"/>
    <s v="Alex Morgan"/>
    <x v="1"/>
    <x v="0"/>
    <s v="Binders"/>
    <s v="Heavy-Duty Binder"/>
    <n v="8"/>
    <n v="7.6"/>
    <n v="0"/>
    <n v="60.8"/>
    <n v="47.9"/>
    <n v="12.9"/>
    <s v="Credit Card"/>
  </r>
  <r>
    <s v="ORD-01052"/>
    <x v="84"/>
    <x v="2"/>
    <s v="Massachusetts"/>
    <s v="Worcester"/>
    <s v="Casey Brown"/>
    <x v="0"/>
    <x v="1"/>
    <s v="Laptops"/>
    <s v="Workstation Laptop"/>
    <n v="7"/>
    <n v="1725.59"/>
    <n v="0.1"/>
    <n v="10871.22"/>
    <n v="6814.41"/>
    <n v="4056.81"/>
    <s v="Debit Card"/>
  </r>
  <r>
    <s v="ORD-02582"/>
    <x v="85"/>
    <x v="3"/>
    <s v="Michigan"/>
    <s v="Grand Rapids"/>
    <s v="Jordan Lee"/>
    <x v="2"/>
    <x v="0"/>
    <s v="Binders"/>
    <s v="3-Ring Binder"/>
    <n v="9"/>
    <n v="20.329999999999998"/>
    <n v="0.1"/>
    <n v="164.67"/>
    <n v="133.66999999999999"/>
    <n v="31"/>
    <s v="Debit Card"/>
  </r>
  <r>
    <s v="ORD-02952"/>
    <x v="85"/>
    <x v="3"/>
    <s v="Illinois"/>
    <s v="Peoria"/>
    <s v="Alex Morgan"/>
    <x v="1"/>
    <x v="2"/>
    <s v="Bookcases"/>
    <s v="3-Shelf Bookcase"/>
    <n v="10"/>
    <n v="215.18"/>
    <n v="0.05"/>
    <n v="2044.21"/>
    <n v="1302.69"/>
    <n v="741.52"/>
    <s v="PayPal"/>
  </r>
  <r>
    <s v="ORD-00873"/>
    <x v="85"/>
    <x v="1"/>
    <s v="Georgia"/>
    <s v="Savannah"/>
    <s v="Jordan Lee"/>
    <x v="2"/>
    <x v="0"/>
    <s v="Paper"/>
    <s v="Copy Paper"/>
    <n v="4"/>
    <n v="26.38"/>
    <n v="0"/>
    <n v="105.52"/>
    <n v="85.9"/>
    <n v="19.62"/>
    <s v="Credit Card"/>
  </r>
  <r>
    <s v="ORD-01384"/>
    <x v="86"/>
    <x v="0"/>
    <s v="Colorado"/>
    <s v="Colorado Springs"/>
    <s v="Jordan Lee"/>
    <x v="1"/>
    <x v="2"/>
    <s v="Desks"/>
    <s v="Standing Desk"/>
    <n v="3"/>
    <n v="847.19"/>
    <n v="0"/>
    <n v="2541.5700000000002"/>
    <n v="1665.34"/>
    <n v="876.23"/>
    <s v="Debit Card"/>
  </r>
  <r>
    <s v="ORD-02742"/>
    <x v="86"/>
    <x v="1"/>
    <s v="North Carolina"/>
    <s v="Durham"/>
    <s v="Avery Johnson"/>
    <x v="0"/>
    <x v="1"/>
    <s v="Monitors"/>
    <s v="24in Monitor"/>
    <n v="4"/>
    <n v="173.4"/>
    <n v="0.05"/>
    <n v="658.92"/>
    <n v="453.21"/>
    <n v="205.71"/>
    <s v="Bank Transfer"/>
  </r>
  <r>
    <s v="ORD-02760"/>
    <x v="86"/>
    <x v="3"/>
    <s v="Minnesota"/>
    <s v="St. Paul"/>
    <s v="Taylor Smith"/>
    <x v="0"/>
    <x v="1"/>
    <s v="Keyboards"/>
    <s v="Wireless Keyboard"/>
    <n v="8"/>
    <n v="43.03"/>
    <n v="0.1"/>
    <n v="309.82"/>
    <n v="210.61"/>
    <n v="99.21"/>
    <s v="PayPal"/>
  </r>
  <r>
    <s v="ORD-00889"/>
    <x v="86"/>
    <x v="0"/>
    <s v="Colorado"/>
    <s v="Denver"/>
    <s v="Morgan Davis"/>
    <x v="2"/>
    <x v="2"/>
    <s v="Bookcases"/>
    <s v="Storage Bookcase"/>
    <n v="4"/>
    <n v="163.82"/>
    <n v="0.1"/>
    <n v="589.75"/>
    <n v="419.6"/>
    <n v="170.15"/>
    <s v="PayPal"/>
  </r>
  <r>
    <s v="ORD-01772"/>
    <x v="86"/>
    <x v="3"/>
    <s v="Illinois"/>
    <s v="Peoria"/>
    <s v="Jordan Lee"/>
    <x v="0"/>
    <x v="0"/>
    <s v="Paper"/>
    <s v="Premium Paper"/>
    <n v="10"/>
    <n v="16.21"/>
    <n v="0"/>
    <n v="162.1"/>
    <n v="125.89"/>
    <n v="36.21"/>
    <s v="Credit Card"/>
  </r>
  <r>
    <s v="ORD-00638"/>
    <x v="86"/>
    <x v="3"/>
    <s v="Minnesota"/>
    <s v="St. Paul"/>
    <s v="Cameron Clark"/>
    <x v="0"/>
    <x v="0"/>
    <s v="Paper"/>
    <s v="Recycled Paper"/>
    <n v="7"/>
    <n v="19.59"/>
    <n v="0.05"/>
    <n v="130.27000000000001"/>
    <n v="95.08"/>
    <n v="35.19"/>
    <s v="Bank Transfer"/>
  </r>
  <r>
    <s v="ORD-01011"/>
    <x v="86"/>
    <x v="2"/>
    <s v="New York"/>
    <s v="New York City"/>
    <s v="Taylor Smith"/>
    <x v="2"/>
    <x v="1"/>
    <s v="Keyboards"/>
    <s v="Ergonomic Keyboard"/>
    <n v="7"/>
    <n v="179.03"/>
    <n v="0.05"/>
    <n v="1190.55"/>
    <n v="785.58"/>
    <n v="404.97"/>
    <s v="PayPal"/>
  </r>
  <r>
    <s v="ORD-00246"/>
    <x v="86"/>
    <x v="1"/>
    <s v="Texas"/>
    <s v="Dallas"/>
    <s v="Taylor Smith"/>
    <x v="1"/>
    <x v="2"/>
    <s v="Bookcases"/>
    <s v="Storage Bookcase"/>
    <n v="9"/>
    <n v="374.84"/>
    <n v="0"/>
    <n v="3373.56"/>
    <n v="2449.7600000000002"/>
    <n v="923.8"/>
    <s v="Credit Card"/>
  </r>
  <r>
    <s v="ORD-01179"/>
    <x v="86"/>
    <x v="3"/>
    <s v="Indiana"/>
    <s v="Evansville"/>
    <s v="Cameron Clark"/>
    <x v="0"/>
    <x v="0"/>
    <s v="Paper"/>
    <s v="Copy Paper"/>
    <n v="3"/>
    <n v="23.21"/>
    <n v="0.1"/>
    <n v="62.67"/>
    <n v="40.08"/>
    <n v="22.59"/>
    <s v="Bank Transfer"/>
  </r>
  <r>
    <s v="ORD-02989"/>
    <x v="86"/>
    <x v="3"/>
    <s v="Michigan"/>
    <s v="Grand Rapids"/>
    <s v="Avery Johnson"/>
    <x v="0"/>
    <x v="0"/>
    <s v="Pens"/>
    <s v="Ballpoint Pens"/>
    <n v="4"/>
    <n v="10.43"/>
    <n v="0.05"/>
    <n v="39.630000000000003"/>
    <n v="26.27"/>
    <n v="13.36"/>
    <s v="Bank Transfer"/>
  </r>
  <r>
    <s v="ORD-02399"/>
    <x v="86"/>
    <x v="3"/>
    <s v="Minnesota"/>
    <s v="St. Paul"/>
    <s v="Drew Anderson"/>
    <x v="0"/>
    <x v="2"/>
    <s v="Desks"/>
    <s v="Executive Desk"/>
    <n v="7"/>
    <n v="419.49"/>
    <n v="0.05"/>
    <n v="2789.61"/>
    <n v="1838.95"/>
    <n v="950.66"/>
    <s v="Credit Card"/>
  </r>
  <r>
    <s v="ORD-00224"/>
    <x v="86"/>
    <x v="0"/>
    <s v="Oregon"/>
    <s v="Salem"/>
    <s v="Taylor Smith"/>
    <x v="1"/>
    <x v="0"/>
    <s v="Paper"/>
    <s v="Premium Paper"/>
    <n v="2"/>
    <n v="32.64"/>
    <n v="0.15"/>
    <n v="55.49"/>
    <n v="31"/>
    <n v="24.49"/>
    <s v="Bank Transfer"/>
  </r>
  <r>
    <s v="ORD-01423"/>
    <x v="86"/>
    <x v="3"/>
    <s v="Ohio"/>
    <s v="Columbus"/>
    <s v="Jamie Miller"/>
    <x v="2"/>
    <x v="0"/>
    <s v="Binders"/>
    <s v="Presentation Binder"/>
    <n v="1"/>
    <n v="11.17"/>
    <n v="0.2"/>
    <n v="8.94"/>
    <n v="7.22"/>
    <n v="1.72"/>
    <s v="Bank Transfer"/>
  </r>
  <r>
    <s v="ORD-01890"/>
    <x v="87"/>
    <x v="2"/>
    <s v="New York"/>
    <s v="Rochester"/>
    <s v="Casey Brown"/>
    <x v="2"/>
    <x v="0"/>
    <s v="Pens"/>
    <s v="Ballpoint Pens"/>
    <n v="7"/>
    <n v="14.72"/>
    <n v="0"/>
    <n v="103.04"/>
    <n v="82.5"/>
    <n v="20.54"/>
    <s v="Bank Transfer"/>
  </r>
  <r>
    <s v="ORD-02424"/>
    <x v="87"/>
    <x v="2"/>
    <s v="Pennsylvania"/>
    <s v="Pittsburgh"/>
    <s v="Cameron Clark"/>
    <x v="1"/>
    <x v="0"/>
    <s v="Paper"/>
    <s v="Copy Paper"/>
    <n v="8"/>
    <n v="34.44"/>
    <n v="0.1"/>
    <n v="247.97"/>
    <n v="179.94"/>
    <n v="68.03"/>
    <s v="PayPal"/>
  </r>
  <r>
    <s v="ORD-02044"/>
    <x v="87"/>
    <x v="3"/>
    <s v="Minnesota"/>
    <s v="Minneapolis"/>
    <s v="Taylor Smith"/>
    <x v="0"/>
    <x v="1"/>
    <s v="Headsets"/>
    <s v="USB Headset"/>
    <n v="2"/>
    <n v="78.23"/>
    <n v="0.1"/>
    <n v="140.81"/>
    <n v="95.63"/>
    <n v="45.18"/>
    <s v="Credit Card"/>
  </r>
  <r>
    <s v="ORD-00971"/>
    <x v="87"/>
    <x v="0"/>
    <s v="Washington"/>
    <s v="Seattle"/>
    <s v="Riley Wilson"/>
    <x v="2"/>
    <x v="0"/>
    <s v="Binders"/>
    <s v="Presentation Binder"/>
    <n v="5"/>
    <n v="6.54"/>
    <n v="0"/>
    <n v="32.700000000000003"/>
    <n v="21.46"/>
    <n v="11.24"/>
    <s v="Debit Card"/>
  </r>
  <r>
    <s v="ORD-00886"/>
    <x v="88"/>
    <x v="2"/>
    <s v="New York"/>
    <s v="New York City"/>
    <s v="Riley Wilson"/>
    <x v="1"/>
    <x v="2"/>
    <s v="Tables"/>
    <s v="Training Table"/>
    <n v="2"/>
    <n v="697.6"/>
    <n v="0.1"/>
    <n v="1255.68"/>
    <n v="899.5"/>
    <n v="356.18"/>
    <s v="PayPal"/>
  </r>
  <r>
    <s v="ORD-01388"/>
    <x v="88"/>
    <x v="0"/>
    <s v="California"/>
    <s v="Los Angeles"/>
    <s v="Avery Johnson"/>
    <x v="2"/>
    <x v="1"/>
    <s v="Laptops"/>
    <s v="Ultrabook"/>
    <n v="3"/>
    <n v="989.75"/>
    <n v="0.1"/>
    <n v="2672.32"/>
    <n v="1705.95"/>
    <n v="966.37"/>
    <s v="Credit Card"/>
  </r>
  <r>
    <s v="ORD-01326"/>
    <x v="88"/>
    <x v="2"/>
    <s v="New Jersey"/>
    <s v="Trenton"/>
    <s v="Drew Anderson"/>
    <x v="0"/>
    <x v="2"/>
    <s v="Tables"/>
    <s v="Side Table"/>
    <n v="1"/>
    <n v="251.36"/>
    <n v="0.15"/>
    <n v="213.66"/>
    <n v="143.49"/>
    <n v="70.17"/>
    <s v="Bank Transfer"/>
  </r>
  <r>
    <s v="ORD-00481"/>
    <x v="88"/>
    <x v="0"/>
    <s v="Oregon"/>
    <s v="Portland"/>
    <s v="Casey Brown"/>
    <x v="0"/>
    <x v="0"/>
    <s v="Printers"/>
    <s v="Color Printer"/>
    <n v="5"/>
    <n v="434.29"/>
    <n v="0.1"/>
    <n v="1954.31"/>
    <n v="1229.6500000000001"/>
    <n v="724.66"/>
    <s v="Bank Transfer"/>
  </r>
  <r>
    <s v="ORD-00836"/>
    <x v="88"/>
    <x v="0"/>
    <s v="Oregon"/>
    <s v="Salem"/>
    <s v="Casey Brown"/>
    <x v="2"/>
    <x v="2"/>
    <s v="Chairs"/>
    <s v="Ergonomic Chair"/>
    <n v="5"/>
    <n v="265.94"/>
    <n v="0.05"/>
    <n v="1263.21"/>
    <n v="832.62"/>
    <n v="430.59"/>
    <s v="Debit Card"/>
  </r>
  <r>
    <s v="ORD-01821"/>
    <x v="88"/>
    <x v="3"/>
    <s v="Minnesota"/>
    <s v="Minneapolis"/>
    <s v="Taylor Smith"/>
    <x v="0"/>
    <x v="1"/>
    <s v="Headsets"/>
    <s v="USB Headset"/>
    <n v="5"/>
    <n v="130.83000000000001"/>
    <n v="0.1"/>
    <n v="588.74"/>
    <n v="405.69"/>
    <n v="183.05"/>
    <s v="Credit Card"/>
  </r>
  <r>
    <s v="ORD-02267"/>
    <x v="88"/>
    <x v="0"/>
    <s v="Colorado"/>
    <s v="Colorado Springs"/>
    <s v="Morgan Davis"/>
    <x v="0"/>
    <x v="2"/>
    <s v="Desks"/>
    <s v="Work Desk"/>
    <n v="10"/>
    <n v="680.17"/>
    <n v="0"/>
    <n v="6801.7"/>
    <n v="5202.51"/>
    <n v="1599.19"/>
    <s v="Credit Card"/>
  </r>
  <r>
    <s v="ORD-01342"/>
    <x v="89"/>
    <x v="0"/>
    <s v="Arizona"/>
    <s v="Mesa"/>
    <s v="Casey Brown"/>
    <x v="0"/>
    <x v="0"/>
    <s v="Binders"/>
    <s v="Presentation Binder"/>
    <n v="1"/>
    <n v="11.13"/>
    <n v="0.2"/>
    <n v="8.9"/>
    <n v="6.62"/>
    <n v="2.2799999999999998"/>
    <s v="Credit Card"/>
  </r>
  <r>
    <s v="ORD-02070"/>
    <x v="89"/>
    <x v="3"/>
    <s v="Ohio"/>
    <s v="Columbus"/>
    <s v="Drew Anderson"/>
    <x v="1"/>
    <x v="2"/>
    <s v="Chairs"/>
    <s v="Task Chair"/>
    <n v="10"/>
    <n v="620.21"/>
    <n v="0.2"/>
    <n v="4961.68"/>
    <n v="3658.55"/>
    <n v="1303.1300000000001"/>
    <s v="Bank Transfer"/>
  </r>
  <r>
    <s v="ORD-02923"/>
    <x v="89"/>
    <x v="2"/>
    <s v="New York"/>
    <s v="New York City"/>
    <s v="Jordan Lee"/>
    <x v="0"/>
    <x v="1"/>
    <s v="Headsets"/>
    <s v="USB Headset"/>
    <n v="7"/>
    <n v="180.79"/>
    <n v="0.1"/>
    <n v="1138.98"/>
    <n v="781.38"/>
    <n v="357.6"/>
    <s v="Debit Card"/>
  </r>
  <r>
    <s v="ORD-02926"/>
    <x v="89"/>
    <x v="1"/>
    <s v="Florida"/>
    <s v="Orlando"/>
    <s v="Jordan Lee"/>
    <x v="0"/>
    <x v="1"/>
    <s v="Monitors"/>
    <s v="24in Monitor"/>
    <n v="7"/>
    <n v="257.73"/>
    <n v="0.1"/>
    <n v="1623.7"/>
    <n v="1076.45"/>
    <n v="547.25"/>
    <s v="Credit Card"/>
  </r>
  <r>
    <s v="ORD-00470"/>
    <x v="89"/>
    <x v="0"/>
    <s v="Arizona"/>
    <s v="Phoenix"/>
    <s v="Casey Brown"/>
    <x v="1"/>
    <x v="0"/>
    <s v="Binders"/>
    <s v="Heavy-Duty Binder"/>
    <n v="6"/>
    <n v="7.04"/>
    <n v="0.15"/>
    <n v="35.9"/>
    <n v="19.850000000000001"/>
    <n v="16.05"/>
    <s v="Debit Card"/>
  </r>
  <r>
    <s v="ORD-02086"/>
    <x v="89"/>
    <x v="2"/>
    <s v="Massachusetts"/>
    <s v="Boston"/>
    <s v="Alex Morgan"/>
    <x v="2"/>
    <x v="1"/>
    <s v="Keyboards"/>
    <s v="Mechanical Keyboard"/>
    <n v="3"/>
    <n v="153.01"/>
    <n v="0"/>
    <n v="459.03"/>
    <n v="311.95"/>
    <n v="147.08000000000001"/>
    <s v="Credit Card"/>
  </r>
  <r>
    <s v="ORD-02844"/>
    <x v="89"/>
    <x v="3"/>
    <s v="Illinois"/>
    <s v="Springfield"/>
    <s v="Drew Anderson"/>
    <x v="0"/>
    <x v="0"/>
    <s v="Pens"/>
    <s v="Gel Pens"/>
    <n v="6"/>
    <n v="19.34"/>
    <n v="0.2"/>
    <n v="92.83"/>
    <n v="57.52"/>
    <n v="35.31"/>
    <s v="PayPal"/>
  </r>
  <r>
    <s v="ORD-01240"/>
    <x v="89"/>
    <x v="3"/>
    <s v="Ohio"/>
    <s v="Cleveland"/>
    <s v="Jordan Lee"/>
    <x v="0"/>
    <x v="2"/>
    <s v="Bookcases"/>
    <s v="3-Shelf Bookcase"/>
    <n v="4"/>
    <n v="127.6"/>
    <n v="0.05"/>
    <n v="484.88"/>
    <n v="369.71"/>
    <n v="115.17"/>
    <s v="PayPal"/>
  </r>
  <r>
    <s v="ORD-01477"/>
    <x v="90"/>
    <x v="3"/>
    <s v="Ohio"/>
    <s v="Columbus"/>
    <s v="Taylor Smith"/>
    <x v="1"/>
    <x v="1"/>
    <s v="Headsets"/>
    <s v="Wireless Headset"/>
    <n v="5"/>
    <n v="148.11000000000001"/>
    <n v="0.15"/>
    <n v="629.47"/>
    <n v="410.14"/>
    <n v="219.33"/>
    <s v="Credit Card"/>
  </r>
  <r>
    <s v="ORD-00311"/>
    <x v="90"/>
    <x v="0"/>
    <s v="Oregon"/>
    <s v="Eugene"/>
    <s v="Casey Brown"/>
    <x v="1"/>
    <x v="2"/>
    <s v="Chairs"/>
    <s v="Task Chair"/>
    <n v="4"/>
    <n v="271.67"/>
    <n v="0.15"/>
    <n v="923.68"/>
    <n v="610.71"/>
    <n v="312.97000000000003"/>
    <s v="Credit Card"/>
  </r>
  <r>
    <s v="ORD-00488"/>
    <x v="90"/>
    <x v="0"/>
    <s v="California"/>
    <s v="San Diego"/>
    <s v="Alex Morgan"/>
    <x v="2"/>
    <x v="0"/>
    <s v="Paper"/>
    <s v="Premium Paper"/>
    <n v="10"/>
    <n v="31.16"/>
    <n v="0.05"/>
    <n v="296.02"/>
    <n v="242.19"/>
    <n v="53.83"/>
    <s v="PayPal"/>
  </r>
  <r>
    <s v="ORD-02260"/>
    <x v="90"/>
    <x v="3"/>
    <s v="Illinois"/>
    <s v="Springfield"/>
    <s v="Morgan Davis"/>
    <x v="2"/>
    <x v="1"/>
    <s v="Monitors"/>
    <s v="27in Monitor"/>
    <n v="2"/>
    <n v="621.1"/>
    <n v="0.05"/>
    <n v="1180.0899999999999"/>
    <n v="854.41"/>
    <n v="325.68"/>
    <s v="Debit Card"/>
  </r>
  <r>
    <s v="ORD-00790"/>
    <x v="90"/>
    <x v="3"/>
    <s v="Illinois"/>
    <s v="Peoria"/>
    <s v="Drew Anderson"/>
    <x v="2"/>
    <x v="0"/>
    <s v="Binders"/>
    <s v="Presentation Binder"/>
    <n v="9"/>
    <n v="21.46"/>
    <n v="0.05"/>
    <n v="183.48"/>
    <n v="136.28"/>
    <n v="47.2"/>
    <s v="PayPal"/>
  </r>
  <r>
    <s v="ORD-01411"/>
    <x v="91"/>
    <x v="0"/>
    <s v="Arizona"/>
    <s v="Phoenix"/>
    <s v="Casey Brown"/>
    <x v="2"/>
    <x v="0"/>
    <s v="Binders"/>
    <s v="Presentation Binder"/>
    <n v="7"/>
    <n v="16.78"/>
    <n v="0.1"/>
    <n v="105.71"/>
    <n v="61.86"/>
    <n v="43.85"/>
    <s v="PayPal"/>
  </r>
  <r>
    <s v="ORD-01382"/>
    <x v="91"/>
    <x v="0"/>
    <s v="Washington"/>
    <s v="Tacoma"/>
    <s v="Cameron Clark"/>
    <x v="2"/>
    <x v="0"/>
    <s v="Paper"/>
    <s v="Recycled Paper"/>
    <n v="8"/>
    <n v="33.770000000000003"/>
    <n v="0.2"/>
    <n v="216.13"/>
    <n v="168.23"/>
    <n v="47.9"/>
    <s v="Bank Transfer"/>
  </r>
  <r>
    <s v="ORD-01328"/>
    <x v="91"/>
    <x v="2"/>
    <s v="Vermont"/>
    <s v="Montpelier"/>
    <s v="Avery Johnson"/>
    <x v="1"/>
    <x v="2"/>
    <s v="Bookcases"/>
    <s v="Storage Bookcase"/>
    <n v="9"/>
    <n v="203.98"/>
    <n v="0.1"/>
    <n v="1652.24"/>
    <n v="1300.97"/>
    <n v="351.27"/>
    <s v="Bank Transfer"/>
  </r>
  <r>
    <s v="ORD-02397"/>
    <x v="91"/>
    <x v="0"/>
    <s v="Oregon"/>
    <s v="Eugene"/>
    <s v="Jamie Miller"/>
    <x v="2"/>
    <x v="0"/>
    <s v="Binders"/>
    <s v="3-Ring Binder"/>
    <n v="7"/>
    <n v="12.64"/>
    <n v="0"/>
    <n v="88.48"/>
    <n v="54.17"/>
    <n v="34.31"/>
    <s v="Bank Transfer"/>
  </r>
  <r>
    <s v="ORD-00775"/>
    <x v="91"/>
    <x v="1"/>
    <s v="Texas"/>
    <s v="Houston"/>
    <s v="Morgan Davis"/>
    <x v="1"/>
    <x v="1"/>
    <s v="Monitors"/>
    <s v="24in Monitor"/>
    <n v="7"/>
    <n v="661.91"/>
    <n v="0"/>
    <n v="4633.37"/>
    <n v="3372.33"/>
    <n v="1261.04"/>
    <s v="PayPal"/>
  </r>
  <r>
    <s v="ORD-01880"/>
    <x v="91"/>
    <x v="2"/>
    <s v="Massachusetts"/>
    <s v="Springfield"/>
    <s v="Cameron Clark"/>
    <x v="2"/>
    <x v="0"/>
    <s v="Binders"/>
    <s v="Heavy-Duty Binder"/>
    <n v="3"/>
    <n v="19.510000000000002"/>
    <n v="0.1"/>
    <n v="52.68"/>
    <n v="39.29"/>
    <n v="13.39"/>
    <s v="PayPal"/>
  </r>
  <r>
    <s v="ORD-00944"/>
    <x v="91"/>
    <x v="2"/>
    <s v="New Jersey"/>
    <s v="Newark"/>
    <s v="Alex Morgan"/>
    <x v="0"/>
    <x v="1"/>
    <s v="Headsets"/>
    <s v="Noise-Canceling Headset"/>
    <n v="4"/>
    <n v="200.55"/>
    <n v="0.15"/>
    <n v="681.87"/>
    <n v="525.75"/>
    <n v="156.12"/>
    <s v="Bank Transfer"/>
  </r>
  <r>
    <s v="ORD-01167"/>
    <x v="92"/>
    <x v="2"/>
    <s v="Pennsylvania"/>
    <s v="Pittsburgh"/>
    <s v="Morgan Davis"/>
    <x v="1"/>
    <x v="0"/>
    <s v="Printers"/>
    <s v="Laser Printer"/>
    <n v="7"/>
    <n v="380.3"/>
    <n v="0.15"/>
    <n v="2262.7800000000002"/>
    <n v="1705.99"/>
    <n v="556.79"/>
    <s v="Bank Transfer"/>
  </r>
  <r>
    <s v="ORD-02884"/>
    <x v="92"/>
    <x v="3"/>
    <s v="Minnesota"/>
    <s v="Rochester"/>
    <s v="Jamie Miller"/>
    <x v="1"/>
    <x v="2"/>
    <s v="Bookcases"/>
    <s v="Storage Bookcase"/>
    <n v="2"/>
    <n v="278.24"/>
    <n v="0.1"/>
    <n v="500.83"/>
    <n v="408.73"/>
    <n v="92.1"/>
    <s v="Bank Transfer"/>
  </r>
  <r>
    <s v="ORD-02606"/>
    <x v="92"/>
    <x v="3"/>
    <s v="Illinois"/>
    <s v="Springfield"/>
    <s v="Riley Wilson"/>
    <x v="0"/>
    <x v="2"/>
    <s v="Chairs"/>
    <s v="Ergonomic Chair"/>
    <n v="2"/>
    <n v="591.03"/>
    <n v="0"/>
    <n v="1182.06"/>
    <n v="862.73"/>
    <n v="319.33"/>
    <s v="PayPal"/>
  </r>
  <r>
    <s v="ORD-01542"/>
    <x v="92"/>
    <x v="3"/>
    <s v="Indiana"/>
    <s v="Fort Wayne"/>
    <s v="Avery Johnson"/>
    <x v="2"/>
    <x v="1"/>
    <s v="Headsets"/>
    <s v="USB Headset"/>
    <n v="2"/>
    <n v="85.21"/>
    <n v="0.15"/>
    <n v="144.86000000000001"/>
    <n v="82.18"/>
    <n v="62.68"/>
    <s v="Credit Card"/>
  </r>
  <r>
    <s v="ORD-02541"/>
    <x v="92"/>
    <x v="2"/>
    <s v="New Jersey"/>
    <s v="Newark"/>
    <s v="Riley Wilson"/>
    <x v="0"/>
    <x v="0"/>
    <s v="Binders"/>
    <s v="Presentation Binder"/>
    <n v="2"/>
    <n v="18.809999999999999"/>
    <n v="0.05"/>
    <n v="35.74"/>
    <n v="20.29"/>
    <n v="15.45"/>
    <s v="PayPal"/>
  </r>
  <r>
    <s v="ORD-01365"/>
    <x v="92"/>
    <x v="0"/>
    <s v="California"/>
    <s v="Los Angeles"/>
    <s v="Taylor Smith"/>
    <x v="0"/>
    <x v="0"/>
    <s v="Paper"/>
    <s v="Copy Paper"/>
    <n v="5"/>
    <n v="20.18"/>
    <n v="0"/>
    <n v="100.9"/>
    <n v="75.58"/>
    <n v="25.32"/>
    <s v="Credit Card"/>
  </r>
  <r>
    <s v="ORD-02406"/>
    <x v="93"/>
    <x v="2"/>
    <s v="Massachusetts"/>
    <s v="Worcester"/>
    <s v="Alex Morgan"/>
    <x v="1"/>
    <x v="2"/>
    <s v="Chairs"/>
    <s v="Executive Chair"/>
    <n v="10"/>
    <n v="409.59"/>
    <n v="0"/>
    <n v="4095.9"/>
    <n v="2699.13"/>
    <n v="1396.77"/>
    <s v="Credit Card"/>
  </r>
  <r>
    <s v="ORD-00754"/>
    <x v="93"/>
    <x v="1"/>
    <s v="Florida"/>
    <s v="Orlando"/>
    <s v="Avery Johnson"/>
    <x v="2"/>
    <x v="0"/>
    <s v="Pens"/>
    <s v="Gel Pens"/>
    <n v="5"/>
    <n v="18.96"/>
    <n v="0.2"/>
    <n v="75.84"/>
    <n v="59.99"/>
    <n v="15.85"/>
    <s v="PayPal"/>
  </r>
  <r>
    <s v="ORD-00755"/>
    <x v="93"/>
    <x v="1"/>
    <s v="Florida"/>
    <s v="Orlando"/>
    <s v="Cameron Clark"/>
    <x v="2"/>
    <x v="1"/>
    <s v="Headsets"/>
    <s v="Noise-Canceling Headset"/>
    <n v="10"/>
    <n v="123.11"/>
    <n v="0.1"/>
    <n v="1107.99"/>
    <n v="733.47"/>
    <n v="374.52"/>
    <s v="Credit Card"/>
  </r>
  <r>
    <s v="ORD-02722"/>
    <x v="93"/>
    <x v="2"/>
    <s v="New York"/>
    <s v="Rochester"/>
    <s v="Drew Anderson"/>
    <x v="2"/>
    <x v="0"/>
    <s v="Paper"/>
    <s v="Premium Paper"/>
    <n v="5"/>
    <n v="8.5"/>
    <n v="0.05"/>
    <n v="40.380000000000003"/>
    <n v="23.33"/>
    <n v="17.05"/>
    <s v="Bank Transfer"/>
  </r>
  <r>
    <s v="ORD-01493"/>
    <x v="93"/>
    <x v="3"/>
    <s v="Ohio"/>
    <s v="Cincinnati"/>
    <s v="Casey Brown"/>
    <x v="1"/>
    <x v="0"/>
    <s v="Binders"/>
    <s v="Presentation Binder"/>
    <n v="8"/>
    <n v="5.22"/>
    <n v="0.1"/>
    <n v="37.58"/>
    <n v="25.65"/>
    <n v="11.93"/>
    <s v="Debit Card"/>
  </r>
  <r>
    <s v="ORD-01089"/>
    <x v="93"/>
    <x v="0"/>
    <s v="Colorado"/>
    <s v="Colorado Springs"/>
    <s v="Casey Brown"/>
    <x v="0"/>
    <x v="1"/>
    <s v="Headsets"/>
    <s v="USB Headset"/>
    <n v="4"/>
    <n v="129.13"/>
    <n v="0.1"/>
    <n v="464.87"/>
    <n v="280.64"/>
    <n v="184.23"/>
    <s v="Debit Card"/>
  </r>
  <r>
    <s v="ORD-02861"/>
    <x v="93"/>
    <x v="3"/>
    <s v="Minnesota"/>
    <s v="Minneapolis"/>
    <s v="Alex Morgan"/>
    <x v="0"/>
    <x v="2"/>
    <s v="Tables"/>
    <s v="Training Table"/>
    <n v="10"/>
    <n v="792.02"/>
    <n v="0.1"/>
    <n v="7128.18"/>
    <n v="4988.55"/>
    <n v="2139.63"/>
    <s v="Credit Card"/>
  </r>
  <r>
    <s v="ORD-00158"/>
    <x v="93"/>
    <x v="1"/>
    <s v="Virginia"/>
    <s v="Arlington"/>
    <s v="Jamie Miller"/>
    <x v="0"/>
    <x v="1"/>
    <s v="Laptops"/>
    <s v="Workstation Laptop"/>
    <n v="9"/>
    <n v="737.83"/>
    <n v="0"/>
    <n v="6640.47"/>
    <n v="5136.6400000000003"/>
    <n v="1503.83"/>
    <s v="Credit Card"/>
  </r>
  <r>
    <s v="ORD-01749"/>
    <x v="93"/>
    <x v="3"/>
    <s v="Michigan"/>
    <s v="Detroit"/>
    <s v="Avery Johnson"/>
    <x v="0"/>
    <x v="2"/>
    <s v="Bookcases"/>
    <s v="5-Shelf Bookcase"/>
    <n v="5"/>
    <n v="387.11"/>
    <n v="0.1"/>
    <n v="1742"/>
    <n v="1220.21"/>
    <n v="521.79"/>
    <s v="Debit Card"/>
  </r>
  <r>
    <s v="ORD-02956"/>
    <x v="93"/>
    <x v="2"/>
    <s v="Vermont"/>
    <s v="Montpelier"/>
    <s v="Drew Anderson"/>
    <x v="0"/>
    <x v="0"/>
    <s v="Paper"/>
    <s v="Recycled Paper"/>
    <n v="7"/>
    <n v="27.69"/>
    <n v="0"/>
    <n v="193.83"/>
    <n v="127.83"/>
    <n v="66"/>
    <s v="PayPal"/>
  </r>
  <r>
    <s v="ORD-01549"/>
    <x v="93"/>
    <x v="2"/>
    <s v="Vermont"/>
    <s v="Rutland"/>
    <s v="Taylor Smith"/>
    <x v="2"/>
    <x v="2"/>
    <s v="Chairs"/>
    <s v="Ergonomic Chair"/>
    <n v="5"/>
    <n v="276.39"/>
    <n v="0.15"/>
    <n v="1174.6600000000001"/>
    <n v="932.54"/>
    <n v="242.12"/>
    <s v="Credit Card"/>
  </r>
  <r>
    <s v="ORD-02251"/>
    <x v="93"/>
    <x v="2"/>
    <s v="Pennsylvania"/>
    <s v="Allentown"/>
    <s v="Cameron Clark"/>
    <x v="0"/>
    <x v="0"/>
    <s v="Paper"/>
    <s v="Copy Paper"/>
    <n v="8"/>
    <n v="14.25"/>
    <n v="0"/>
    <n v="114"/>
    <n v="86.49"/>
    <n v="27.51"/>
    <s v="Debit Card"/>
  </r>
  <r>
    <s v="ORD-01147"/>
    <x v="93"/>
    <x v="3"/>
    <s v="Illinois"/>
    <s v="Chicago"/>
    <s v="Jamie Miller"/>
    <x v="2"/>
    <x v="0"/>
    <s v="Binders"/>
    <s v="Heavy-Duty Binder"/>
    <n v="5"/>
    <n v="23.58"/>
    <n v="0.1"/>
    <n v="106.11"/>
    <n v="79.94"/>
    <n v="26.17"/>
    <s v="Bank Transfer"/>
  </r>
  <r>
    <s v="ORD-01510"/>
    <x v="94"/>
    <x v="0"/>
    <s v="Oregon"/>
    <s v="Portland"/>
    <s v="Avery Johnson"/>
    <x v="0"/>
    <x v="2"/>
    <s v="Chairs"/>
    <s v="Task Chair"/>
    <n v="6"/>
    <n v="461.46"/>
    <n v="0"/>
    <n v="2768.76"/>
    <n v="1671.39"/>
    <n v="1097.3699999999999"/>
    <s v="PayPal"/>
  </r>
  <r>
    <s v="ORD-01893"/>
    <x v="94"/>
    <x v="2"/>
    <s v="New York"/>
    <s v="New York City"/>
    <s v="Avery Johnson"/>
    <x v="2"/>
    <x v="0"/>
    <s v="Paper"/>
    <s v="Premium Paper"/>
    <n v="5"/>
    <n v="14.84"/>
    <n v="0.15"/>
    <n v="63.07"/>
    <n v="47.83"/>
    <n v="15.24"/>
    <s v="Debit Card"/>
  </r>
  <r>
    <s v="ORD-00159"/>
    <x v="94"/>
    <x v="2"/>
    <s v="New Jersey"/>
    <s v="Trenton"/>
    <s v="Riley Wilson"/>
    <x v="0"/>
    <x v="0"/>
    <s v="Paper"/>
    <s v="Copy Paper"/>
    <n v="1"/>
    <n v="11.74"/>
    <n v="0.1"/>
    <n v="10.57"/>
    <n v="7.08"/>
    <n v="3.49"/>
    <s v="Debit Card"/>
  </r>
  <r>
    <s v="ORD-01393"/>
    <x v="94"/>
    <x v="0"/>
    <s v="Washington"/>
    <s v="Spokane"/>
    <s v="Alex Morgan"/>
    <x v="0"/>
    <x v="2"/>
    <s v="Bookcases"/>
    <s v="3-Shelf Bookcase"/>
    <n v="8"/>
    <n v="421.16"/>
    <n v="0.05"/>
    <n v="3200.82"/>
    <n v="1892.67"/>
    <n v="1308.1500000000001"/>
    <s v="PayPal"/>
  </r>
  <r>
    <s v="ORD-01766"/>
    <x v="94"/>
    <x v="0"/>
    <s v="California"/>
    <s v="San Diego"/>
    <s v="Jordan Lee"/>
    <x v="2"/>
    <x v="2"/>
    <s v="Bookcases"/>
    <s v="3-Shelf Bookcase"/>
    <n v="10"/>
    <n v="223.22"/>
    <n v="0.15"/>
    <n v="1897.37"/>
    <n v="1473.4"/>
    <n v="423.97"/>
    <s v="Credit Card"/>
  </r>
  <r>
    <s v="ORD-02268"/>
    <x v="94"/>
    <x v="0"/>
    <s v="California"/>
    <s v="San Jose"/>
    <s v="Taylor Smith"/>
    <x v="2"/>
    <x v="1"/>
    <s v="Monitors"/>
    <s v="34in Monitor"/>
    <n v="4"/>
    <n v="693.37"/>
    <n v="0.15"/>
    <n v="2357.46"/>
    <n v="1544.23"/>
    <n v="813.23"/>
    <s v="Bank Transfer"/>
  </r>
  <r>
    <s v="ORD-01787"/>
    <x v="94"/>
    <x v="0"/>
    <s v="Oregon"/>
    <s v="Salem"/>
    <s v="Cameron Clark"/>
    <x v="0"/>
    <x v="2"/>
    <s v="Tables"/>
    <s v="Training Table"/>
    <n v="10"/>
    <n v="326.57"/>
    <n v="0.05"/>
    <n v="3102.41"/>
    <n v="2341.59"/>
    <n v="760.82"/>
    <s v="PayPal"/>
  </r>
  <r>
    <s v="ORD-01952"/>
    <x v="94"/>
    <x v="3"/>
    <s v="Ohio"/>
    <s v="Cincinnati"/>
    <s v="Casey Brown"/>
    <x v="1"/>
    <x v="2"/>
    <s v="Chairs"/>
    <s v="Executive Chair"/>
    <n v="4"/>
    <n v="100.99"/>
    <n v="0"/>
    <n v="403.96"/>
    <n v="298.48"/>
    <n v="105.48"/>
    <s v="Bank Transfer"/>
  </r>
  <r>
    <s v="ORD-02671"/>
    <x v="94"/>
    <x v="3"/>
    <s v="Minnesota"/>
    <s v="Rochester"/>
    <s v="Cameron Clark"/>
    <x v="0"/>
    <x v="1"/>
    <s v="Laptops"/>
    <s v="Ultrabook"/>
    <n v="6"/>
    <n v="810.44"/>
    <n v="0.05"/>
    <n v="4619.51"/>
    <n v="2985.52"/>
    <n v="1633.99"/>
    <s v="Debit Card"/>
  </r>
  <r>
    <s v="ORD-02743"/>
    <x v="94"/>
    <x v="3"/>
    <s v="Michigan"/>
    <s v="Detroit"/>
    <s v="Cameron Clark"/>
    <x v="2"/>
    <x v="0"/>
    <s v="Binders"/>
    <s v="Heavy-Duty Binder"/>
    <n v="10"/>
    <n v="8.23"/>
    <n v="0.15"/>
    <n v="69.959999999999994"/>
    <n v="47.58"/>
    <n v="22.38"/>
    <s v="PayPal"/>
  </r>
  <r>
    <s v="ORD-01419"/>
    <x v="94"/>
    <x v="2"/>
    <s v="Vermont"/>
    <s v="Rutland"/>
    <s v="Jordan Lee"/>
    <x v="0"/>
    <x v="1"/>
    <s v="Monitors"/>
    <s v="24in Monitor"/>
    <n v="3"/>
    <n v="232.83"/>
    <n v="0.2"/>
    <n v="558.79"/>
    <n v="387.06"/>
    <n v="171.73"/>
    <s v="Credit Card"/>
  </r>
  <r>
    <s v="ORD-01345"/>
    <x v="94"/>
    <x v="3"/>
    <s v="Ohio"/>
    <s v="Cleveland"/>
    <s v="Avery Johnson"/>
    <x v="0"/>
    <x v="1"/>
    <s v="Monitors"/>
    <s v="27in Monitor"/>
    <n v="6"/>
    <n v="574.16"/>
    <n v="0.15"/>
    <n v="2928.22"/>
    <n v="2171.6799999999998"/>
    <n v="756.54"/>
    <s v="Credit Card"/>
  </r>
  <r>
    <s v="ORD-00646"/>
    <x v="95"/>
    <x v="2"/>
    <s v="Pennsylvania"/>
    <s v="Philadelphia"/>
    <s v="Jamie Miller"/>
    <x v="1"/>
    <x v="1"/>
    <s v="Headsets"/>
    <s v="Wireless Headset"/>
    <n v="8"/>
    <n v="89.05"/>
    <n v="0.05"/>
    <n v="676.78"/>
    <n v="421.66"/>
    <n v="255.12"/>
    <s v="Debit Card"/>
  </r>
  <r>
    <s v="ORD-02028"/>
    <x v="95"/>
    <x v="0"/>
    <s v="Arizona"/>
    <s v="Tucson"/>
    <s v="Jordan Lee"/>
    <x v="0"/>
    <x v="0"/>
    <s v="Printers"/>
    <s v="Laser Printer"/>
    <n v="4"/>
    <n v="150.9"/>
    <n v="0.2"/>
    <n v="482.88"/>
    <n v="327.35000000000002"/>
    <n v="155.53"/>
    <s v="PayPal"/>
  </r>
  <r>
    <s v="ORD-01979"/>
    <x v="95"/>
    <x v="3"/>
    <s v="Ohio"/>
    <s v="Columbus"/>
    <s v="Riley Wilson"/>
    <x v="2"/>
    <x v="1"/>
    <s v="Keyboards"/>
    <s v="Ergonomic Keyboard"/>
    <n v="4"/>
    <n v="168.08"/>
    <n v="0.05"/>
    <n v="638.70000000000005"/>
    <n v="467.37"/>
    <n v="171.33"/>
    <s v="Bank Transfer"/>
  </r>
  <r>
    <s v="ORD-01847"/>
    <x v="95"/>
    <x v="0"/>
    <s v="Washington"/>
    <s v="Seattle"/>
    <s v="Drew Anderson"/>
    <x v="2"/>
    <x v="1"/>
    <s v="Laptops"/>
    <s v="Workstation Laptop"/>
    <n v="3"/>
    <n v="1683.21"/>
    <n v="0"/>
    <n v="5049.63"/>
    <n v="3878.04"/>
    <n v="1171.5899999999999"/>
    <s v="Bank Transfer"/>
  </r>
  <r>
    <s v="ORD-01443"/>
    <x v="95"/>
    <x v="0"/>
    <s v="Arizona"/>
    <s v="Phoenix"/>
    <s v="Jamie Miller"/>
    <x v="0"/>
    <x v="1"/>
    <s v="Headsets"/>
    <s v="USB Headset"/>
    <n v="7"/>
    <n v="126.8"/>
    <n v="0.1"/>
    <n v="798.84"/>
    <n v="597.99"/>
    <n v="200.85"/>
    <s v="PayPal"/>
  </r>
  <r>
    <s v="ORD-02518"/>
    <x v="95"/>
    <x v="1"/>
    <s v="Georgia"/>
    <s v="Atlanta"/>
    <s v="Jamie Miller"/>
    <x v="2"/>
    <x v="1"/>
    <s v="Monitors"/>
    <s v="27in Monitor"/>
    <n v="7"/>
    <n v="639.58000000000004"/>
    <n v="0"/>
    <n v="4477.0600000000004"/>
    <n v="3191.13"/>
    <n v="1285.93"/>
    <s v="Bank Transfer"/>
  </r>
  <r>
    <s v="ORD-01321"/>
    <x v="95"/>
    <x v="0"/>
    <s v="Arizona"/>
    <s v="Mesa"/>
    <s v="Casey Brown"/>
    <x v="2"/>
    <x v="0"/>
    <s v="Pens"/>
    <s v="Gel Pens"/>
    <n v="9"/>
    <n v="11.93"/>
    <n v="0"/>
    <n v="107.37"/>
    <n v="72.59"/>
    <n v="34.78"/>
    <s v="PayPal"/>
  </r>
  <r>
    <s v="ORD-02241"/>
    <x v="95"/>
    <x v="2"/>
    <s v="Vermont"/>
    <s v="Montpelier"/>
    <s v="Drew Anderson"/>
    <x v="2"/>
    <x v="1"/>
    <s v="Monitors"/>
    <s v="24in Monitor"/>
    <n v="4"/>
    <n v="567.88"/>
    <n v="0.15"/>
    <n v="1930.79"/>
    <n v="1066.99"/>
    <n v="863.8"/>
    <s v="Debit Card"/>
  </r>
  <r>
    <s v="ORD-00645"/>
    <x v="96"/>
    <x v="0"/>
    <s v="California"/>
    <s v="San Diego"/>
    <s v="Jordan Lee"/>
    <x v="1"/>
    <x v="1"/>
    <s v="Keyboards"/>
    <s v="Mechanical Keyboard"/>
    <n v="6"/>
    <n v="150.22999999999999"/>
    <n v="0"/>
    <n v="901.38"/>
    <n v="498.55"/>
    <n v="402.83"/>
    <s v="Bank Transfer"/>
  </r>
  <r>
    <s v="ORD-01750"/>
    <x v="96"/>
    <x v="3"/>
    <s v="Michigan"/>
    <s v="Grand Rapids"/>
    <s v="Riley Wilson"/>
    <x v="0"/>
    <x v="2"/>
    <s v="Bookcases"/>
    <s v="Storage Bookcase"/>
    <n v="4"/>
    <n v="443.56"/>
    <n v="0"/>
    <n v="1774.24"/>
    <n v="1420.22"/>
    <n v="354.02"/>
    <s v="Bank Transfer"/>
  </r>
  <r>
    <s v="ORD-02616"/>
    <x v="96"/>
    <x v="0"/>
    <s v="Colorado"/>
    <s v="Denver"/>
    <s v="Riley Wilson"/>
    <x v="0"/>
    <x v="0"/>
    <s v="Printers"/>
    <s v="Color Printer"/>
    <n v="5"/>
    <n v="308.39999999999998"/>
    <n v="0.05"/>
    <n v="1464.9"/>
    <n v="1043.4100000000001"/>
    <n v="421.49"/>
    <s v="Debit Card"/>
  </r>
  <r>
    <s v="ORD-02930"/>
    <x v="97"/>
    <x v="0"/>
    <s v="Colorado"/>
    <s v="Boulder"/>
    <s v="Casey Brown"/>
    <x v="0"/>
    <x v="1"/>
    <s v="Keyboards"/>
    <s v="Wireless Keyboard"/>
    <n v="5"/>
    <n v="130.19999999999999"/>
    <n v="0"/>
    <n v="651"/>
    <n v="504.59"/>
    <n v="146.41"/>
    <s v="Credit Card"/>
  </r>
  <r>
    <s v="ORD-02754"/>
    <x v="97"/>
    <x v="1"/>
    <s v="Virginia"/>
    <s v="Richmond"/>
    <s v="Jamie Miller"/>
    <x v="0"/>
    <x v="1"/>
    <s v="Laptops"/>
    <s v="Ultrabook"/>
    <n v="6"/>
    <n v="1004.28"/>
    <n v="0.05"/>
    <n v="5724.4"/>
    <n v="3961.63"/>
    <n v="1762.77"/>
    <s v="Debit Card"/>
  </r>
  <r>
    <s v="ORD-01615"/>
    <x v="97"/>
    <x v="1"/>
    <s v="North Carolina"/>
    <s v="Charlotte"/>
    <s v="Drew Anderson"/>
    <x v="0"/>
    <x v="0"/>
    <s v="Binders"/>
    <s v="Heavy-Duty Binder"/>
    <n v="3"/>
    <n v="23.32"/>
    <n v="0.05"/>
    <n v="66.459999999999994"/>
    <n v="52.77"/>
    <n v="13.69"/>
    <s v="Debit Card"/>
  </r>
  <r>
    <s v="ORD-00380"/>
    <x v="97"/>
    <x v="2"/>
    <s v="New York"/>
    <s v="Rochester"/>
    <s v="Riley Wilson"/>
    <x v="1"/>
    <x v="1"/>
    <s v="Headsets"/>
    <s v="Wireless Headset"/>
    <n v="5"/>
    <n v="157.21"/>
    <n v="0.05"/>
    <n v="746.75"/>
    <n v="445.22"/>
    <n v="301.52999999999997"/>
    <s v="Credit Card"/>
  </r>
  <r>
    <s v="ORD-00280"/>
    <x v="97"/>
    <x v="1"/>
    <s v="Georgia"/>
    <s v="Savannah"/>
    <s v="Morgan Davis"/>
    <x v="2"/>
    <x v="0"/>
    <s v="Printers"/>
    <s v="Color Printer"/>
    <n v="3"/>
    <n v="284.20999999999998"/>
    <n v="0"/>
    <n v="852.63"/>
    <n v="618.20000000000005"/>
    <n v="234.43"/>
    <s v="Bank Transfer"/>
  </r>
  <r>
    <s v="ORD-00637"/>
    <x v="97"/>
    <x v="2"/>
    <s v="New York"/>
    <s v="Buffalo"/>
    <s v="Drew Anderson"/>
    <x v="2"/>
    <x v="2"/>
    <s v="Chairs"/>
    <s v="Executive Chair"/>
    <n v="6"/>
    <n v="528.47"/>
    <n v="0"/>
    <n v="3170.82"/>
    <n v="2156.84"/>
    <n v="1013.98"/>
    <s v="Debit Card"/>
  </r>
  <r>
    <s v="ORD-02179"/>
    <x v="97"/>
    <x v="3"/>
    <s v="Illinois"/>
    <s v="Chicago"/>
    <s v="Jamie Miller"/>
    <x v="0"/>
    <x v="1"/>
    <s v="Monitors"/>
    <s v="24in Monitor"/>
    <n v="9"/>
    <n v="489.99"/>
    <n v="0.1"/>
    <n v="3968.92"/>
    <n v="2203.1999999999998"/>
    <n v="1765.72"/>
    <s v="Credit Card"/>
  </r>
  <r>
    <s v="ORD-00264"/>
    <x v="98"/>
    <x v="2"/>
    <s v="Pennsylvania"/>
    <s v="Pittsburgh"/>
    <s v="Avery Johnson"/>
    <x v="2"/>
    <x v="1"/>
    <s v="Monitors"/>
    <s v="34in Monitor"/>
    <n v="7"/>
    <n v="348.05"/>
    <n v="0.1"/>
    <n v="2192.7199999999998"/>
    <n v="1548.26"/>
    <n v="644.46"/>
    <s v="Bank Transfer"/>
  </r>
  <r>
    <s v="ORD-02106"/>
    <x v="98"/>
    <x v="0"/>
    <s v="Oregon"/>
    <s v="Portland"/>
    <s v="Cameron Clark"/>
    <x v="1"/>
    <x v="2"/>
    <s v="Chairs"/>
    <s v="Task Chair"/>
    <n v="9"/>
    <n v="321.48"/>
    <n v="0.15"/>
    <n v="2459.3200000000002"/>
    <n v="1979.05"/>
    <n v="480.27"/>
    <s v="Bank Transfer"/>
  </r>
  <r>
    <s v="ORD-00555"/>
    <x v="98"/>
    <x v="2"/>
    <s v="Pennsylvania"/>
    <s v="Pittsburgh"/>
    <s v="Morgan Davis"/>
    <x v="1"/>
    <x v="0"/>
    <s v="Paper"/>
    <s v="Copy Paper"/>
    <n v="3"/>
    <n v="10.029999999999999"/>
    <n v="0"/>
    <n v="30.09"/>
    <n v="23.81"/>
    <n v="6.28"/>
    <s v="Debit Card"/>
  </r>
  <r>
    <s v="ORD-02196"/>
    <x v="98"/>
    <x v="1"/>
    <s v="Texas"/>
    <s v="Austin"/>
    <s v="Avery Johnson"/>
    <x v="2"/>
    <x v="2"/>
    <s v="Bookcases"/>
    <s v="3-Shelf Bookcase"/>
    <n v="3"/>
    <n v="231.66"/>
    <n v="0.05"/>
    <n v="660.23"/>
    <n v="410.43"/>
    <n v="249.8"/>
    <s v="Bank Transfer"/>
  </r>
  <r>
    <s v="ORD-00843"/>
    <x v="98"/>
    <x v="2"/>
    <s v="Pennsylvania"/>
    <s v="Philadelphia"/>
    <s v="Drew Anderson"/>
    <x v="0"/>
    <x v="2"/>
    <s v="Desks"/>
    <s v="Executive Desk"/>
    <n v="3"/>
    <n v="800.35"/>
    <n v="0.1"/>
    <n v="2160.9499999999998"/>
    <n v="1234.46"/>
    <n v="926.49"/>
    <s v="Bank Transfer"/>
  </r>
  <r>
    <s v="ORD-02863"/>
    <x v="98"/>
    <x v="3"/>
    <s v="Minnesota"/>
    <s v="Minneapolis"/>
    <s v="Jamie Miller"/>
    <x v="1"/>
    <x v="2"/>
    <s v="Chairs"/>
    <s v="Ergonomic Chair"/>
    <n v="3"/>
    <n v="196.33"/>
    <n v="0"/>
    <n v="588.99"/>
    <n v="394.42"/>
    <n v="194.57"/>
    <s v="PayPal"/>
  </r>
  <r>
    <s v="ORD-02601"/>
    <x v="98"/>
    <x v="1"/>
    <s v="Virginia"/>
    <s v="Richmond"/>
    <s v="Jordan Lee"/>
    <x v="0"/>
    <x v="2"/>
    <s v="Bookcases"/>
    <s v="Storage Bookcase"/>
    <n v="1"/>
    <n v="353.19"/>
    <n v="0.15"/>
    <n v="300.20999999999998"/>
    <n v="220.33"/>
    <n v="79.88"/>
    <s v="PayPal"/>
  </r>
  <r>
    <s v="ORD-01432"/>
    <x v="99"/>
    <x v="2"/>
    <s v="Vermont"/>
    <s v="Burlington"/>
    <s v="Jordan Lee"/>
    <x v="0"/>
    <x v="1"/>
    <s v="Laptops"/>
    <s v="Ultrabook"/>
    <n v="7"/>
    <n v="828.71"/>
    <n v="0.15"/>
    <n v="4930.82"/>
    <n v="3085.83"/>
    <n v="1844.99"/>
    <s v="Credit Card"/>
  </r>
  <r>
    <s v="ORD-02398"/>
    <x v="99"/>
    <x v="3"/>
    <s v="Michigan"/>
    <s v="Grand Rapids"/>
    <s v="Jamie Miller"/>
    <x v="0"/>
    <x v="2"/>
    <s v="Desks"/>
    <s v="Work Desk"/>
    <n v="9"/>
    <n v="608.23"/>
    <n v="0"/>
    <n v="5474.07"/>
    <n v="3667.85"/>
    <n v="1806.22"/>
    <s v="Bank Transfer"/>
  </r>
  <r>
    <s v="ORD-00592"/>
    <x v="99"/>
    <x v="0"/>
    <s v="California"/>
    <s v="San Diego"/>
    <s v="Jamie Miller"/>
    <x v="1"/>
    <x v="0"/>
    <s v="Binders"/>
    <s v="3-Ring Binder"/>
    <n v="7"/>
    <n v="23.55"/>
    <n v="0.05"/>
    <n v="156.61000000000001"/>
    <n v="117.47"/>
    <n v="39.14"/>
    <s v="PayPal"/>
  </r>
  <r>
    <s v="ORD-01091"/>
    <x v="99"/>
    <x v="0"/>
    <s v="Oregon"/>
    <s v="Eugene"/>
    <s v="Riley Wilson"/>
    <x v="0"/>
    <x v="1"/>
    <s v="Keyboards"/>
    <s v="Wireless Keyboard"/>
    <n v="7"/>
    <n v="160.15"/>
    <n v="0.1"/>
    <n v="1008.94"/>
    <n v="632.97"/>
    <n v="375.97"/>
    <s v="Debit Card"/>
  </r>
  <r>
    <s v="ORD-02299"/>
    <x v="99"/>
    <x v="3"/>
    <s v="Michigan"/>
    <s v="Lansing"/>
    <s v="Taylor Smith"/>
    <x v="0"/>
    <x v="2"/>
    <s v="Bookcases"/>
    <s v="3-Shelf Bookcase"/>
    <n v="10"/>
    <n v="472.2"/>
    <n v="0"/>
    <n v="4722"/>
    <n v="3002.16"/>
    <n v="1719.84"/>
    <s v="Credit Card"/>
  </r>
  <r>
    <s v="ORD-00727"/>
    <x v="99"/>
    <x v="3"/>
    <s v="Illinois"/>
    <s v="Chicago"/>
    <s v="Avery Johnson"/>
    <x v="1"/>
    <x v="1"/>
    <s v="Keyboards"/>
    <s v="Mechanical Keyboard"/>
    <n v="8"/>
    <n v="92.54"/>
    <n v="0.1"/>
    <n v="666.29"/>
    <n v="487.06"/>
    <n v="179.23"/>
    <s v="Credit Card"/>
  </r>
  <r>
    <s v="ORD-02155"/>
    <x v="99"/>
    <x v="0"/>
    <s v="California"/>
    <s v="Los Angeles"/>
    <s v="Jordan Lee"/>
    <x v="2"/>
    <x v="0"/>
    <s v="Printers"/>
    <s v="All-in-One Printer"/>
    <n v="4"/>
    <n v="593.92999999999995"/>
    <n v="0.05"/>
    <n v="2256.9299999999998"/>
    <n v="1628.81"/>
    <n v="628.12"/>
    <s v="Bank Transfer"/>
  </r>
  <r>
    <s v="ORD-02006"/>
    <x v="99"/>
    <x v="3"/>
    <s v="Indiana"/>
    <s v="Evansville"/>
    <s v="Morgan Davis"/>
    <x v="0"/>
    <x v="1"/>
    <s v="Keyboards"/>
    <s v="Wireless Keyboard"/>
    <n v="5"/>
    <n v="81.290000000000006"/>
    <n v="0"/>
    <n v="406.45"/>
    <n v="234.48"/>
    <n v="171.97"/>
    <s v="Credit Card"/>
  </r>
  <r>
    <s v="ORD-02254"/>
    <x v="99"/>
    <x v="1"/>
    <s v="North Carolina"/>
    <s v="Durham"/>
    <s v="Casey Brown"/>
    <x v="0"/>
    <x v="2"/>
    <s v="Bookcases"/>
    <s v="3-Shelf Bookcase"/>
    <n v="1"/>
    <n v="320.67"/>
    <n v="0.2"/>
    <n v="256.54000000000002"/>
    <n v="176.55"/>
    <n v="79.989999999999995"/>
    <s v="Bank Transfer"/>
  </r>
  <r>
    <s v="ORD-02409"/>
    <x v="99"/>
    <x v="3"/>
    <s v="Illinois"/>
    <s v="Peoria"/>
    <s v="Casey Brown"/>
    <x v="0"/>
    <x v="2"/>
    <s v="Bookcases"/>
    <s v="3-Shelf Bookcase"/>
    <n v="3"/>
    <n v="191.89"/>
    <n v="0.1"/>
    <n v="518.1"/>
    <n v="346.89"/>
    <n v="171.21"/>
    <s v="Credit Card"/>
  </r>
  <r>
    <s v="ORD-02880"/>
    <x v="99"/>
    <x v="0"/>
    <s v="Washington"/>
    <s v="Seattle"/>
    <s v="Taylor Smith"/>
    <x v="2"/>
    <x v="1"/>
    <s v="Monitors"/>
    <s v="24in Monitor"/>
    <n v="10"/>
    <n v="377.7"/>
    <n v="0.15"/>
    <n v="3210.45"/>
    <n v="2301.46"/>
    <n v="908.99"/>
    <s v="Debit Card"/>
  </r>
  <r>
    <s v="ORD-00155"/>
    <x v="99"/>
    <x v="2"/>
    <s v="New York"/>
    <s v="Buffalo"/>
    <s v="Casey Brown"/>
    <x v="2"/>
    <x v="1"/>
    <s v="Laptops"/>
    <s v="Ultrabook"/>
    <n v="9"/>
    <n v="1497.6"/>
    <n v="0.1"/>
    <n v="12130.56"/>
    <n v="9934.2800000000007"/>
    <n v="2196.2800000000002"/>
    <s v="Bank Transfer"/>
  </r>
  <r>
    <s v="ORD-00640"/>
    <x v="100"/>
    <x v="0"/>
    <s v="Colorado"/>
    <s v="Colorado Springs"/>
    <s v="Avery Johnson"/>
    <x v="0"/>
    <x v="0"/>
    <s v="Binders"/>
    <s v="Heavy-Duty Binder"/>
    <n v="4"/>
    <n v="8.59"/>
    <n v="0.2"/>
    <n v="27.49"/>
    <n v="18.37"/>
    <n v="9.1199999999999992"/>
    <s v="PayPal"/>
  </r>
  <r>
    <s v="ORD-01143"/>
    <x v="100"/>
    <x v="0"/>
    <s v="Oregon"/>
    <s v="Eugene"/>
    <s v="Jordan Lee"/>
    <x v="1"/>
    <x v="1"/>
    <s v="Keyboards"/>
    <s v="Ergonomic Keyboard"/>
    <n v="1"/>
    <n v="128.44999999999999"/>
    <n v="0.15"/>
    <n v="109.18"/>
    <n v="82.72"/>
    <n v="26.46"/>
    <s v="Credit Card"/>
  </r>
  <r>
    <s v="ORD-01165"/>
    <x v="100"/>
    <x v="2"/>
    <s v="Vermont"/>
    <s v="Rutland"/>
    <s v="Riley Wilson"/>
    <x v="0"/>
    <x v="2"/>
    <s v="Chairs"/>
    <s v="Executive Chair"/>
    <n v="5"/>
    <n v="241.27"/>
    <n v="0.15"/>
    <n v="1025.4000000000001"/>
    <n v="810.89"/>
    <n v="214.51"/>
    <s v="PayPal"/>
  </r>
  <r>
    <s v="ORD-02379"/>
    <x v="100"/>
    <x v="2"/>
    <s v="Pennsylvania"/>
    <s v="Philadelphia"/>
    <s v="Cameron Clark"/>
    <x v="1"/>
    <x v="1"/>
    <s v="Keyboards"/>
    <s v="Ergonomic Keyboard"/>
    <n v="6"/>
    <n v="65.11"/>
    <n v="0.1"/>
    <n v="351.59"/>
    <n v="275.67"/>
    <n v="75.92"/>
    <s v="Debit Card"/>
  </r>
  <r>
    <s v="ORD-02421"/>
    <x v="100"/>
    <x v="2"/>
    <s v="Vermont"/>
    <s v="Rutland"/>
    <s v="Alex Morgan"/>
    <x v="2"/>
    <x v="2"/>
    <s v="Bookcases"/>
    <s v="Storage Bookcase"/>
    <n v="9"/>
    <n v="414.3"/>
    <n v="0.05"/>
    <n v="3542.26"/>
    <n v="2114.54"/>
    <n v="1427.72"/>
    <s v="Bank Transfer"/>
  </r>
  <r>
    <s v="ORD-02529"/>
    <x v="100"/>
    <x v="0"/>
    <s v="Colorado"/>
    <s v="Colorado Springs"/>
    <s v="Morgan Davis"/>
    <x v="2"/>
    <x v="2"/>
    <s v="Bookcases"/>
    <s v="5-Shelf Bookcase"/>
    <n v="9"/>
    <n v="134.93"/>
    <n v="0.05"/>
    <n v="1153.6500000000001"/>
    <n v="879.1"/>
    <n v="274.55"/>
    <s v="Bank Transfer"/>
  </r>
  <r>
    <s v="ORD-01338"/>
    <x v="100"/>
    <x v="1"/>
    <s v="Florida"/>
    <s v="Miami"/>
    <s v="Cameron Clark"/>
    <x v="2"/>
    <x v="2"/>
    <s v="Chairs"/>
    <s v="Executive Chair"/>
    <n v="1"/>
    <n v="466.99"/>
    <n v="0"/>
    <n v="466.99"/>
    <n v="364.67"/>
    <n v="102.32"/>
    <s v="PayPal"/>
  </r>
  <r>
    <s v="ORD-01811"/>
    <x v="100"/>
    <x v="1"/>
    <s v="Florida"/>
    <s v="Miami"/>
    <s v="Jamie Miller"/>
    <x v="0"/>
    <x v="2"/>
    <s v="Tables"/>
    <s v="Side Table"/>
    <n v="10"/>
    <n v="566.36"/>
    <n v="0"/>
    <n v="5663.6"/>
    <n v="3975.22"/>
    <n v="1688.38"/>
    <s v="Bank Transfer"/>
  </r>
  <r>
    <s v="ORD-02801"/>
    <x v="100"/>
    <x v="0"/>
    <s v="Arizona"/>
    <s v="Phoenix"/>
    <s v="Cameron Clark"/>
    <x v="2"/>
    <x v="0"/>
    <s v="Binders"/>
    <s v="Heavy-Duty Binder"/>
    <n v="8"/>
    <n v="7.67"/>
    <n v="0.05"/>
    <n v="58.29"/>
    <n v="32.9"/>
    <n v="25.39"/>
    <s v="Bank Transfer"/>
  </r>
  <r>
    <s v="ORD-00282"/>
    <x v="100"/>
    <x v="0"/>
    <s v="Colorado"/>
    <s v="Boulder"/>
    <s v="Morgan Davis"/>
    <x v="0"/>
    <x v="0"/>
    <s v="Binders"/>
    <s v="Presentation Binder"/>
    <n v="1"/>
    <n v="29.07"/>
    <n v="0.15"/>
    <n v="24.71"/>
    <n v="16.95"/>
    <n v="7.76"/>
    <s v="PayPal"/>
  </r>
  <r>
    <s v="ORD-00031"/>
    <x v="101"/>
    <x v="2"/>
    <s v="Massachusetts"/>
    <s v="Boston"/>
    <s v="Jordan Lee"/>
    <x v="1"/>
    <x v="2"/>
    <s v="Desks"/>
    <s v="Standing Desk"/>
    <n v="1"/>
    <n v="572.07000000000005"/>
    <n v="0.1"/>
    <n v="514.86"/>
    <n v="285.61"/>
    <n v="229.25"/>
    <s v="Debit Card"/>
  </r>
  <r>
    <s v="ORD-02116"/>
    <x v="101"/>
    <x v="1"/>
    <s v="North Carolina"/>
    <s v="Raleigh"/>
    <s v="Alex Morgan"/>
    <x v="1"/>
    <x v="1"/>
    <s v="Headsets"/>
    <s v="Wireless Headset"/>
    <n v="1"/>
    <n v="220.05"/>
    <n v="0.1"/>
    <n v="198.04"/>
    <n v="151.46"/>
    <n v="46.58"/>
    <s v="Bank Transfer"/>
  </r>
  <r>
    <s v="ORD-00907"/>
    <x v="101"/>
    <x v="1"/>
    <s v="Texas"/>
    <s v="Austin"/>
    <s v="Taylor Smith"/>
    <x v="2"/>
    <x v="1"/>
    <s v="Keyboards"/>
    <s v="Ergonomic Keyboard"/>
    <n v="8"/>
    <n v="48.41"/>
    <n v="0.1"/>
    <n v="348.55"/>
    <n v="206.81"/>
    <n v="141.74"/>
    <s v="PayPal"/>
  </r>
  <r>
    <s v="ORD-02259"/>
    <x v="101"/>
    <x v="0"/>
    <s v="Arizona"/>
    <s v="Tucson"/>
    <s v="Morgan Davis"/>
    <x v="1"/>
    <x v="0"/>
    <s v="Printers"/>
    <s v="All-in-One Printer"/>
    <n v="8"/>
    <n v="417.74"/>
    <n v="0"/>
    <n v="3341.92"/>
    <n v="2570.2800000000002"/>
    <n v="771.64"/>
    <s v="Credit Card"/>
  </r>
  <r>
    <s v="ORD-02441"/>
    <x v="101"/>
    <x v="2"/>
    <s v="Vermont"/>
    <s v="Montpelier"/>
    <s v="Alex Morgan"/>
    <x v="0"/>
    <x v="0"/>
    <s v="Pens"/>
    <s v="Fine Tip Pens"/>
    <n v="9"/>
    <n v="11.1"/>
    <n v="0.05"/>
    <n v="94.9"/>
    <n v="60.89"/>
    <n v="34.01"/>
    <s v="Debit Card"/>
  </r>
  <r>
    <s v="ORD-00553"/>
    <x v="101"/>
    <x v="2"/>
    <s v="New Jersey"/>
    <s v="Newark"/>
    <s v="Casey Brown"/>
    <x v="0"/>
    <x v="2"/>
    <s v="Desks"/>
    <s v="Standing Desk"/>
    <n v="10"/>
    <n v="683.45"/>
    <n v="0.1"/>
    <n v="6151.05"/>
    <n v="3855.28"/>
    <n v="2295.77"/>
    <s v="Credit Card"/>
  </r>
  <r>
    <s v="ORD-00819"/>
    <x v="102"/>
    <x v="0"/>
    <s v="Arizona"/>
    <s v="Tucson"/>
    <s v="Riley Wilson"/>
    <x v="2"/>
    <x v="2"/>
    <s v="Chairs"/>
    <s v="Executive Chair"/>
    <n v="4"/>
    <n v="310.51"/>
    <n v="0"/>
    <n v="1242.04"/>
    <n v="714.72"/>
    <n v="527.32000000000005"/>
    <s v="Debit Card"/>
  </r>
  <r>
    <s v="ORD-00613"/>
    <x v="102"/>
    <x v="0"/>
    <s v="Washington"/>
    <s v="Seattle"/>
    <s v="Avery Johnson"/>
    <x v="0"/>
    <x v="0"/>
    <s v="Binders"/>
    <s v="3-Ring Binder"/>
    <n v="10"/>
    <n v="29"/>
    <n v="0"/>
    <n v="290"/>
    <n v="165.66"/>
    <n v="124.34"/>
    <s v="Credit Card"/>
  </r>
  <r>
    <s v="ORD-01270"/>
    <x v="102"/>
    <x v="1"/>
    <s v="Georgia"/>
    <s v="Savannah"/>
    <s v="Morgan Davis"/>
    <x v="1"/>
    <x v="0"/>
    <s v="Printers"/>
    <s v="Color Printer"/>
    <n v="5"/>
    <n v="355.18"/>
    <n v="0.05"/>
    <n v="1687.1"/>
    <n v="1023"/>
    <n v="664.1"/>
    <s v="PayPal"/>
  </r>
  <r>
    <s v="ORD-02347"/>
    <x v="102"/>
    <x v="3"/>
    <s v="Minnesota"/>
    <s v="Rochester"/>
    <s v="Drew Anderson"/>
    <x v="1"/>
    <x v="1"/>
    <s v="Laptops"/>
    <s v="Workstation Laptop"/>
    <n v="5"/>
    <n v="1682.01"/>
    <n v="0"/>
    <n v="8410.0499999999993"/>
    <n v="4911.51"/>
    <n v="3498.54"/>
    <s v="Debit Card"/>
  </r>
  <r>
    <s v="ORD-01576"/>
    <x v="103"/>
    <x v="3"/>
    <s v="Illinois"/>
    <s v="Springfield"/>
    <s v="Avery Johnson"/>
    <x v="0"/>
    <x v="0"/>
    <s v="Paper"/>
    <s v="Premium Paper"/>
    <n v="5"/>
    <n v="30.14"/>
    <n v="0"/>
    <n v="150.69999999999999"/>
    <n v="112.98"/>
    <n v="37.72"/>
    <s v="Debit Card"/>
  </r>
  <r>
    <s v="ORD-02388"/>
    <x v="103"/>
    <x v="0"/>
    <s v="Washington"/>
    <s v="Seattle"/>
    <s v="Jordan Lee"/>
    <x v="0"/>
    <x v="2"/>
    <s v="Desks"/>
    <s v="Standing Desk"/>
    <n v="7"/>
    <n v="698.36"/>
    <n v="0"/>
    <n v="4888.5200000000004"/>
    <n v="3841.64"/>
    <n v="1046.8800000000001"/>
    <s v="Debit Card"/>
  </r>
  <r>
    <s v="ORD-00854"/>
    <x v="103"/>
    <x v="3"/>
    <s v="Ohio"/>
    <s v="Cincinnati"/>
    <s v="Riley Wilson"/>
    <x v="2"/>
    <x v="1"/>
    <s v="Laptops"/>
    <s v="Workstation Laptop"/>
    <n v="8"/>
    <n v="1515.2"/>
    <n v="0.15"/>
    <n v="10303.36"/>
    <n v="7058.94"/>
    <n v="3244.42"/>
    <s v="Credit Card"/>
  </r>
  <r>
    <s v="ORD-00960"/>
    <x v="104"/>
    <x v="3"/>
    <s v="Illinois"/>
    <s v="Chicago"/>
    <s v="Alex Morgan"/>
    <x v="2"/>
    <x v="2"/>
    <s v="Bookcases"/>
    <s v="Storage Bookcase"/>
    <n v="7"/>
    <n v="297.07"/>
    <n v="0"/>
    <n v="2079.4899999999998"/>
    <n v="1676.76"/>
    <n v="402.73"/>
    <s v="Debit Card"/>
  </r>
  <r>
    <s v="ORD-01028"/>
    <x v="104"/>
    <x v="3"/>
    <s v="Michigan"/>
    <s v="Lansing"/>
    <s v="Riley Wilson"/>
    <x v="0"/>
    <x v="0"/>
    <s v="Binders"/>
    <s v="Heavy-Duty Binder"/>
    <n v="10"/>
    <n v="12.06"/>
    <n v="0"/>
    <n v="120.6"/>
    <n v="74.73"/>
    <n v="45.87"/>
    <s v="Debit Card"/>
  </r>
  <r>
    <s v="ORD-01457"/>
    <x v="104"/>
    <x v="1"/>
    <s v="Texas"/>
    <s v="Houston"/>
    <s v="Alex Morgan"/>
    <x v="2"/>
    <x v="1"/>
    <s v="Monitors"/>
    <s v="27in Monitor"/>
    <n v="3"/>
    <n v="329.51"/>
    <n v="0.15"/>
    <n v="840.25"/>
    <n v="610.47"/>
    <n v="229.78"/>
    <s v="Debit Card"/>
  </r>
  <r>
    <s v="ORD-00399"/>
    <x v="104"/>
    <x v="0"/>
    <s v="Washington"/>
    <s v="Seattle"/>
    <s v="Cameron Clark"/>
    <x v="2"/>
    <x v="0"/>
    <s v="Paper"/>
    <s v="Recycled Paper"/>
    <n v="4"/>
    <n v="12.35"/>
    <n v="0.1"/>
    <n v="44.46"/>
    <n v="25.16"/>
    <n v="19.3"/>
    <s v="Bank Transfer"/>
  </r>
  <r>
    <s v="ORD-00253"/>
    <x v="104"/>
    <x v="0"/>
    <s v="California"/>
    <s v="San Diego"/>
    <s v="Avery Johnson"/>
    <x v="0"/>
    <x v="2"/>
    <s v="Bookcases"/>
    <s v="Storage Bookcase"/>
    <n v="6"/>
    <n v="488.12"/>
    <n v="0.15"/>
    <n v="2489.41"/>
    <n v="1927.41"/>
    <n v="562"/>
    <s v="PayPal"/>
  </r>
  <r>
    <s v="ORD-02567"/>
    <x v="104"/>
    <x v="0"/>
    <s v="Colorado"/>
    <s v="Denver"/>
    <s v="Taylor Smith"/>
    <x v="0"/>
    <x v="0"/>
    <s v="Paper"/>
    <s v="Copy Paper"/>
    <n v="8"/>
    <n v="15.8"/>
    <n v="0.15"/>
    <n v="107.44"/>
    <n v="78.52"/>
    <n v="28.92"/>
    <s v="Debit Card"/>
  </r>
  <r>
    <s v="ORD-02093"/>
    <x v="104"/>
    <x v="1"/>
    <s v="North Carolina"/>
    <s v="Raleigh"/>
    <s v="Alex Morgan"/>
    <x v="0"/>
    <x v="1"/>
    <s v="Monitors"/>
    <s v="27in Monitor"/>
    <n v="5"/>
    <n v="599.29999999999995"/>
    <n v="0.1"/>
    <n v="2696.85"/>
    <n v="1959.45"/>
    <n v="737.4"/>
    <s v="PayPal"/>
  </r>
  <r>
    <s v="ORD-01917"/>
    <x v="104"/>
    <x v="0"/>
    <s v="Arizona"/>
    <s v="Tucson"/>
    <s v="Alex Morgan"/>
    <x v="0"/>
    <x v="0"/>
    <s v="Printers"/>
    <s v="All-in-One Printer"/>
    <n v="3"/>
    <n v="189.8"/>
    <n v="0.05"/>
    <n v="540.92999999999995"/>
    <n v="343.78"/>
    <n v="197.15"/>
    <s v="Debit Card"/>
  </r>
  <r>
    <s v="ORD-02101"/>
    <x v="104"/>
    <x v="3"/>
    <s v="Illinois"/>
    <s v="Chicago"/>
    <s v="Morgan Davis"/>
    <x v="0"/>
    <x v="2"/>
    <s v="Chairs"/>
    <s v="Task Chair"/>
    <n v="3"/>
    <n v="684.58"/>
    <n v="0"/>
    <n v="2053.7399999999998"/>
    <n v="1413"/>
    <n v="640.74"/>
    <s v="Bank Transfer"/>
  </r>
  <r>
    <s v="ORD-02425"/>
    <x v="104"/>
    <x v="3"/>
    <s v="Illinois"/>
    <s v="Springfield"/>
    <s v="Jordan Lee"/>
    <x v="0"/>
    <x v="2"/>
    <s v="Tables"/>
    <s v="Training Table"/>
    <n v="1"/>
    <n v="430.22"/>
    <n v="0.1"/>
    <n v="387.2"/>
    <n v="249.65"/>
    <n v="137.55000000000001"/>
    <s v="PayPal"/>
  </r>
  <r>
    <s v="ORD-02485"/>
    <x v="104"/>
    <x v="3"/>
    <s v="Minnesota"/>
    <s v="Minneapolis"/>
    <s v="Drew Anderson"/>
    <x v="1"/>
    <x v="0"/>
    <s v="Paper"/>
    <s v="Recycled Paper"/>
    <n v="7"/>
    <n v="30.02"/>
    <n v="0"/>
    <n v="210.14"/>
    <n v="123.64"/>
    <n v="86.5"/>
    <s v="PayPal"/>
  </r>
  <r>
    <s v="ORD-02528"/>
    <x v="105"/>
    <x v="2"/>
    <s v="Pennsylvania"/>
    <s v="Allentown"/>
    <s v="Jamie Miller"/>
    <x v="0"/>
    <x v="2"/>
    <s v="Desks"/>
    <s v="Executive Desk"/>
    <n v="8"/>
    <n v="742.6"/>
    <n v="0.15"/>
    <n v="5049.68"/>
    <n v="3250.66"/>
    <n v="1799.02"/>
    <s v="Credit Card"/>
  </r>
  <r>
    <s v="ORD-01700"/>
    <x v="105"/>
    <x v="0"/>
    <s v="California"/>
    <s v="San Jose"/>
    <s v="Drew Anderson"/>
    <x v="0"/>
    <x v="1"/>
    <s v="Keyboards"/>
    <s v="Mechanical Keyboard"/>
    <n v="4"/>
    <n v="128.4"/>
    <n v="0.15"/>
    <n v="436.56"/>
    <n v="304.11"/>
    <n v="132.44999999999999"/>
    <s v="Debit Card"/>
  </r>
  <r>
    <s v="ORD-02534"/>
    <x v="105"/>
    <x v="1"/>
    <s v="Georgia"/>
    <s v="Atlanta"/>
    <s v="Morgan Davis"/>
    <x v="2"/>
    <x v="1"/>
    <s v="Headsets"/>
    <s v="Wireless Headset"/>
    <n v="5"/>
    <n v="97.79"/>
    <n v="0.15"/>
    <n v="415.61"/>
    <n v="301.01"/>
    <n v="114.6"/>
    <s v="PayPal"/>
  </r>
  <r>
    <s v="ORD-02639"/>
    <x v="105"/>
    <x v="1"/>
    <s v="Virginia"/>
    <s v="Arlington"/>
    <s v="Cameron Clark"/>
    <x v="0"/>
    <x v="0"/>
    <s v="Printers"/>
    <s v="Laser Printer"/>
    <n v="10"/>
    <n v="300.12"/>
    <n v="0.1"/>
    <n v="2701.08"/>
    <n v="1788.22"/>
    <n v="912.86"/>
    <s v="Bank Transfer"/>
  </r>
  <r>
    <s v="ORD-00032"/>
    <x v="105"/>
    <x v="2"/>
    <s v="Pennsylvania"/>
    <s v="Pittsburgh"/>
    <s v="Morgan Davis"/>
    <x v="0"/>
    <x v="1"/>
    <s v="Keyboards"/>
    <s v="Ergonomic Keyboard"/>
    <n v="4"/>
    <n v="150.75"/>
    <n v="0.05"/>
    <n v="572.85"/>
    <n v="382.75"/>
    <n v="190.1"/>
    <s v="Debit Card"/>
  </r>
  <r>
    <s v="ORD-02013"/>
    <x v="105"/>
    <x v="1"/>
    <s v="Georgia"/>
    <s v="Augusta"/>
    <s v="Cameron Clark"/>
    <x v="1"/>
    <x v="0"/>
    <s v="Pens"/>
    <s v="Ballpoint Pens"/>
    <n v="8"/>
    <n v="14.8"/>
    <n v="0"/>
    <n v="118.4"/>
    <n v="92.43"/>
    <n v="25.97"/>
    <s v="Debit Card"/>
  </r>
  <r>
    <s v="ORD-01891"/>
    <x v="105"/>
    <x v="1"/>
    <s v="Georgia"/>
    <s v="Savannah"/>
    <s v="Avery Johnson"/>
    <x v="0"/>
    <x v="0"/>
    <s v="Printers"/>
    <s v="Color Printer"/>
    <n v="7"/>
    <n v="427.05"/>
    <n v="0.1"/>
    <n v="2690.42"/>
    <n v="1975.94"/>
    <n v="714.48"/>
    <s v="Credit Card"/>
  </r>
  <r>
    <s v="ORD-00174"/>
    <x v="106"/>
    <x v="0"/>
    <s v="Arizona"/>
    <s v="Mesa"/>
    <s v="Morgan Davis"/>
    <x v="1"/>
    <x v="0"/>
    <s v="Binders"/>
    <s v="Presentation Binder"/>
    <n v="1"/>
    <n v="7.27"/>
    <n v="0.1"/>
    <n v="6.54"/>
    <n v="4.1900000000000004"/>
    <n v="2.35"/>
    <s v="PayPal"/>
  </r>
  <r>
    <s v="ORD-00614"/>
    <x v="106"/>
    <x v="1"/>
    <s v="Georgia"/>
    <s v="Savannah"/>
    <s v="Casey Brown"/>
    <x v="1"/>
    <x v="2"/>
    <s v="Tables"/>
    <s v="Training Table"/>
    <n v="10"/>
    <n v="326.67"/>
    <n v="0.1"/>
    <n v="2940.03"/>
    <n v="2276.2800000000002"/>
    <n v="663.75"/>
    <s v="Bank Transfer"/>
  </r>
  <r>
    <s v="ORD-01746"/>
    <x v="106"/>
    <x v="1"/>
    <s v="Georgia"/>
    <s v="Augusta"/>
    <s v="Taylor Smith"/>
    <x v="0"/>
    <x v="0"/>
    <s v="Paper"/>
    <s v="Copy Paper"/>
    <n v="2"/>
    <n v="20.149999999999999"/>
    <n v="0"/>
    <n v="40.299999999999997"/>
    <n v="30.74"/>
    <n v="9.56"/>
    <s v="PayPal"/>
  </r>
  <r>
    <s v="ORD-00816"/>
    <x v="106"/>
    <x v="2"/>
    <s v="Massachusetts"/>
    <s v="Springfield"/>
    <s v="Drew Anderson"/>
    <x v="2"/>
    <x v="1"/>
    <s v="Keyboards"/>
    <s v="Mechanical Keyboard"/>
    <n v="6"/>
    <n v="141.33000000000001"/>
    <n v="0.05"/>
    <n v="805.58"/>
    <n v="628.07000000000005"/>
    <n v="177.51"/>
    <s v="PayPal"/>
  </r>
  <r>
    <s v="ORD-00110"/>
    <x v="106"/>
    <x v="3"/>
    <s v="Illinois"/>
    <s v="Peoria"/>
    <s v="Jamie Miller"/>
    <x v="0"/>
    <x v="1"/>
    <s v="Headsets"/>
    <s v="USB Headset"/>
    <n v="1"/>
    <n v="141.27000000000001"/>
    <n v="0.1"/>
    <n v="127.14"/>
    <n v="87.94"/>
    <n v="39.200000000000003"/>
    <s v="PayPal"/>
  </r>
  <r>
    <s v="ORD-02564"/>
    <x v="106"/>
    <x v="2"/>
    <s v="Pennsylvania"/>
    <s v="Pittsburgh"/>
    <s v="Drew Anderson"/>
    <x v="1"/>
    <x v="1"/>
    <s v="Headsets"/>
    <s v="USB Headset"/>
    <n v="2"/>
    <n v="85.08"/>
    <n v="0.1"/>
    <n v="153.13999999999999"/>
    <n v="107.06"/>
    <n v="46.08"/>
    <s v="Debit Card"/>
  </r>
  <r>
    <s v="ORD-00482"/>
    <x v="106"/>
    <x v="1"/>
    <s v="Florida"/>
    <s v="Miami"/>
    <s v="Morgan Davis"/>
    <x v="2"/>
    <x v="0"/>
    <s v="Pens"/>
    <s v="Gel Pens"/>
    <n v="10"/>
    <n v="19.010000000000002"/>
    <n v="0.05"/>
    <n v="180.6"/>
    <n v="106.17"/>
    <n v="74.430000000000007"/>
    <s v="PayPal"/>
  </r>
  <r>
    <s v="ORD-01573"/>
    <x v="107"/>
    <x v="1"/>
    <s v="Florida"/>
    <s v="Tampa"/>
    <s v="Avery Johnson"/>
    <x v="0"/>
    <x v="1"/>
    <s v="Keyboards"/>
    <s v="Wireless Keyboard"/>
    <n v="8"/>
    <n v="136.44"/>
    <n v="0.1"/>
    <n v="982.37"/>
    <n v="650.89"/>
    <n v="331.48"/>
    <s v="Debit Card"/>
  </r>
  <r>
    <s v="ORD-01427"/>
    <x v="107"/>
    <x v="3"/>
    <s v="Michigan"/>
    <s v="Detroit"/>
    <s v="Taylor Smith"/>
    <x v="2"/>
    <x v="1"/>
    <s v="Headsets"/>
    <s v="Noise-Canceling Headset"/>
    <n v="2"/>
    <n v="120.63"/>
    <n v="0"/>
    <n v="241.26"/>
    <n v="175.8"/>
    <n v="65.459999999999994"/>
    <s v="PayPal"/>
  </r>
  <r>
    <s v="ORD-02294"/>
    <x v="107"/>
    <x v="0"/>
    <s v="Arizona"/>
    <s v="Mesa"/>
    <s v="Jordan Lee"/>
    <x v="0"/>
    <x v="2"/>
    <s v="Chairs"/>
    <s v="Task Chair"/>
    <n v="10"/>
    <n v="222.8"/>
    <n v="0"/>
    <n v="2228"/>
    <n v="1717.52"/>
    <n v="510.48"/>
    <s v="Debit Card"/>
  </r>
  <r>
    <s v="ORD-01292"/>
    <x v="107"/>
    <x v="2"/>
    <s v="Massachusetts"/>
    <s v="Worcester"/>
    <s v="Drew Anderson"/>
    <x v="0"/>
    <x v="0"/>
    <s v="Paper"/>
    <s v="Recycled Paper"/>
    <n v="9"/>
    <n v="33.11"/>
    <n v="0.05"/>
    <n v="283.08999999999997"/>
    <n v="208.38"/>
    <n v="74.709999999999994"/>
    <s v="Bank Transfer"/>
  </r>
  <r>
    <s v="ORD-02629"/>
    <x v="107"/>
    <x v="1"/>
    <s v="Georgia"/>
    <s v="Atlanta"/>
    <s v="Casey Brown"/>
    <x v="0"/>
    <x v="1"/>
    <s v="Keyboards"/>
    <s v="Wireless Keyboard"/>
    <n v="8"/>
    <n v="37.46"/>
    <n v="0.1"/>
    <n v="269.70999999999998"/>
    <n v="150.61000000000001"/>
    <n v="119.1"/>
    <s v="Debit Card"/>
  </r>
  <r>
    <s v="ORD-02258"/>
    <x v="107"/>
    <x v="1"/>
    <s v="Texas"/>
    <s v="Houston"/>
    <s v="Jamie Miller"/>
    <x v="0"/>
    <x v="0"/>
    <s v="Pens"/>
    <s v="Fine Tip Pens"/>
    <n v="5"/>
    <n v="24.44"/>
    <n v="0.15"/>
    <n v="103.87"/>
    <n v="76.260000000000005"/>
    <n v="27.61"/>
    <s v="Bank Transfer"/>
  </r>
  <r>
    <s v="ORD-02043"/>
    <x v="108"/>
    <x v="2"/>
    <s v="Vermont"/>
    <s v="Rutland"/>
    <s v="Casey Brown"/>
    <x v="2"/>
    <x v="1"/>
    <s v="Headsets"/>
    <s v="USB Headset"/>
    <n v="6"/>
    <n v="211.8"/>
    <n v="0.15"/>
    <n v="1080.18"/>
    <n v="600.59"/>
    <n v="479.59"/>
    <s v="Debit Card"/>
  </r>
  <r>
    <s v="ORD-02102"/>
    <x v="108"/>
    <x v="2"/>
    <s v="Massachusetts"/>
    <s v="Boston"/>
    <s v="Jamie Miller"/>
    <x v="2"/>
    <x v="1"/>
    <s v="Laptops"/>
    <s v="Business Laptop"/>
    <n v="1"/>
    <n v="1431.82"/>
    <n v="0.1"/>
    <n v="1288.6400000000001"/>
    <n v="1013.9"/>
    <n v="274.74"/>
    <s v="Credit Card"/>
  </r>
  <r>
    <s v="ORD-02542"/>
    <x v="108"/>
    <x v="2"/>
    <s v="New Jersey"/>
    <s v="Trenton"/>
    <s v="Drew Anderson"/>
    <x v="0"/>
    <x v="1"/>
    <s v="Headsets"/>
    <s v="Noise-Canceling Headset"/>
    <n v="6"/>
    <n v="204.55"/>
    <n v="0"/>
    <n v="1227.3"/>
    <n v="846.01"/>
    <n v="381.29"/>
    <s v="Debit Card"/>
  </r>
  <r>
    <s v="ORD-00352"/>
    <x v="108"/>
    <x v="2"/>
    <s v="New York"/>
    <s v="Rochester"/>
    <s v="Jordan Lee"/>
    <x v="2"/>
    <x v="0"/>
    <s v="Printers"/>
    <s v="Color Printer"/>
    <n v="2"/>
    <n v="494.38"/>
    <n v="0"/>
    <n v="988.76"/>
    <n v="591.78"/>
    <n v="396.98"/>
    <s v="Credit Card"/>
  </r>
  <r>
    <s v="ORD-00784"/>
    <x v="108"/>
    <x v="0"/>
    <s v="Arizona"/>
    <s v="Tucson"/>
    <s v="Avery Johnson"/>
    <x v="2"/>
    <x v="1"/>
    <s v="Keyboards"/>
    <s v="Mechanical Keyboard"/>
    <n v="4"/>
    <n v="133.88"/>
    <n v="0.05"/>
    <n v="508.74"/>
    <n v="285.94"/>
    <n v="222.8"/>
    <s v="PayPal"/>
  </r>
  <r>
    <s v="ORD-00101"/>
    <x v="108"/>
    <x v="3"/>
    <s v="Minnesota"/>
    <s v="St. Paul"/>
    <s v="Riley Wilson"/>
    <x v="1"/>
    <x v="1"/>
    <s v="Headsets"/>
    <s v="USB Headset"/>
    <n v="6"/>
    <n v="225.79"/>
    <n v="0.1"/>
    <n v="1219.27"/>
    <n v="886.09"/>
    <n v="333.18"/>
    <s v="Bank Transfer"/>
  </r>
  <r>
    <s v="ORD-00268"/>
    <x v="108"/>
    <x v="0"/>
    <s v="Colorado"/>
    <s v="Denver"/>
    <s v="Taylor Smith"/>
    <x v="0"/>
    <x v="0"/>
    <s v="Pens"/>
    <s v="Gel Pens"/>
    <n v="6"/>
    <n v="16.079999999999998"/>
    <n v="0"/>
    <n v="96.48"/>
    <n v="57.21"/>
    <n v="39.270000000000003"/>
    <s v="Bank Transfer"/>
  </r>
  <r>
    <s v="ORD-02571"/>
    <x v="109"/>
    <x v="1"/>
    <s v="Virginia"/>
    <s v="Arlington"/>
    <s v="Jordan Lee"/>
    <x v="0"/>
    <x v="1"/>
    <s v="Laptops"/>
    <s v="Ultrabook"/>
    <n v="2"/>
    <n v="969.88"/>
    <n v="0"/>
    <n v="1939.76"/>
    <n v="1509.1"/>
    <n v="430.66"/>
    <s v="PayPal"/>
  </r>
  <r>
    <s v="ORD-02143"/>
    <x v="109"/>
    <x v="1"/>
    <s v="North Carolina"/>
    <s v="Durham"/>
    <s v="Avery Johnson"/>
    <x v="0"/>
    <x v="2"/>
    <s v="Bookcases"/>
    <s v="3-Shelf Bookcase"/>
    <n v="3"/>
    <n v="493.37"/>
    <n v="0.05"/>
    <n v="1406.1"/>
    <n v="1038.43"/>
    <n v="367.67"/>
    <s v="PayPal"/>
  </r>
  <r>
    <s v="ORD-01464"/>
    <x v="109"/>
    <x v="3"/>
    <s v="Indiana"/>
    <s v="Fort Wayne"/>
    <s v="Cameron Clark"/>
    <x v="0"/>
    <x v="0"/>
    <s v="Paper"/>
    <s v="Recycled Paper"/>
    <n v="3"/>
    <n v="11.44"/>
    <n v="0.1"/>
    <n v="30.89"/>
    <n v="17.239999999999998"/>
    <n v="13.65"/>
    <s v="Bank Transfer"/>
  </r>
  <r>
    <s v="ORD-01644"/>
    <x v="109"/>
    <x v="1"/>
    <s v="Florida"/>
    <s v="Orlando"/>
    <s v="Avery Johnson"/>
    <x v="2"/>
    <x v="1"/>
    <s v="Monitors"/>
    <s v="27in Monitor"/>
    <n v="2"/>
    <n v="661.41"/>
    <n v="0.15"/>
    <n v="1124.4000000000001"/>
    <n v="655.66"/>
    <n v="468.74"/>
    <s v="Credit Card"/>
  </r>
  <r>
    <s v="ORD-00142"/>
    <x v="109"/>
    <x v="2"/>
    <s v="Pennsylvania"/>
    <s v="Pittsburgh"/>
    <s v="Morgan Davis"/>
    <x v="2"/>
    <x v="1"/>
    <s v="Laptops"/>
    <s v="Workstation Laptop"/>
    <n v="3"/>
    <n v="1581.47"/>
    <n v="0.2"/>
    <n v="3795.53"/>
    <n v="2811.83"/>
    <n v="983.7"/>
    <s v="Bank Transfer"/>
  </r>
  <r>
    <s v="ORD-02263"/>
    <x v="109"/>
    <x v="1"/>
    <s v="Texas"/>
    <s v="Dallas"/>
    <s v="Cameron Clark"/>
    <x v="2"/>
    <x v="1"/>
    <s v="Laptops"/>
    <s v="Ultrabook"/>
    <n v="5"/>
    <n v="617.33000000000004"/>
    <n v="0.15"/>
    <n v="2623.65"/>
    <n v="1639.6"/>
    <n v="984.05"/>
    <s v="Credit Card"/>
  </r>
  <r>
    <s v="ORD-00425"/>
    <x v="109"/>
    <x v="0"/>
    <s v="Oregon"/>
    <s v="Portland"/>
    <s v="Casey Brown"/>
    <x v="0"/>
    <x v="2"/>
    <s v="Desks"/>
    <s v="Standing Desk"/>
    <n v="5"/>
    <n v="411.67"/>
    <n v="0.05"/>
    <n v="1955.43"/>
    <n v="1200.3699999999999"/>
    <n v="755.06"/>
    <s v="Debit Card"/>
  </r>
  <r>
    <s v="ORD-02369"/>
    <x v="109"/>
    <x v="2"/>
    <s v="Massachusetts"/>
    <s v="Springfield"/>
    <s v="Drew Anderson"/>
    <x v="0"/>
    <x v="2"/>
    <s v="Chairs"/>
    <s v="Ergonomic Chair"/>
    <n v="1"/>
    <n v="503.74"/>
    <n v="0.05"/>
    <n v="478.55"/>
    <n v="276.39"/>
    <n v="202.16"/>
    <s v="PayPal"/>
  </r>
  <r>
    <s v="ORD-02845"/>
    <x v="109"/>
    <x v="1"/>
    <s v="Georgia"/>
    <s v="Augusta"/>
    <s v="Drew Anderson"/>
    <x v="0"/>
    <x v="1"/>
    <s v="Laptops"/>
    <s v="Ultrabook"/>
    <n v="10"/>
    <n v="1293.71"/>
    <n v="0.05"/>
    <n v="12290.24"/>
    <n v="6790.67"/>
    <n v="5499.57"/>
    <s v="Credit Card"/>
  </r>
  <r>
    <s v="ORD-01899"/>
    <x v="109"/>
    <x v="0"/>
    <s v="Arizona"/>
    <s v="Phoenix"/>
    <s v="Jordan Lee"/>
    <x v="0"/>
    <x v="1"/>
    <s v="Laptops"/>
    <s v="Ultrabook"/>
    <n v="2"/>
    <n v="1402.32"/>
    <n v="0.15"/>
    <n v="2383.94"/>
    <n v="1809.08"/>
    <n v="574.86"/>
    <s v="Credit Card"/>
  </r>
  <r>
    <s v="ORD-02756"/>
    <x v="109"/>
    <x v="3"/>
    <s v="Illinois"/>
    <s v="Springfield"/>
    <s v="Casey Brown"/>
    <x v="0"/>
    <x v="0"/>
    <s v="Binders"/>
    <s v="Heavy-Duty Binder"/>
    <n v="9"/>
    <n v="29.46"/>
    <n v="0.15"/>
    <n v="225.37"/>
    <n v="124.85"/>
    <n v="100.52"/>
    <s v="Debit Card"/>
  </r>
  <r>
    <s v="ORD-02622"/>
    <x v="110"/>
    <x v="3"/>
    <s v="Michigan"/>
    <s v="Detroit"/>
    <s v="Riley Wilson"/>
    <x v="0"/>
    <x v="1"/>
    <s v="Laptops"/>
    <s v="Workstation Laptop"/>
    <n v="3"/>
    <n v="735.86"/>
    <n v="0"/>
    <n v="2207.58"/>
    <n v="1314.03"/>
    <n v="893.55"/>
    <s v="Bank Transfer"/>
  </r>
  <r>
    <s v="ORD-01912"/>
    <x v="110"/>
    <x v="1"/>
    <s v="Florida"/>
    <s v="Orlando"/>
    <s v="Casey Brown"/>
    <x v="2"/>
    <x v="0"/>
    <s v="Printers"/>
    <s v="Laser Printer"/>
    <n v="5"/>
    <n v="434.61"/>
    <n v="0.05"/>
    <n v="2064.4"/>
    <n v="1645.88"/>
    <n v="418.52"/>
    <s v="Credit Card"/>
  </r>
  <r>
    <s v="ORD-00371"/>
    <x v="110"/>
    <x v="0"/>
    <s v="California"/>
    <s v="Los Angeles"/>
    <s v="Taylor Smith"/>
    <x v="0"/>
    <x v="2"/>
    <s v="Chairs"/>
    <s v="Ergonomic Chair"/>
    <n v="8"/>
    <n v="690.36"/>
    <n v="0.1"/>
    <n v="4970.59"/>
    <n v="3075.69"/>
    <n v="1894.9"/>
    <s v="PayPal"/>
  </r>
  <r>
    <s v="ORD-01546"/>
    <x v="110"/>
    <x v="0"/>
    <s v="California"/>
    <s v="Los Angeles"/>
    <s v="Taylor Smith"/>
    <x v="0"/>
    <x v="1"/>
    <s v="Monitors"/>
    <s v="34in Monitor"/>
    <n v="4"/>
    <n v="444.69"/>
    <n v="0"/>
    <n v="1778.76"/>
    <n v="1125.98"/>
    <n v="652.78"/>
    <s v="Credit Card"/>
  </r>
  <r>
    <s v="ORD-00798"/>
    <x v="110"/>
    <x v="3"/>
    <s v="Minnesota"/>
    <s v="St. Paul"/>
    <s v="Cameron Clark"/>
    <x v="0"/>
    <x v="0"/>
    <s v="Printers"/>
    <s v="Laser Printer"/>
    <n v="2"/>
    <n v="521.20000000000005"/>
    <n v="0.05"/>
    <n v="990.28"/>
    <n v="733.28"/>
    <n v="257"/>
    <s v="Credit Card"/>
  </r>
  <r>
    <s v="ORD-01403"/>
    <x v="110"/>
    <x v="2"/>
    <s v="New York"/>
    <s v="Buffalo"/>
    <s v="Jamie Miller"/>
    <x v="2"/>
    <x v="0"/>
    <s v="Printers"/>
    <s v="Laser Printer"/>
    <n v="8"/>
    <n v="266.49"/>
    <n v="0.15"/>
    <n v="1812.13"/>
    <n v="1259.83"/>
    <n v="552.29999999999995"/>
    <s v="Debit Card"/>
  </r>
  <r>
    <s v="ORD-00413"/>
    <x v="110"/>
    <x v="1"/>
    <s v="Texas"/>
    <s v="Houston"/>
    <s v="Riley Wilson"/>
    <x v="2"/>
    <x v="1"/>
    <s v="Monitors"/>
    <s v="24in Monitor"/>
    <n v="5"/>
    <n v="699.26"/>
    <n v="0.05"/>
    <n v="3321.48"/>
    <n v="2708.09"/>
    <n v="613.39"/>
    <s v="PayPal"/>
  </r>
  <r>
    <s v="ORD-00895"/>
    <x v="110"/>
    <x v="0"/>
    <s v="Oregon"/>
    <s v="Portland"/>
    <s v="Avery Johnson"/>
    <x v="0"/>
    <x v="0"/>
    <s v="Printers"/>
    <s v="Laser Printer"/>
    <n v="5"/>
    <n v="255.02"/>
    <n v="0.1"/>
    <n v="1147.5899999999999"/>
    <n v="705.96"/>
    <n v="441.63"/>
    <s v="Credit Card"/>
  </r>
  <r>
    <s v="ORD-00552"/>
    <x v="111"/>
    <x v="0"/>
    <s v="Oregon"/>
    <s v="Eugene"/>
    <s v="Alex Morgan"/>
    <x v="1"/>
    <x v="2"/>
    <s v="Bookcases"/>
    <s v="3-Shelf Bookcase"/>
    <n v="3"/>
    <n v="379.02"/>
    <n v="0.15"/>
    <n v="966.5"/>
    <n v="555.80999999999995"/>
    <n v="410.69"/>
    <s v="Credit Card"/>
  </r>
  <r>
    <s v="ORD-00378"/>
    <x v="111"/>
    <x v="2"/>
    <s v="Pennsylvania"/>
    <s v="Philadelphia"/>
    <s v="Taylor Smith"/>
    <x v="1"/>
    <x v="0"/>
    <s v="Pens"/>
    <s v="Ballpoint Pens"/>
    <n v="6"/>
    <n v="23.91"/>
    <n v="0.1"/>
    <n v="129.11000000000001"/>
    <n v="92.96"/>
    <n v="36.15"/>
    <s v="Bank Transfer"/>
  </r>
  <r>
    <s v="ORD-02440"/>
    <x v="111"/>
    <x v="3"/>
    <s v="Ohio"/>
    <s v="Cleveland"/>
    <s v="Taylor Smith"/>
    <x v="2"/>
    <x v="0"/>
    <s v="Printers"/>
    <s v="Color Printer"/>
    <n v="6"/>
    <n v="263.38"/>
    <n v="0.05"/>
    <n v="1501.27"/>
    <n v="1077.4000000000001"/>
    <n v="423.87"/>
    <s v="Bank Transfer"/>
  </r>
  <r>
    <s v="ORD-01987"/>
    <x v="111"/>
    <x v="1"/>
    <s v="Virginia"/>
    <s v="Arlington"/>
    <s v="Riley Wilson"/>
    <x v="0"/>
    <x v="1"/>
    <s v="Monitors"/>
    <s v="27in Monitor"/>
    <n v="10"/>
    <n v="549.97"/>
    <n v="0.05"/>
    <n v="5224.72"/>
    <n v="3116.5"/>
    <n v="2108.2199999999998"/>
    <s v="PayPal"/>
  </r>
  <r>
    <s v="ORD-01781"/>
    <x v="111"/>
    <x v="1"/>
    <s v="Georgia"/>
    <s v="Atlanta"/>
    <s v="Riley Wilson"/>
    <x v="0"/>
    <x v="0"/>
    <s v="Binders"/>
    <s v="Presentation Binder"/>
    <n v="6"/>
    <n v="26.22"/>
    <n v="0.1"/>
    <n v="141.59"/>
    <n v="114.23"/>
    <n v="27.36"/>
    <s v="Debit Card"/>
  </r>
  <r>
    <s v="ORD-01901"/>
    <x v="111"/>
    <x v="0"/>
    <s v="Colorado"/>
    <s v="Colorado Springs"/>
    <s v="Alex Morgan"/>
    <x v="0"/>
    <x v="2"/>
    <s v="Tables"/>
    <s v="Side Table"/>
    <n v="2"/>
    <n v="792.24"/>
    <n v="0.2"/>
    <n v="1267.58"/>
    <n v="828.91"/>
    <n v="438.67"/>
    <s v="PayPal"/>
  </r>
  <r>
    <s v="ORD-01622"/>
    <x v="111"/>
    <x v="1"/>
    <s v="Texas"/>
    <s v="Dallas"/>
    <s v="Jamie Miller"/>
    <x v="2"/>
    <x v="2"/>
    <s v="Tables"/>
    <s v="Training Table"/>
    <n v="9"/>
    <n v="580.64"/>
    <n v="0.1"/>
    <n v="4703.18"/>
    <n v="2605.67"/>
    <n v="2097.5100000000002"/>
    <s v="Bank Transfer"/>
  </r>
  <r>
    <s v="ORD-02834"/>
    <x v="111"/>
    <x v="2"/>
    <s v="New Jersey"/>
    <s v="Jersey City"/>
    <s v="Casey Brown"/>
    <x v="1"/>
    <x v="2"/>
    <s v="Desks"/>
    <s v="Standing Desk"/>
    <n v="8"/>
    <n v="644.87"/>
    <n v="0"/>
    <n v="5158.96"/>
    <n v="2933.64"/>
    <n v="2225.3200000000002"/>
    <s v="Debit Card"/>
  </r>
  <r>
    <s v="ORD-00582"/>
    <x v="111"/>
    <x v="2"/>
    <s v="New York"/>
    <s v="Buffalo"/>
    <s v="Drew Anderson"/>
    <x v="2"/>
    <x v="1"/>
    <s v="Keyboards"/>
    <s v="Wireless Keyboard"/>
    <n v="5"/>
    <n v="88.81"/>
    <n v="0.1"/>
    <n v="399.65"/>
    <n v="311.42"/>
    <n v="88.23"/>
    <s v="PayPal"/>
  </r>
  <r>
    <s v="ORD-01934"/>
    <x v="111"/>
    <x v="3"/>
    <s v="Ohio"/>
    <s v="Columbus"/>
    <s v="Avery Johnson"/>
    <x v="2"/>
    <x v="0"/>
    <s v="Pens"/>
    <s v="Fine Tip Pens"/>
    <n v="8"/>
    <n v="15.24"/>
    <n v="0"/>
    <n v="121.92"/>
    <n v="72.53"/>
    <n v="49.39"/>
    <s v="PayPal"/>
  </r>
  <r>
    <s v="ORD-00516"/>
    <x v="111"/>
    <x v="3"/>
    <s v="Michigan"/>
    <s v="Grand Rapids"/>
    <s v="Taylor Smith"/>
    <x v="0"/>
    <x v="2"/>
    <s v="Tables"/>
    <s v="Side Table"/>
    <n v="8"/>
    <n v="674.13"/>
    <n v="0"/>
    <n v="5393.04"/>
    <n v="3704.71"/>
    <n v="1688.33"/>
    <s v="Debit Card"/>
  </r>
  <r>
    <s v="ORD-02568"/>
    <x v="111"/>
    <x v="1"/>
    <s v="North Carolina"/>
    <s v="Charlotte"/>
    <s v="Riley Wilson"/>
    <x v="2"/>
    <x v="2"/>
    <s v="Desks"/>
    <s v="Work Desk"/>
    <n v="7"/>
    <n v="653.53"/>
    <n v="0.05"/>
    <n v="4345.97"/>
    <n v="2687.94"/>
    <n v="1658.03"/>
    <s v="PayPal"/>
  </r>
  <r>
    <s v="ORD-02112"/>
    <x v="111"/>
    <x v="2"/>
    <s v="New Jersey"/>
    <s v="Jersey City"/>
    <s v="Jordan Lee"/>
    <x v="0"/>
    <x v="1"/>
    <s v="Headsets"/>
    <s v="Noise-Canceling Headset"/>
    <n v="6"/>
    <n v="90.38"/>
    <n v="0"/>
    <n v="542.28"/>
    <n v="323.81"/>
    <n v="218.47"/>
    <s v="PayPal"/>
  </r>
  <r>
    <s v="ORD-02820"/>
    <x v="112"/>
    <x v="1"/>
    <s v="Virginia"/>
    <s v="Norfolk"/>
    <s v="Taylor Smith"/>
    <x v="2"/>
    <x v="2"/>
    <s v="Tables"/>
    <s v="Conference Table"/>
    <n v="7"/>
    <n v="256.55"/>
    <n v="0"/>
    <n v="1795.85"/>
    <n v="1441.49"/>
    <n v="354.36"/>
    <s v="Bank Transfer"/>
  </r>
  <r>
    <s v="ORD-00118"/>
    <x v="112"/>
    <x v="1"/>
    <s v="Texas"/>
    <s v="Houston"/>
    <s v="Riley Wilson"/>
    <x v="1"/>
    <x v="0"/>
    <s v="Pens"/>
    <s v="Fine Tip Pens"/>
    <n v="5"/>
    <n v="7.21"/>
    <n v="0.05"/>
    <n v="34.25"/>
    <n v="24.96"/>
    <n v="9.2899999999999991"/>
    <s v="Debit Card"/>
  </r>
  <r>
    <s v="ORD-00923"/>
    <x v="112"/>
    <x v="2"/>
    <s v="Pennsylvania"/>
    <s v="Allentown"/>
    <s v="Taylor Smith"/>
    <x v="0"/>
    <x v="0"/>
    <s v="Paper"/>
    <s v="Recycled Paper"/>
    <n v="5"/>
    <n v="8.4600000000000009"/>
    <n v="0"/>
    <n v="42.3"/>
    <n v="30.44"/>
    <n v="11.86"/>
    <s v="Bank Transfer"/>
  </r>
  <r>
    <s v="ORD-02287"/>
    <x v="112"/>
    <x v="3"/>
    <s v="Illinois"/>
    <s v="Peoria"/>
    <s v="Jamie Miller"/>
    <x v="0"/>
    <x v="1"/>
    <s v="Headsets"/>
    <s v="Noise-Canceling Headset"/>
    <n v="5"/>
    <n v="154.41999999999999"/>
    <n v="0.05"/>
    <n v="733.49"/>
    <n v="453.92"/>
    <n v="279.57"/>
    <s v="Debit Card"/>
  </r>
  <r>
    <s v="ORD-02746"/>
    <x v="113"/>
    <x v="1"/>
    <s v="Georgia"/>
    <s v="Atlanta"/>
    <s v="Morgan Davis"/>
    <x v="0"/>
    <x v="2"/>
    <s v="Bookcases"/>
    <s v="5-Shelf Bookcase"/>
    <n v="1"/>
    <n v="212.29"/>
    <n v="0.15"/>
    <n v="180.45"/>
    <n v="122.86"/>
    <n v="57.59"/>
    <s v="PayPal"/>
  </r>
  <r>
    <s v="ORD-02205"/>
    <x v="113"/>
    <x v="2"/>
    <s v="Massachusetts"/>
    <s v="Worcester"/>
    <s v="Cameron Clark"/>
    <x v="0"/>
    <x v="1"/>
    <s v="Headsets"/>
    <s v="USB Headset"/>
    <n v="6"/>
    <n v="44.19"/>
    <n v="0.1"/>
    <n v="238.63"/>
    <n v="151.26"/>
    <n v="87.37"/>
    <s v="Bank Transfer"/>
  </r>
  <r>
    <s v="ORD-02203"/>
    <x v="113"/>
    <x v="3"/>
    <s v="Michigan"/>
    <s v="Grand Rapids"/>
    <s v="Drew Anderson"/>
    <x v="2"/>
    <x v="1"/>
    <s v="Keyboards"/>
    <s v="Mechanical Keyboard"/>
    <n v="7"/>
    <n v="137.58000000000001"/>
    <n v="0.05"/>
    <n v="914.91"/>
    <n v="607.62"/>
    <n v="307.29000000000002"/>
    <s v="Debit Card"/>
  </r>
  <r>
    <s v="ORD-01690"/>
    <x v="113"/>
    <x v="0"/>
    <s v="Oregon"/>
    <s v="Eugene"/>
    <s v="Riley Wilson"/>
    <x v="0"/>
    <x v="1"/>
    <s v="Keyboards"/>
    <s v="Ergonomic Keyboard"/>
    <n v="5"/>
    <n v="34.729999999999997"/>
    <n v="0.2"/>
    <n v="138.91999999999999"/>
    <n v="100.28"/>
    <n v="38.64"/>
    <s v="Debit Card"/>
  </r>
  <r>
    <s v="ORD-01278"/>
    <x v="113"/>
    <x v="3"/>
    <s v="Michigan"/>
    <s v="Grand Rapids"/>
    <s v="Alex Morgan"/>
    <x v="0"/>
    <x v="0"/>
    <s v="Printers"/>
    <s v="All-in-One Printer"/>
    <n v="3"/>
    <n v="242.3"/>
    <n v="0.05"/>
    <n v="690.56"/>
    <n v="528.5"/>
    <n v="162.06"/>
    <s v="Bank Transfer"/>
  </r>
  <r>
    <s v="ORD-02544"/>
    <x v="113"/>
    <x v="0"/>
    <s v="Arizona"/>
    <s v="Tucson"/>
    <s v="Jordan Lee"/>
    <x v="0"/>
    <x v="1"/>
    <s v="Laptops"/>
    <s v="Workstation Laptop"/>
    <n v="7"/>
    <n v="1689.01"/>
    <n v="0.15"/>
    <n v="10049.61"/>
    <n v="6759.95"/>
    <n v="3289.66"/>
    <s v="PayPal"/>
  </r>
  <r>
    <s v="ORD-01131"/>
    <x v="113"/>
    <x v="1"/>
    <s v="Georgia"/>
    <s v="Atlanta"/>
    <s v="Casey Brown"/>
    <x v="2"/>
    <x v="2"/>
    <s v="Desks"/>
    <s v="Standing Desk"/>
    <n v="4"/>
    <n v="419.91"/>
    <n v="0.2"/>
    <n v="1343.71"/>
    <n v="811.92"/>
    <n v="531.79"/>
    <s v="Credit Card"/>
  </r>
  <r>
    <s v="ORD-02740"/>
    <x v="114"/>
    <x v="1"/>
    <s v="Florida"/>
    <s v="Orlando"/>
    <s v="Jamie Miller"/>
    <x v="2"/>
    <x v="2"/>
    <s v="Tables"/>
    <s v="Side Table"/>
    <n v="4"/>
    <n v="410"/>
    <n v="0.05"/>
    <n v="1558"/>
    <n v="981.81"/>
    <n v="576.19000000000005"/>
    <s v="Debit Card"/>
  </r>
  <r>
    <s v="ORD-01706"/>
    <x v="114"/>
    <x v="0"/>
    <s v="Colorado"/>
    <s v="Boulder"/>
    <s v="Jordan Lee"/>
    <x v="2"/>
    <x v="1"/>
    <s v="Monitors"/>
    <s v="24in Monitor"/>
    <n v="1"/>
    <n v="269.26"/>
    <n v="0"/>
    <n v="269.26"/>
    <n v="185.7"/>
    <n v="83.56"/>
    <s v="Credit Card"/>
  </r>
  <r>
    <s v="ORD-01414"/>
    <x v="114"/>
    <x v="0"/>
    <s v="Colorado"/>
    <s v="Colorado Springs"/>
    <s v="Avery Johnson"/>
    <x v="0"/>
    <x v="2"/>
    <s v="Chairs"/>
    <s v="Executive Chair"/>
    <n v="9"/>
    <n v="644.07000000000005"/>
    <n v="0.15"/>
    <n v="4927.1400000000003"/>
    <n v="2757.2"/>
    <n v="2169.94"/>
    <s v="Bank Transfer"/>
  </r>
  <r>
    <s v="ORD-01258"/>
    <x v="114"/>
    <x v="3"/>
    <s v="Indiana"/>
    <s v="Indianapolis"/>
    <s v="Alex Morgan"/>
    <x v="2"/>
    <x v="1"/>
    <s v="Keyboards"/>
    <s v="Wireless Keyboard"/>
    <n v="8"/>
    <n v="132.44"/>
    <n v="0.05"/>
    <n v="1006.54"/>
    <n v="591.4"/>
    <n v="415.14"/>
    <s v="PayPal"/>
  </r>
  <r>
    <s v="ORD-00943"/>
    <x v="114"/>
    <x v="0"/>
    <s v="California"/>
    <s v="Los Angeles"/>
    <s v="Casey Brown"/>
    <x v="2"/>
    <x v="2"/>
    <s v="Desks"/>
    <s v="Standing Desk"/>
    <n v="3"/>
    <n v="383.04"/>
    <n v="0"/>
    <n v="1149.1199999999999"/>
    <n v="633.35"/>
    <n v="515.77"/>
    <s v="Credit Card"/>
  </r>
  <r>
    <s v="ORD-02827"/>
    <x v="114"/>
    <x v="1"/>
    <s v="Texas"/>
    <s v="Houston"/>
    <s v="Jamie Miller"/>
    <x v="1"/>
    <x v="2"/>
    <s v="Bookcases"/>
    <s v="3-Shelf Bookcase"/>
    <n v="10"/>
    <n v="183.67"/>
    <n v="0"/>
    <n v="1836.7"/>
    <n v="1488.11"/>
    <n v="348.59"/>
    <s v="PayPal"/>
  </r>
  <r>
    <s v="ORD-00215"/>
    <x v="115"/>
    <x v="3"/>
    <s v="Illinois"/>
    <s v="Chicago"/>
    <s v="Casey Brown"/>
    <x v="2"/>
    <x v="2"/>
    <s v="Tables"/>
    <s v="Conference Table"/>
    <n v="3"/>
    <n v="212.1"/>
    <n v="0.05"/>
    <n v="604.48"/>
    <n v="467.44"/>
    <n v="137.04"/>
    <s v="PayPal"/>
  </r>
  <r>
    <s v="ORD-01487"/>
    <x v="115"/>
    <x v="3"/>
    <s v="Indiana"/>
    <s v="Evansville"/>
    <s v="Casey Brown"/>
    <x v="2"/>
    <x v="0"/>
    <s v="Printers"/>
    <s v="Color Printer"/>
    <n v="1"/>
    <n v="433.79"/>
    <n v="0.1"/>
    <n v="390.41"/>
    <n v="236.09"/>
    <n v="154.32"/>
    <s v="Bank Transfer"/>
  </r>
  <r>
    <s v="ORD-01036"/>
    <x v="115"/>
    <x v="1"/>
    <s v="North Carolina"/>
    <s v="Durham"/>
    <s v="Jamie Miller"/>
    <x v="0"/>
    <x v="1"/>
    <s v="Monitors"/>
    <s v="34in Monitor"/>
    <n v="5"/>
    <n v="399.22"/>
    <n v="0"/>
    <n v="1996.1"/>
    <n v="1612.61"/>
    <n v="383.49"/>
    <s v="Credit Card"/>
  </r>
  <r>
    <s v="ORD-01379"/>
    <x v="115"/>
    <x v="1"/>
    <s v="Florida"/>
    <s v="Miami"/>
    <s v="Avery Johnson"/>
    <x v="0"/>
    <x v="0"/>
    <s v="Binders"/>
    <s v="Heavy-Duty Binder"/>
    <n v="5"/>
    <n v="12.37"/>
    <n v="0.1"/>
    <n v="55.66"/>
    <n v="31.05"/>
    <n v="24.61"/>
    <s v="Debit Card"/>
  </r>
  <r>
    <s v="ORD-01268"/>
    <x v="115"/>
    <x v="0"/>
    <s v="Washington"/>
    <s v="Seattle"/>
    <s v="Riley Wilson"/>
    <x v="0"/>
    <x v="2"/>
    <s v="Desks"/>
    <s v="Executive Desk"/>
    <n v="7"/>
    <n v="586.04"/>
    <n v="0"/>
    <n v="4102.28"/>
    <n v="2602.9"/>
    <n v="1499.38"/>
    <s v="Debit Card"/>
  </r>
  <r>
    <s v="ORD-02337"/>
    <x v="115"/>
    <x v="3"/>
    <s v="Indiana"/>
    <s v="Indianapolis"/>
    <s v="Avery Johnson"/>
    <x v="1"/>
    <x v="1"/>
    <s v="Headsets"/>
    <s v="Noise-Canceling Headset"/>
    <n v="6"/>
    <n v="103.61"/>
    <n v="0.05"/>
    <n v="590.58000000000004"/>
    <n v="473.36"/>
    <n v="117.22"/>
    <s v="PayPal"/>
  </r>
  <r>
    <s v="ORD-01148"/>
    <x v="115"/>
    <x v="1"/>
    <s v="Virginia"/>
    <s v="Richmond"/>
    <s v="Drew Anderson"/>
    <x v="2"/>
    <x v="0"/>
    <s v="Binders"/>
    <s v="3-Ring Binder"/>
    <n v="7"/>
    <n v="17.54"/>
    <n v="0.1"/>
    <n v="110.5"/>
    <n v="71.680000000000007"/>
    <n v="38.82"/>
    <s v="Credit Card"/>
  </r>
  <r>
    <s v="ORD-00584"/>
    <x v="115"/>
    <x v="1"/>
    <s v="North Carolina"/>
    <s v="Durham"/>
    <s v="Taylor Smith"/>
    <x v="0"/>
    <x v="0"/>
    <s v="Printers"/>
    <s v="Laser Printer"/>
    <n v="8"/>
    <n v="457.2"/>
    <n v="0.15"/>
    <n v="3108.96"/>
    <n v="1809.18"/>
    <n v="1299.78"/>
    <s v="Bank Transfer"/>
  </r>
  <r>
    <s v="ORD-01794"/>
    <x v="115"/>
    <x v="3"/>
    <s v="Indiana"/>
    <s v="Evansville"/>
    <s v="Morgan Davis"/>
    <x v="0"/>
    <x v="2"/>
    <s v="Chairs"/>
    <s v="Ergonomic Chair"/>
    <n v="3"/>
    <n v="148.71"/>
    <n v="0"/>
    <n v="446.13"/>
    <n v="286.10000000000002"/>
    <n v="160.03"/>
    <s v="PayPal"/>
  </r>
  <r>
    <s v="ORD-01833"/>
    <x v="116"/>
    <x v="0"/>
    <s v="California"/>
    <s v="San Jose"/>
    <s v="Cameron Clark"/>
    <x v="0"/>
    <x v="0"/>
    <s v="Binders"/>
    <s v="Heavy-Duty Binder"/>
    <n v="5"/>
    <n v="15.83"/>
    <n v="0"/>
    <n v="79.150000000000006"/>
    <n v="62.66"/>
    <n v="16.489999999999998"/>
    <s v="Bank Transfer"/>
  </r>
  <r>
    <s v="ORD-00720"/>
    <x v="116"/>
    <x v="0"/>
    <s v="Arizona"/>
    <s v="Mesa"/>
    <s v="Alex Morgan"/>
    <x v="2"/>
    <x v="1"/>
    <s v="Headsets"/>
    <s v="Wireless Headset"/>
    <n v="10"/>
    <n v="57.12"/>
    <n v="0"/>
    <n v="571.20000000000005"/>
    <n v="438.49"/>
    <n v="132.71"/>
    <s v="PayPal"/>
  </r>
  <r>
    <s v="ORD-01956"/>
    <x v="116"/>
    <x v="2"/>
    <s v="Massachusetts"/>
    <s v="Worcester"/>
    <s v="Taylor Smith"/>
    <x v="1"/>
    <x v="0"/>
    <s v="Binders"/>
    <s v="Presentation Binder"/>
    <n v="10"/>
    <n v="5.38"/>
    <n v="0.1"/>
    <n v="48.42"/>
    <n v="36.51"/>
    <n v="11.91"/>
    <s v="Debit Card"/>
  </r>
  <r>
    <s v="ORD-02929"/>
    <x v="116"/>
    <x v="1"/>
    <s v="Virginia"/>
    <s v="Norfolk"/>
    <s v="Jamie Miller"/>
    <x v="2"/>
    <x v="1"/>
    <s v="Laptops"/>
    <s v="Ultrabook"/>
    <n v="4"/>
    <n v="1334.2"/>
    <n v="0"/>
    <n v="5336.8"/>
    <n v="3618.29"/>
    <n v="1718.51"/>
    <s v="Credit Card"/>
  </r>
  <r>
    <s v="ORD-02755"/>
    <x v="116"/>
    <x v="0"/>
    <s v="Colorado"/>
    <s v="Boulder"/>
    <s v="Jordan Lee"/>
    <x v="0"/>
    <x v="1"/>
    <s v="Keyboards"/>
    <s v="Mechanical Keyboard"/>
    <n v="3"/>
    <n v="179.63"/>
    <n v="0.1"/>
    <n v="485"/>
    <n v="303.55"/>
    <n v="181.45"/>
    <s v="PayPal"/>
  </r>
  <r>
    <s v="ORD-02416"/>
    <x v="116"/>
    <x v="1"/>
    <s v="Georgia"/>
    <s v="Atlanta"/>
    <s v="Avery Johnson"/>
    <x v="0"/>
    <x v="0"/>
    <s v="Binders"/>
    <s v="Heavy-Duty Binder"/>
    <n v="10"/>
    <n v="23.67"/>
    <n v="0.1"/>
    <n v="213.03"/>
    <n v="144.37"/>
    <n v="68.66"/>
    <s v="Debit Card"/>
  </r>
  <r>
    <s v="ORD-00600"/>
    <x v="116"/>
    <x v="1"/>
    <s v="Florida"/>
    <s v="Orlando"/>
    <s v="Riley Wilson"/>
    <x v="0"/>
    <x v="1"/>
    <s v="Keyboards"/>
    <s v="Wireless Keyboard"/>
    <n v="2"/>
    <n v="101.11"/>
    <n v="0.1"/>
    <n v="182"/>
    <n v="144.09"/>
    <n v="37.909999999999997"/>
    <s v="Credit Card"/>
  </r>
  <r>
    <s v="ORD-01097"/>
    <x v="116"/>
    <x v="1"/>
    <s v="Texas"/>
    <s v="Austin"/>
    <s v="Avery Johnson"/>
    <x v="0"/>
    <x v="1"/>
    <s v="Headsets"/>
    <s v="Noise-Canceling Headset"/>
    <n v="8"/>
    <n v="91.98"/>
    <n v="0.05"/>
    <n v="699.05"/>
    <n v="482.54"/>
    <n v="216.51"/>
    <s v="PayPal"/>
  </r>
  <r>
    <s v="ORD-02162"/>
    <x v="116"/>
    <x v="2"/>
    <s v="Pennsylvania"/>
    <s v="Pittsburgh"/>
    <s v="Avery Johnson"/>
    <x v="0"/>
    <x v="0"/>
    <s v="Pens"/>
    <s v="Gel Pens"/>
    <n v="6"/>
    <n v="12.81"/>
    <n v="0.1"/>
    <n v="69.17"/>
    <n v="55.75"/>
    <n v="13.42"/>
    <s v="PayPal"/>
  </r>
  <r>
    <s v="ORD-01502"/>
    <x v="116"/>
    <x v="1"/>
    <s v="Virginia"/>
    <s v="Arlington"/>
    <s v="Avery Johnson"/>
    <x v="1"/>
    <x v="1"/>
    <s v="Laptops"/>
    <s v="Workstation Laptop"/>
    <n v="8"/>
    <n v="1680.55"/>
    <n v="0.1"/>
    <n v="12099.96"/>
    <n v="9452.14"/>
    <n v="2647.82"/>
    <s v="Debit Card"/>
  </r>
  <r>
    <s v="ORD-00480"/>
    <x v="116"/>
    <x v="0"/>
    <s v="California"/>
    <s v="Los Angeles"/>
    <s v="Casey Brown"/>
    <x v="1"/>
    <x v="2"/>
    <s v="Desks"/>
    <s v="Standing Desk"/>
    <n v="10"/>
    <n v="494.17"/>
    <n v="0"/>
    <n v="4941.7"/>
    <n v="3091.73"/>
    <n v="1849.97"/>
    <s v="Credit Card"/>
  </r>
  <r>
    <s v="ORD-00948"/>
    <x v="116"/>
    <x v="0"/>
    <s v="California"/>
    <s v="San Diego"/>
    <s v="Jamie Miller"/>
    <x v="0"/>
    <x v="2"/>
    <s v="Bookcases"/>
    <s v="Storage Bookcase"/>
    <n v="7"/>
    <n v="465.33"/>
    <n v="0.1"/>
    <n v="2931.58"/>
    <n v="1854.77"/>
    <n v="1076.81"/>
    <s v="PayPal"/>
  </r>
  <r>
    <s v="ORD-02395"/>
    <x v="117"/>
    <x v="2"/>
    <s v="Pennsylvania"/>
    <s v="Allentown"/>
    <s v="Jamie Miller"/>
    <x v="0"/>
    <x v="1"/>
    <s v="Keyboards"/>
    <s v="Ergonomic Keyboard"/>
    <n v="5"/>
    <n v="76.2"/>
    <n v="0.05"/>
    <n v="361.95"/>
    <n v="232.59"/>
    <n v="129.36000000000001"/>
    <s v="PayPal"/>
  </r>
  <r>
    <s v="ORD-01802"/>
    <x v="117"/>
    <x v="2"/>
    <s v="Vermont"/>
    <s v="Montpelier"/>
    <s v="Jamie Miller"/>
    <x v="2"/>
    <x v="0"/>
    <s v="Pens"/>
    <s v="Ballpoint Pens"/>
    <n v="6"/>
    <n v="23.06"/>
    <n v="0.15"/>
    <n v="117.61"/>
    <n v="90.07"/>
    <n v="27.54"/>
    <s v="Debit Card"/>
  </r>
  <r>
    <s v="ORD-01736"/>
    <x v="117"/>
    <x v="0"/>
    <s v="California"/>
    <s v="Los Angeles"/>
    <s v="Taylor Smith"/>
    <x v="1"/>
    <x v="1"/>
    <s v="Headsets"/>
    <s v="Wireless Headset"/>
    <n v="10"/>
    <n v="122.58"/>
    <n v="0.15"/>
    <n v="1041.93"/>
    <n v="627.17999999999995"/>
    <n v="414.75"/>
    <s v="Debit Card"/>
  </r>
  <r>
    <s v="ORD-00535"/>
    <x v="117"/>
    <x v="3"/>
    <s v="Indiana"/>
    <s v="Evansville"/>
    <s v="Alex Morgan"/>
    <x v="0"/>
    <x v="2"/>
    <s v="Tables"/>
    <s v="Training Table"/>
    <n v="9"/>
    <n v="220.32"/>
    <n v="0.1"/>
    <n v="1784.59"/>
    <n v="1250.99"/>
    <n v="533.6"/>
    <s v="PayPal"/>
  </r>
  <r>
    <s v="ORD-01185"/>
    <x v="117"/>
    <x v="0"/>
    <s v="Arizona"/>
    <s v="Tucson"/>
    <s v="Cameron Clark"/>
    <x v="0"/>
    <x v="1"/>
    <s v="Monitors"/>
    <s v="24in Monitor"/>
    <n v="2"/>
    <n v="423.35"/>
    <n v="0"/>
    <n v="846.7"/>
    <n v="506.72"/>
    <n v="339.98"/>
    <s v="Debit Card"/>
  </r>
  <r>
    <s v="ORD-00858"/>
    <x v="117"/>
    <x v="3"/>
    <s v="Illinois"/>
    <s v="Chicago"/>
    <s v="Cameron Clark"/>
    <x v="0"/>
    <x v="2"/>
    <s v="Chairs"/>
    <s v="Ergonomic Chair"/>
    <n v="1"/>
    <n v="109.13"/>
    <n v="0"/>
    <n v="109.13"/>
    <n v="84.62"/>
    <n v="24.51"/>
    <s v="Credit Card"/>
  </r>
  <r>
    <s v="ORD-01418"/>
    <x v="117"/>
    <x v="3"/>
    <s v="Indiana"/>
    <s v="Evansville"/>
    <s v="Morgan Davis"/>
    <x v="2"/>
    <x v="0"/>
    <s v="Binders"/>
    <s v="3-Ring Binder"/>
    <n v="6"/>
    <n v="23.71"/>
    <n v="0"/>
    <n v="142.26"/>
    <n v="79.55"/>
    <n v="62.71"/>
    <s v="PayPal"/>
  </r>
  <r>
    <s v="ORD-00014"/>
    <x v="117"/>
    <x v="3"/>
    <s v="Ohio"/>
    <s v="Cincinnati"/>
    <s v="Alex Morgan"/>
    <x v="2"/>
    <x v="2"/>
    <s v="Tables"/>
    <s v="Conference Table"/>
    <n v="3"/>
    <n v="502.83"/>
    <n v="0.15"/>
    <n v="1282.22"/>
    <n v="843.31"/>
    <n v="438.91"/>
    <s v="Bank Transfer"/>
  </r>
  <r>
    <s v="ORD-00353"/>
    <x v="118"/>
    <x v="2"/>
    <s v="New York"/>
    <s v="Buffalo"/>
    <s v="Taylor Smith"/>
    <x v="0"/>
    <x v="1"/>
    <s v="Keyboards"/>
    <s v="Ergonomic Keyboard"/>
    <n v="9"/>
    <n v="39.49"/>
    <n v="0.1"/>
    <n v="319.87"/>
    <n v="183.14"/>
    <n v="136.72999999999999"/>
    <s v="Debit Card"/>
  </r>
  <r>
    <s v="ORD-00728"/>
    <x v="118"/>
    <x v="3"/>
    <s v="Ohio"/>
    <s v="Columbus"/>
    <s v="Casey Brown"/>
    <x v="1"/>
    <x v="0"/>
    <s v="Printers"/>
    <s v="Laser Printer"/>
    <n v="2"/>
    <n v="300.33999999999997"/>
    <n v="0.1"/>
    <n v="540.61"/>
    <n v="305.86"/>
    <n v="234.75"/>
    <s v="Credit Card"/>
  </r>
  <r>
    <s v="ORD-00204"/>
    <x v="118"/>
    <x v="2"/>
    <s v="New Jersey"/>
    <s v="Trenton"/>
    <s v="Avery Johnson"/>
    <x v="0"/>
    <x v="1"/>
    <s v="Monitors"/>
    <s v="27in Monitor"/>
    <n v="2"/>
    <n v="368.71"/>
    <n v="0"/>
    <n v="737.42"/>
    <n v="471.97"/>
    <n v="265.45"/>
    <s v="Debit Card"/>
  </r>
  <r>
    <s v="ORD-02321"/>
    <x v="118"/>
    <x v="3"/>
    <s v="Illinois"/>
    <s v="Peoria"/>
    <s v="Casey Brown"/>
    <x v="2"/>
    <x v="2"/>
    <s v="Chairs"/>
    <s v="Executive Chair"/>
    <n v="4"/>
    <n v="338.54"/>
    <n v="0"/>
    <n v="1354.16"/>
    <n v="814.89"/>
    <n v="539.27"/>
    <s v="PayPal"/>
  </r>
  <r>
    <s v="ORD-00221"/>
    <x v="118"/>
    <x v="3"/>
    <s v="Michigan"/>
    <s v="Detroit"/>
    <s v="Casey Brown"/>
    <x v="0"/>
    <x v="1"/>
    <s v="Laptops"/>
    <s v="Workstation Laptop"/>
    <n v="10"/>
    <n v="1594.39"/>
    <n v="0.15"/>
    <n v="13552.32"/>
    <n v="9142.6200000000008"/>
    <n v="4409.7"/>
    <s v="Debit Card"/>
  </r>
  <r>
    <s v="ORD-00893"/>
    <x v="118"/>
    <x v="2"/>
    <s v="New Jersey"/>
    <s v="Jersey City"/>
    <s v="Cameron Clark"/>
    <x v="2"/>
    <x v="0"/>
    <s v="Pens"/>
    <s v="Ballpoint Pens"/>
    <n v="9"/>
    <n v="9.08"/>
    <n v="0.05"/>
    <n v="77.63"/>
    <n v="56.74"/>
    <n v="20.89"/>
    <s v="Bank Transfer"/>
  </r>
  <r>
    <s v="ORD-01346"/>
    <x v="118"/>
    <x v="3"/>
    <s v="Ohio"/>
    <s v="Cleveland"/>
    <s v="Avery Johnson"/>
    <x v="0"/>
    <x v="2"/>
    <s v="Chairs"/>
    <s v="Executive Chair"/>
    <n v="8"/>
    <n v="649.88"/>
    <n v="0.15"/>
    <n v="4419.18"/>
    <n v="3140.09"/>
    <n v="1279.0899999999999"/>
    <s v="Debit Card"/>
  </r>
  <r>
    <s v="ORD-02068"/>
    <x v="119"/>
    <x v="2"/>
    <s v="Pennsylvania"/>
    <s v="Pittsburgh"/>
    <s v="Alex Morgan"/>
    <x v="0"/>
    <x v="2"/>
    <s v="Tables"/>
    <s v="Training Table"/>
    <n v="7"/>
    <n v="491"/>
    <n v="0.1"/>
    <n v="3093.3"/>
    <n v="1807.04"/>
    <n v="1286.26"/>
    <s v="Debit Card"/>
  </r>
  <r>
    <s v="ORD-01385"/>
    <x v="119"/>
    <x v="2"/>
    <s v="New York"/>
    <s v="Rochester"/>
    <s v="Riley Wilson"/>
    <x v="1"/>
    <x v="1"/>
    <s v="Keyboards"/>
    <s v="Mechanical Keyboard"/>
    <n v="1"/>
    <n v="147.62"/>
    <n v="0"/>
    <n v="147.62"/>
    <n v="103.21"/>
    <n v="44.41"/>
    <s v="Credit Card"/>
  </r>
  <r>
    <s v="ORD-01347"/>
    <x v="119"/>
    <x v="3"/>
    <s v="Minnesota"/>
    <s v="Rochester"/>
    <s v="Jamie Miller"/>
    <x v="1"/>
    <x v="1"/>
    <s v="Monitors"/>
    <s v="34in Monitor"/>
    <n v="4"/>
    <n v="617.38"/>
    <n v="0.05"/>
    <n v="2346.04"/>
    <n v="1516.64"/>
    <n v="829.4"/>
    <s v="Credit Card"/>
  </r>
  <r>
    <s v="ORD-00468"/>
    <x v="119"/>
    <x v="2"/>
    <s v="Massachusetts"/>
    <s v="Springfield"/>
    <s v="Morgan Davis"/>
    <x v="2"/>
    <x v="2"/>
    <s v="Desks"/>
    <s v="Work Desk"/>
    <n v="2"/>
    <n v="250.35"/>
    <n v="0.05"/>
    <n v="475.66"/>
    <n v="297.85000000000002"/>
    <n v="177.81"/>
    <s v="Debit Card"/>
  </r>
  <r>
    <s v="ORD-01795"/>
    <x v="119"/>
    <x v="0"/>
    <s v="Oregon"/>
    <s v="Portland"/>
    <s v="Cameron Clark"/>
    <x v="1"/>
    <x v="1"/>
    <s v="Laptops"/>
    <s v="Business Laptop"/>
    <n v="6"/>
    <n v="1365.29"/>
    <n v="0.2"/>
    <n v="6553.39"/>
    <n v="4545.95"/>
    <n v="2007.44"/>
    <s v="Bank Transfer"/>
  </r>
  <r>
    <s v="ORD-01361"/>
    <x v="119"/>
    <x v="1"/>
    <s v="North Carolina"/>
    <s v="Charlotte"/>
    <s v="Alex Morgan"/>
    <x v="2"/>
    <x v="0"/>
    <s v="Binders"/>
    <s v="3-Ring Binder"/>
    <n v="6"/>
    <n v="5.17"/>
    <n v="0.1"/>
    <n v="27.92"/>
    <n v="16.14"/>
    <n v="11.78"/>
    <s v="PayPal"/>
  </r>
  <r>
    <s v="ORD-00097"/>
    <x v="119"/>
    <x v="1"/>
    <s v="Florida"/>
    <s v="Miami"/>
    <s v="Jordan Lee"/>
    <x v="0"/>
    <x v="0"/>
    <s v="Binders"/>
    <s v="Presentation Binder"/>
    <n v="10"/>
    <n v="25.67"/>
    <n v="0.15"/>
    <n v="218.2"/>
    <n v="130.03"/>
    <n v="88.17"/>
    <s v="Debit Card"/>
  </r>
  <r>
    <s v="ORD-00769"/>
    <x v="119"/>
    <x v="0"/>
    <s v="Oregon"/>
    <s v="Eugene"/>
    <s v="Alex Morgan"/>
    <x v="2"/>
    <x v="0"/>
    <s v="Printers"/>
    <s v="All-in-One Printer"/>
    <n v="3"/>
    <n v="494.03"/>
    <n v="0.05"/>
    <n v="1407.99"/>
    <n v="959.43"/>
    <n v="448.56"/>
    <s v="Bank Transfer"/>
  </r>
  <r>
    <s v="ORD-01735"/>
    <x v="119"/>
    <x v="2"/>
    <s v="New York"/>
    <s v="Buffalo"/>
    <s v="Drew Anderson"/>
    <x v="1"/>
    <x v="0"/>
    <s v="Pens"/>
    <s v="Fine Tip Pens"/>
    <n v="8"/>
    <n v="10.210000000000001"/>
    <n v="0"/>
    <n v="81.680000000000007"/>
    <n v="57.81"/>
    <n v="23.87"/>
    <s v="Bank Transfer"/>
  </r>
  <r>
    <s v="ORD-02306"/>
    <x v="119"/>
    <x v="2"/>
    <s v="New Jersey"/>
    <s v="Trenton"/>
    <s v="Jamie Miller"/>
    <x v="2"/>
    <x v="0"/>
    <s v="Printers"/>
    <s v="Color Printer"/>
    <n v="5"/>
    <n v="596.92999999999995"/>
    <n v="0.1"/>
    <n v="2686.18"/>
    <n v="1973.06"/>
    <n v="713.12"/>
    <s v="PayPal"/>
  </r>
  <r>
    <s v="ORD-00648"/>
    <x v="120"/>
    <x v="2"/>
    <s v="Massachusetts"/>
    <s v="Springfield"/>
    <s v="Jordan Lee"/>
    <x v="2"/>
    <x v="1"/>
    <s v="Laptops"/>
    <s v="Ultrabook"/>
    <n v="1"/>
    <n v="1699.15"/>
    <n v="0.15"/>
    <n v="1444.28"/>
    <n v="1183.6199999999999"/>
    <n v="260.66000000000003"/>
    <s v="Debit Card"/>
  </r>
  <r>
    <s v="ORD-02669"/>
    <x v="120"/>
    <x v="2"/>
    <s v="New Jersey"/>
    <s v="Jersey City"/>
    <s v="Taylor Smith"/>
    <x v="0"/>
    <x v="2"/>
    <s v="Desks"/>
    <s v="Executive Desk"/>
    <n v="4"/>
    <n v="633.75"/>
    <n v="0.05"/>
    <n v="2408.25"/>
    <n v="1685.39"/>
    <n v="722.86"/>
    <s v="Bank Transfer"/>
  </r>
  <r>
    <s v="ORD-00007"/>
    <x v="120"/>
    <x v="2"/>
    <s v="New Jersey"/>
    <s v="Jersey City"/>
    <s v="Avery Johnson"/>
    <x v="0"/>
    <x v="0"/>
    <s v="Printers"/>
    <s v="Laser Printer"/>
    <n v="9"/>
    <n v="471.74"/>
    <n v="0.2"/>
    <n v="3396.53"/>
    <n v="2036.45"/>
    <n v="1360.08"/>
    <s v="Credit Card"/>
  </r>
  <r>
    <s v="ORD-02104"/>
    <x v="120"/>
    <x v="1"/>
    <s v="North Carolina"/>
    <s v="Charlotte"/>
    <s v="Jordan Lee"/>
    <x v="2"/>
    <x v="1"/>
    <s v="Keyboards"/>
    <s v="Wireless Keyboard"/>
    <n v="3"/>
    <n v="85.05"/>
    <n v="0"/>
    <n v="255.15"/>
    <n v="185.35"/>
    <n v="69.8"/>
    <s v="Debit Card"/>
  </r>
  <r>
    <s v="ORD-01916"/>
    <x v="120"/>
    <x v="1"/>
    <s v="Virginia"/>
    <s v="Richmond"/>
    <s v="Jordan Lee"/>
    <x v="2"/>
    <x v="0"/>
    <s v="Printers"/>
    <s v="Color Printer"/>
    <n v="4"/>
    <n v="316.87"/>
    <n v="0"/>
    <n v="1267.48"/>
    <n v="709.39"/>
    <n v="558.09"/>
    <s v="Credit Card"/>
  </r>
  <r>
    <s v="ORD-02643"/>
    <x v="120"/>
    <x v="2"/>
    <s v="Vermont"/>
    <s v="Montpelier"/>
    <s v="Avery Johnson"/>
    <x v="1"/>
    <x v="0"/>
    <s v="Pens"/>
    <s v="Ballpoint Pens"/>
    <n v="5"/>
    <n v="13.78"/>
    <n v="0.1"/>
    <n v="62.01"/>
    <n v="49.03"/>
    <n v="12.98"/>
    <s v="Credit Card"/>
  </r>
  <r>
    <s v="ORD-02922"/>
    <x v="121"/>
    <x v="0"/>
    <s v="Washington"/>
    <s v="Spokane"/>
    <s v="Casey Brown"/>
    <x v="0"/>
    <x v="0"/>
    <s v="Binders"/>
    <s v="Presentation Binder"/>
    <n v="3"/>
    <n v="6.5"/>
    <n v="0.1"/>
    <n v="17.55"/>
    <n v="9.89"/>
    <n v="7.66"/>
    <s v="Debit Card"/>
  </r>
  <r>
    <s v="ORD-00222"/>
    <x v="121"/>
    <x v="3"/>
    <s v="Indiana"/>
    <s v="Evansville"/>
    <s v="Alex Morgan"/>
    <x v="0"/>
    <x v="1"/>
    <s v="Laptops"/>
    <s v="Ultrabook"/>
    <n v="5"/>
    <n v="1641.58"/>
    <n v="0.15"/>
    <n v="6976.71"/>
    <n v="5702.53"/>
    <n v="1274.18"/>
    <s v="Debit Card"/>
  </r>
  <r>
    <s v="ORD-01999"/>
    <x v="121"/>
    <x v="3"/>
    <s v="Illinois"/>
    <s v="Chicago"/>
    <s v="Jamie Miller"/>
    <x v="0"/>
    <x v="0"/>
    <s v="Paper"/>
    <s v="Premium Paper"/>
    <n v="4"/>
    <n v="21.97"/>
    <n v="0.1"/>
    <n v="79.09"/>
    <n v="64.19"/>
    <n v="14.9"/>
    <s v="PayPal"/>
  </r>
  <r>
    <s v="ORD-02781"/>
    <x v="121"/>
    <x v="3"/>
    <s v="Indiana"/>
    <s v="Indianapolis"/>
    <s v="Cameron Clark"/>
    <x v="0"/>
    <x v="1"/>
    <s v="Laptops"/>
    <s v="Ultrabook"/>
    <n v="3"/>
    <n v="658.21"/>
    <n v="0.1"/>
    <n v="1777.17"/>
    <n v="1435.26"/>
    <n v="341.91"/>
    <s v="PayPal"/>
  </r>
  <r>
    <s v="ORD-02498"/>
    <x v="121"/>
    <x v="1"/>
    <s v="North Carolina"/>
    <s v="Durham"/>
    <s v="Avery Johnson"/>
    <x v="2"/>
    <x v="2"/>
    <s v="Tables"/>
    <s v="Side Table"/>
    <n v="5"/>
    <n v="189.89"/>
    <n v="0.1"/>
    <n v="854.5"/>
    <n v="599.5"/>
    <n v="255"/>
    <s v="Bank Transfer"/>
  </r>
  <r>
    <s v="ORD-02907"/>
    <x v="121"/>
    <x v="0"/>
    <s v="Washington"/>
    <s v="Spokane"/>
    <s v="Avery Johnson"/>
    <x v="0"/>
    <x v="0"/>
    <s v="Binders"/>
    <s v="Presentation Binder"/>
    <n v="9"/>
    <n v="15.93"/>
    <n v="0.1"/>
    <n v="129.03"/>
    <n v="82.49"/>
    <n v="46.54"/>
    <s v="Bank Transfer"/>
  </r>
  <r>
    <s v="ORD-02803"/>
    <x v="121"/>
    <x v="0"/>
    <s v="Colorado"/>
    <s v="Boulder"/>
    <s v="Avery Johnson"/>
    <x v="0"/>
    <x v="0"/>
    <s v="Printers"/>
    <s v="All-in-One Printer"/>
    <n v="1"/>
    <n v="155.36000000000001"/>
    <n v="0.15"/>
    <n v="132.06"/>
    <n v="80.47"/>
    <n v="51.59"/>
    <s v="Credit Card"/>
  </r>
  <r>
    <s v="ORD-00485"/>
    <x v="121"/>
    <x v="2"/>
    <s v="New Jersey"/>
    <s v="Jersey City"/>
    <s v="Morgan Davis"/>
    <x v="0"/>
    <x v="0"/>
    <s v="Pens"/>
    <s v="Gel Pens"/>
    <n v="7"/>
    <n v="24.03"/>
    <n v="0.1"/>
    <n v="151.38999999999999"/>
    <n v="116.08"/>
    <n v="35.31"/>
    <s v="PayPal"/>
  </r>
  <r>
    <s v="ORD-00292"/>
    <x v="121"/>
    <x v="3"/>
    <s v="Minnesota"/>
    <s v="Rochester"/>
    <s v="Alex Morgan"/>
    <x v="0"/>
    <x v="0"/>
    <s v="Binders"/>
    <s v="3-Ring Binder"/>
    <n v="1"/>
    <n v="27.4"/>
    <n v="0.05"/>
    <n v="26.03"/>
    <n v="14.94"/>
    <n v="11.09"/>
    <s v="Credit Card"/>
  </r>
  <r>
    <s v="ORD-01716"/>
    <x v="122"/>
    <x v="0"/>
    <s v="Oregon"/>
    <s v="Eugene"/>
    <s v="Jamie Miller"/>
    <x v="0"/>
    <x v="2"/>
    <s v="Tables"/>
    <s v="Conference Table"/>
    <n v="3"/>
    <n v="383.66"/>
    <n v="0"/>
    <n v="1150.98"/>
    <n v="918.93"/>
    <n v="232.05"/>
    <s v="Debit Card"/>
  </r>
  <r>
    <s v="ORD-01254"/>
    <x v="122"/>
    <x v="1"/>
    <s v="Georgia"/>
    <s v="Savannah"/>
    <s v="Alex Morgan"/>
    <x v="2"/>
    <x v="2"/>
    <s v="Bookcases"/>
    <s v="Storage Bookcase"/>
    <n v="3"/>
    <n v="293.62"/>
    <n v="0"/>
    <n v="880.86"/>
    <n v="647.55999999999995"/>
    <n v="233.3"/>
    <s v="Credit Card"/>
  </r>
  <r>
    <s v="ORD-01935"/>
    <x v="122"/>
    <x v="3"/>
    <s v="Illinois"/>
    <s v="Peoria"/>
    <s v="Cameron Clark"/>
    <x v="2"/>
    <x v="2"/>
    <s v="Desks"/>
    <s v="Executive Desk"/>
    <n v="4"/>
    <n v="219.57"/>
    <n v="0.15"/>
    <n v="746.54"/>
    <n v="544.84"/>
    <n v="201.7"/>
    <s v="Credit Card"/>
  </r>
  <r>
    <s v="ORD-00767"/>
    <x v="122"/>
    <x v="2"/>
    <s v="New Jersey"/>
    <s v="Trenton"/>
    <s v="Alex Morgan"/>
    <x v="0"/>
    <x v="0"/>
    <s v="Binders"/>
    <s v="3-Ring Binder"/>
    <n v="3"/>
    <n v="10.62"/>
    <n v="0.2"/>
    <n v="25.49"/>
    <n v="20.010000000000002"/>
    <n v="5.48"/>
    <s v="Credit Card"/>
  </r>
  <r>
    <s v="ORD-00259"/>
    <x v="122"/>
    <x v="0"/>
    <s v="Oregon"/>
    <s v="Eugene"/>
    <s v="Jordan Lee"/>
    <x v="2"/>
    <x v="2"/>
    <s v="Desks"/>
    <s v="Work Desk"/>
    <n v="9"/>
    <n v="222.41"/>
    <n v="0.1"/>
    <n v="1801.52"/>
    <n v="1471.43"/>
    <n v="330.09"/>
    <s v="Credit Card"/>
  </r>
  <r>
    <s v="ORD-02708"/>
    <x v="122"/>
    <x v="1"/>
    <s v="Virginia"/>
    <s v="Richmond"/>
    <s v="Jamie Miller"/>
    <x v="1"/>
    <x v="0"/>
    <s v="Printers"/>
    <s v="All-in-One Printer"/>
    <n v="10"/>
    <n v="583.54999999999995"/>
    <n v="0.15"/>
    <n v="4960.18"/>
    <n v="3724.25"/>
    <n v="1235.93"/>
    <s v="Bank Transfer"/>
  </r>
  <r>
    <s v="ORD-01348"/>
    <x v="122"/>
    <x v="3"/>
    <s v="Indiana"/>
    <s v="Indianapolis"/>
    <s v="Casey Brown"/>
    <x v="0"/>
    <x v="2"/>
    <s v="Bookcases"/>
    <s v="5-Shelf Bookcase"/>
    <n v="9"/>
    <n v="423.13"/>
    <n v="0"/>
    <n v="3808.17"/>
    <n v="2928.38"/>
    <n v="879.79"/>
    <s v="PayPal"/>
  </r>
  <r>
    <s v="ORD-02824"/>
    <x v="123"/>
    <x v="0"/>
    <s v="Colorado"/>
    <s v="Boulder"/>
    <s v="Avery Johnson"/>
    <x v="0"/>
    <x v="0"/>
    <s v="Binders"/>
    <s v="Presentation Binder"/>
    <n v="2"/>
    <n v="5.69"/>
    <n v="0.15"/>
    <n v="9.67"/>
    <n v="7.7"/>
    <n v="1.97"/>
    <s v="Debit Card"/>
  </r>
  <r>
    <s v="ORD-01708"/>
    <x v="123"/>
    <x v="1"/>
    <s v="Georgia"/>
    <s v="Savannah"/>
    <s v="Riley Wilson"/>
    <x v="2"/>
    <x v="2"/>
    <s v="Tables"/>
    <s v="Training Table"/>
    <n v="9"/>
    <n v="707.27"/>
    <n v="0.05"/>
    <n v="6047.16"/>
    <n v="3357.8"/>
    <n v="2689.36"/>
    <s v="Bank Transfer"/>
  </r>
  <r>
    <s v="ORD-00970"/>
    <x v="123"/>
    <x v="3"/>
    <s v="Indiana"/>
    <s v="Evansville"/>
    <s v="Drew Anderson"/>
    <x v="2"/>
    <x v="0"/>
    <s v="Printers"/>
    <s v="Color Printer"/>
    <n v="1"/>
    <n v="511.56"/>
    <n v="0"/>
    <n v="511.56"/>
    <n v="350.01"/>
    <n v="161.55000000000001"/>
    <s v="Debit Card"/>
  </r>
  <r>
    <s v="ORD-00278"/>
    <x v="123"/>
    <x v="1"/>
    <s v="North Carolina"/>
    <s v="Raleigh"/>
    <s v="Alex Morgan"/>
    <x v="2"/>
    <x v="2"/>
    <s v="Chairs"/>
    <s v="Executive Chair"/>
    <n v="5"/>
    <n v="107.76"/>
    <n v="0.1"/>
    <n v="484.92"/>
    <n v="279.83999999999997"/>
    <n v="205.08"/>
    <s v="Debit Card"/>
  </r>
  <r>
    <s v="ORD-00206"/>
    <x v="123"/>
    <x v="2"/>
    <s v="New Jersey"/>
    <s v="Newark"/>
    <s v="Jamie Miller"/>
    <x v="0"/>
    <x v="1"/>
    <s v="Laptops"/>
    <s v="Ultrabook"/>
    <n v="5"/>
    <n v="1698.39"/>
    <n v="0"/>
    <n v="8491.9500000000007"/>
    <n v="5066.5600000000004"/>
    <n v="3425.39"/>
    <s v="Debit Card"/>
  </r>
  <r>
    <s v="ORD-01862"/>
    <x v="123"/>
    <x v="1"/>
    <s v="North Carolina"/>
    <s v="Charlotte"/>
    <s v="Drew Anderson"/>
    <x v="2"/>
    <x v="1"/>
    <s v="Keyboards"/>
    <s v="Wireless Keyboard"/>
    <n v="4"/>
    <n v="59.46"/>
    <n v="0"/>
    <n v="237.84"/>
    <n v="178.92"/>
    <n v="58.92"/>
    <s v="Bank Transfer"/>
  </r>
  <r>
    <s v="ORD-02401"/>
    <x v="123"/>
    <x v="2"/>
    <s v="Massachusetts"/>
    <s v="Springfield"/>
    <s v="Taylor Smith"/>
    <x v="0"/>
    <x v="2"/>
    <s v="Chairs"/>
    <s v="Ergonomic Chair"/>
    <n v="10"/>
    <n v="447.87"/>
    <n v="0.05"/>
    <n v="4254.76"/>
    <n v="3061.65"/>
    <n v="1193.1099999999999"/>
    <s v="PayPal"/>
  </r>
  <r>
    <s v="ORD-02435"/>
    <x v="123"/>
    <x v="1"/>
    <s v="Georgia"/>
    <s v="Savannah"/>
    <s v="Morgan Davis"/>
    <x v="2"/>
    <x v="1"/>
    <s v="Monitors"/>
    <s v="34in Monitor"/>
    <n v="1"/>
    <n v="645.08000000000004"/>
    <n v="0.1"/>
    <n v="580.57000000000005"/>
    <n v="323.70999999999998"/>
    <n v="256.86"/>
    <s v="PayPal"/>
  </r>
  <r>
    <s v="ORD-01654"/>
    <x v="123"/>
    <x v="3"/>
    <s v="Michigan"/>
    <s v="Lansing"/>
    <s v="Casey Brown"/>
    <x v="0"/>
    <x v="1"/>
    <s v="Headsets"/>
    <s v="USB Headset"/>
    <n v="4"/>
    <n v="65.78"/>
    <n v="0.05"/>
    <n v="249.96"/>
    <n v="171.09"/>
    <n v="78.87"/>
    <s v="Bank Transfer"/>
  </r>
  <r>
    <s v="ORD-00593"/>
    <x v="123"/>
    <x v="2"/>
    <s v="Vermont"/>
    <s v="Montpelier"/>
    <s v="Casey Brown"/>
    <x v="1"/>
    <x v="0"/>
    <s v="Binders"/>
    <s v="Heavy-Duty Binder"/>
    <n v="9"/>
    <n v="24.47"/>
    <n v="0.05"/>
    <n v="209.22"/>
    <n v="168.7"/>
    <n v="40.520000000000003"/>
    <s v="Credit Card"/>
  </r>
  <r>
    <s v="ORD-01659"/>
    <x v="123"/>
    <x v="2"/>
    <s v="Massachusetts"/>
    <s v="Boston"/>
    <s v="Riley Wilson"/>
    <x v="2"/>
    <x v="2"/>
    <s v="Desks"/>
    <s v="Standing Desk"/>
    <n v="6"/>
    <n v="229.45"/>
    <n v="0.05"/>
    <n v="1307.8599999999999"/>
    <n v="998.7"/>
    <n v="309.16000000000003"/>
    <s v="Bank Transfer"/>
  </r>
  <r>
    <s v="ORD-00313"/>
    <x v="124"/>
    <x v="0"/>
    <s v="Washington"/>
    <s v="Spokane"/>
    <s v="Casey Brown"/>
    <x v="2"/>
    <x v="2"/>
    <s v="Desks"/>
    <s v="Standing Desk"/>
    <n v="7"/>
    <n v="503.81"/>
    <n v="0.1"/>
    <n v="3174"/>
    <n v="2457.42"/>
    <n v="716.58"/>
    <s v="Debit Card"/>
  </r>
  <r>
    <s v="ORD-00596"/>
    <x v="124"/>
    <x v="0"/>
    <s v="Oregon"/>
    <s v="Salem"/>
    <s v="Jamie Miller"/>
    <x v="0"/>
    <x v="1"/>
    <s v="Monitors"/>
    <s v="27in Monitor"/>
    <n v="9"/>
    <n v="153.58000000000001"/>
    <n v="0.15"/>
    <n v="1174.8900000000001"/>
    <n v="800.22"/>
    <n v="374.67"/>
    <s v="PayPal"/>
  </r>
  <r>
    <s v="ORD-02787"/>
    <x v="124"/>
    <x v="1"/>
    <s v="Florida"/>
    <s v="Tampa"/>
    <s v="Jamie Miller"/>
    <x v="2"/>
    <x v="0"/>
    <s v="Printers"/>
    <s v="Color Printer"/>
    <n v="10"/>
    <n v="326.08"/>
    <n v="0.05"/>
    <n v="3097.76"/>
    <n v="1814.74"/>
    <n v="1283.02"/>
    <s v="Credit Card"/>
  </r>
  <r>
    <s v="ORD-00296"/>
    <x v="124"/>
    <x v="0"/>
    <s v="Arizona"/>
    <s v="Phoenix"/>
    <s v="Avery Johnson"/>
    <x v="2"/>
    <x v="0"/>
    <s v="Printers"/>
    <s v="Laser Printer"/>
    <n v="8"/>
    <n v="591.4"/>
    <n v="0"/>
    <n v="4731.2"/>
    <n v="3363.24"/>
    <n v="1367.96"/>
    <s v="Credit Card"/>
  </r>
  <r>
    <s v="ORD-00708"/>
    <x v="124"/>
    <x v="0"/>
    <s v="Colorado"/>
    <s v="Colorado Springs"/>
    <s v="Taylor Smith"/>
    <x v="0"/>
    <x v="0"/>
    <s v="Printers"/>
    <s v="Color Printer"/>
    <n v="8"/>
    <n v="505.22"/>
    <n v="0"/>
    <n v="4041.76"/>
    <n v="3006.74"/>
    <n v="1035.02"/>
    <s v="PayPal"/>
  </r>
  <r>
    <s v="ORD-02214"/>
    <x v="124"/>
    <x v="3"/>
    <s v="Illinois"/>
    <s v="Chicago"/>
    <s v="Cameron Clark"/>
    <x v="2"/>
    <x v="1"/>
    <s v="Laptops"/>
    <s v="Workstation Laptop"/>
    <n v="10"/>
    <n v="1572.91"/>
    <n v="0.1"/>
    <n v="14156.19"/>
    <n v="11020.62"/>
    <n v="3135.57"/>
    <s v="PayPal"/>
  </r>
  <r>
    <s v="ORD-01370"/>
    <x v="124"/>
    <x v="1"/>
    <s v="Virginia"/>
    <s v="Richmond"/>
    <s v="Alex Morgan"/>
    <x v="0"/>
    <x v="1"/>
    <s v="Keyboards"/>
    <s v="Mechanical Keyboard"/>
    <n v="8"/>
    <n v="165.43"/>
    <n v="0.1"/>
    <n v="1191.0999999999999"/>
    <n v="960.51"/>
    <n v="230.59"/>
    <s v="Debit Card"/>
  </r>
  <r>
    <s v="ORD-02778"/>
    <x v="124"/>
    <x v="3"/>
    <s v="Indiana"/>
    <s v="Fort Wayne"/>
    <s v="Taylor Smith"/>
    <x v="1"/>
    <x v="2"/>
    <s v="Desks"/>
    <s v="Standing Desk"/>
    <n v="6"/>
    <n v="238.64"/>
    <n v="0.15"/>
    <n v="1217.06"/>
    <n v="841.74"/>
    <n v="375.32"/>
    <s v="Debit Card"/>
  </r>
  <r>
    <s v="ORD-01334"/>
    <x v="124"/>
    <x v="0"/>
    <s v="Oregon"/>
    <s v="Salem"/>
    <s v="Alex Morgan"/>
    <x v="2"/>
    <x v="0"/>
    <s v="Binders"/>
    <s v="Heavy-Duty Binder"/>
    <n v="1"/>
    <n v="26.73"/>
    <n v="0"/>
    <n v="26.73"/>
    <n v="14.8"/>
    <n v="11.93"/>
    <s v="PayPal"/>
  </r>
  <r>
    <s v="ORD-01137"/>
    <x v="125"/>
    <x v="3"/>
    <s v="Michigan"/>
    <s v="Lansing"/>
    <s v="Avery Johnson"/>
    <x v="0"/>
    <x v="2"/>
    <s v="Chairs"/>
    <s v="Ergonomic Chair"/>
    <n v="3"/>
    <n v="373.55"/>
    <n v="0.05"/>
    <n v="1064.6199999999999"/>
    <n v="785.26"/>
    <n v="279.36"/>
    <s v="Bank Transfer"/>
  </r>
  <r>
    <s v="ORD-00942"/>
    <x v="125"/>
    <x v="2"/>
    <s v="Pennsylvania"/>
    <s v="Pittsburgh"/>
    <s v="Jordan Lee"/>
    <x v="2"/>
    <x v="1"/>
    <s v="Headsets"/>
    <s v="Wireless Headset"/>
    <n v="8"/>
    <n v="132.41999999999999"/>
    <n v="0.1"/>
    <n v="953.42"/>
    <n v="772.95"/>
    <n v="180.47"/>
    <s v="Debit Card"/>
  </r>
  <r>
    <s v="ORD-02389"/>
    <x v="125"/>
    <x v="3"/>
    <s v="Minnesota"/>
    <s v="Rochester"/>
    <s v="Jordan Lee"/>
    <x v="2"/>
    <x v="0"/>
    <s v="Printers"/>
    <s v="Laser Printer"/>
    <n v="2"/>
    <n v="212.34"/>
    <n v="0.2"/>
    <n v="339.74"/>
    <n v="262.95999999999998"/>
    <n v="76.78"/>
    <s v="Bank Transfer"/>
  </r>
  <r>
    <s v="ORD-02372"/>
    <x v="125"/>
    <x v="0"/>
    <s v="California"/>
    <s v="San Jose"/>
    <s v="Jamie Miller"/>
    <x v="0"/>
    <x v="1"/>
    <s v="Monitors"/>
    <s v="27in Monitor"/>
    <n v="5"/>
    <n v="341.09"/>
    <n v="0.15"/>
    <n v="1449.63"/>
    <n v="806.06"/>
    <n v="643.57000000000005"/>
    <s v="Debit Card"/>
  </r>
  <r>
    <s v="ORD-00792"/>
    <x v="125"/>
    <x v="0"/>
    <s v="California"/>
    <s v="San Jose"/>
    <s v="Cameron Clark"/>
    <x v="1"/>
    <x v="2"/>
    <s v="Tables"/>
    <s v="Side Table"/>
    <n v="9"/>
    <n v="401.78"/>
    <n v="0"/>
    <n v="3616.02"/>
    <n v="2514.94"/>
    <n v="1101.08"/>
    <s v="Bank Transfer"/>
  </r>
  <r>
    <s v="ORD-01701"/>
    <x v="125"/>
    <x v="2"/>
    <s v="Vermont"/>
    <s v="Montpelier"/>
    <s v="Riley Wilson"/>
    <x v="2"/>
    <x v="1"/>
    <s v="Keyboards"/>
    <s v="Ergonomic Keyboard"/>
    <n v="7"/>
    <n v="154.26"/>
    <n v="0.05"/>
    <n v="1025.83"/>
    <n v="730.91"/>
    <n v="294.92"/>
    <s v="Debit Card"/>
  </r>
  <r>
    <s v="ORD-01082"/>
    <x v="125"/>
    <x v="2"/>
    <s v="Pennsylvania"/>
    <s v="Philadelphia"/>
    <s v="Jordan Lee"/>
    <x v="0"/>
    <x v="2"/>
    <s v="Tables"/>
    <s v="Training Table"/>
    <n v="10"/>
    <n v="613.69000000000005"/>
    <n v="0.1"/>
    <n v="5523.21"/>
    <n v="4075.9"/>
    <n v="1447.31"/>
    <s v="Bank Transfer"/>
  </r>
  <r>
    <s v="ORD-02590"/>
    <x v="125"/>
    <x v="3"/>
    <s v="Illinois"/>
    <s v="Peoria"/>
    <s v="Avery Johnson"/>
    <x v="2"/>
    <x v="0"/>
    <s v="Pens"/>
    <s v="Gel Pens"/>
    <n v="3"/>
    <n v="23.27"/>
    <n v="0"/>
    <n v="69.81"/>
    <n v="40.549999999999997"/>
    <n v="29.26"/>
    <s v="PayPal"/>
  </r>
  <r>
    <s v="ORD-02040"/>
    <x v="125"/>
    <x v="3"/>
    <s v="Ohio"/>
    <s v="Cleveland"/>
    <s v="Jordan Lee"/>
    <x v="2"/>
    <x v="0"/>
    <s v="Binders"/>
    <s v="3-Ring Binder"/>
    <n v="2"/>
    <n v="19.43"/>
    <n v="0.1"/>
    <n v="34.97"/>
    <n v="21.41"/>
    <n v="13.56"/>
    <s v="PayPal"/>
  </r>
  <r>
    <s v="ORD-01994"/>
    <x v="125"/>
    <x v="2"/>
    <s v="Vermont"/>
    <s v="Burlington"/>
    <s v="Jordan Lee"/>
    <x v="0"/>
    <x v="0"/>
    <s v="Paper"/>
    <s v="Copy Paper"/>
    <n v="1"/>
    <n v="12.52"/>
    <n v="0"/>
    <n v="12.52"/>
    <n v="7.12"/>
    <n v="5.4"/>
    <s v="Debit Card"/>
  </r>
  <r>
    <s v="ORD-00683"/>
    <x v="126"/>
    <x v="3"/>
    <s v="Illinois"/>
    <s v="Springfield"/>
    <s v="Casey Brown"/>
    <x v="1"/>
    <x v="1"/>
    <s v="Headsets"/>
    <s v="Wireless Headset"/>
    <n v="5"/>
    <n v="143.24"/>
    <n v="0"/>
    <n v="716.2"/>
    <n v="506.29"/>
    <n v="209.91"/>
    <s v="PayPal"/>
  </r>
  <r>
    <s v="ORD-01354"/>
    <x v="126"/>
    <x v="1"/>
    <s v="Texas"/>
    <s v="Austin"/>
    <s v="Jamie Miller"/>
    <x v="1"/>
    <x v="2"/>
    <s v="Chairs"/>
    <s v="Task Chair"/>
    <n v="7"/>
    <n v="480.43"/>
    <n v="0.1"/>
    <n v="3026.71"/>
    <n v="2242.85"/>
    <n v="783.86"/>
    <s v="Debit Card"/>
  </r>
  <r>
    <s v="ORD-00145"/>
    <x v="126"/>
    <x v="0"/>
    <s v="Oregon"/>
    <s v="Salem"/>
    <s v="Riley Wilson"/>
    <x v="2"/>
    <x v="2"/>
    <s v="Desks"/>
    <s v="Executive Desk"/>
    <n v="8"/>
    <n v="583.63"/>
    <n v="0"/>
    <n v="4669.04"/>
    <n v="2954.44"/>
    <n v="1714.6"/>
    <s v="Debit Card"/>
  </r>
  <r>
    <s v="ORD-00832"/>
    <x v="126"/>
    <x v="2"/>
    <s v="Massachusetts"/>
    <s v="Worcester"/>
    <s v="Morgan Davis"/>
    <x v="2"/>
    <x v="1"/>
    <s v="Keyboards"/>
    <s v="Ergonomic Keyboard"/>
    <n v="7"/>
    <n v="166.8"/>
    <n v="0.1"/>
    <n v="1050.8399999999999"/>
    <n v="813.82"/>
    <n v="237.02"/>
    <s v="Credit Card"/>
  </r>
  <r>
    <s v="ORD-00071"/>
    <x v="126"/>
    <x v="1"/>
    <s v="Florida"/>
    <s v="Orlando"/>
    <s v="Avery Johnson"/>
    <x v="0"/>
    <x v="2"/>
    <s v="Bookcases"/>
    <s v="5-Shelf Bookcase"/>
    <n v="10"/>
    <n v="240.96"/>
    <n v="0.1"/>
    <n v="2168.64"/>
    <n v="1423.4"/>
    <n v="745.24"/>
    <s v="PayPal"/>
  </r>
  <r>
    <s v="ORD-02918"/>
    <x v="126"/>
    <x v="3"/>
    <s v="Minnesota"/>
    <s v="St. Paul"/>
    <s v="Jamie Miller"/>
    <x v="1"/>
    <x v="0"/>
    <s v="Binders"/>
    <s v="Presentation Binder"/>
    <n v="6"/>
    <n v="15.28"/>
    <n v="0.05"/>
    <n v="87.1"/>
    <n v="55.3"/>
    <n v="31.8"/>
    <s v="Credit Card"/>
  </r>
  <r>
    <s v="ORD-02246"/>
    <x v="126"/>
    <x v="1"/>
    <s v="Texas"/>
    <s v="Dallas"/>
    <s v="Jamie Miller"/>
    <x v="1"/>
    <x v="0"/>
    <s v="Printers"/>
    <s v="Color Printer"/>
    <n v="2"/>
    <n v="207.02"/>
    <n v="0.15"/>
    <n v="351.93"/>
    <n v="234.86"/>
    <n v="117.07"/>
    <s v="Bank Transfer"/>
  </r>
  <r>
    <s v="ORD-01836"/>
    <x v="127"/>
    <x v="1"/>
    <s v="Texas"/>
    <s v="Dallas"/>
    <s v="Cameron Clark"/>
    <x v="0"/>
    <x v="1"/>
    <s v="Headsets"/>
    <s v="Noise-Canceling Headset"/>
    <n v="8"/>
    <n v="126.21"/>
    <n v="0"/>
    <n v="1009.68"/>
    <n v="609.53"/>
    <n v="400.15"/>
    <s v="Debit Card"/>
  </r>
  <r>
    <s v="ORD-02429"/>
    <x v="127"/>
    <x v="2"/>
    <s v="Vermont"/>
    <s v="Rutland"/>
    <s v="Taylor Smith"/>
    <x v="0"/>
    <x v="2"/>
    <s v="Bookcases"/>
    <s v="5-Shelf Bookcase"/>
    <n v="5"/>
    <n v="231.82"/>
    <n v="0"/>
    <n v="1159.0999999999999"/>
    <n v="670.05"/>
    <n v="489.05"/>
    <s v="Credit Card"/>
  </r>
  <r>
    <s v="ORD-00337"/>
    <x v="127"/>
    <x v="2"/>
    <s v="New Jersey"/>
    <s v="Trenton"/>
    <s v="Jordan Lee"/>
    <x v="2"/>
    <x v="2"/>
    <s v="Bookcases"/>
    <s v="3-Shelf Bookcase"/>
    <n v="8"/>
    <n v="270.39"/>
    <n v="0"/>
    <n v="2163.12"/>
    <n v="1431.94"/>
    <n v="731.18"/>
    <s v="PayPal"/>
  </r>
  <r>
    <s v="ORD-02249"/>
    <x v="127"/>
    <x v="0"/>
    <s v="California"/>
    <s v="San Jose"/>
    <s v="Riley Wilson"/>
    <x v="0"/>
    <x v="1"/>
    <s v="Monitors"/>
    <s v="34in Monitor"/>
    <n v="9"/>
    <n v="432.72"/>
    <n v="0.05"/>
    <n v="3699.76"/>
    <n v="2675.5"/>
    <n v="1024.26"/>
    <s v="Bank Transfer"/>
  </r>
  <r>
    <s v="ORD-00034"/>
    <x v="127"/>
    <x v="1"/>
    <s v="North Carolina"/>
    <s v="Durham"/>
    <s v="Taylor Smith"/>
    <x v="2"/>
    <x v="0"/>
    <s v="Printers"/>
    <s v="Laser Printer"/>
    <n v="7"/>
    <n v="211.25"/>
    <n v="0.1"/>
    <n v="1330.88"/>
    <n v="1020.83"/>
    <n v="310.05"/>
    <s v="PayPal"/>
  </r>
  <r>
    <s v="ORD-02866"/>
    <x v="127"/>
    <x v="3"/>
    <s v="Michigan"/>
    <s v="Grand Rapids"/>
    <s v="Drew Anderson"/>
    <x v="0"/>
    <x v="1"/>
    <s v="Keyboards"/>
    <s v="Mechanical Keyboard"/>
    <n v="4"/>
    <n v="37.56"/>
    <n v="0.1"/>
    <n v="135.22"/>
    <n v="100.37"/>
    <n v="34.85"/>
    <s v="Bank Transfer"/>
  </r>
  <r>
    <s v="ORD-01260"/>
    <x v="127"/>
    <x v="3"/>
    <s v="Ohio"/>
    <s v="Columbus"/>
    <s v="Jordan Lee"/>
    <x v="1"/>
    <x v="0"/>
    <s v="Binders"/>
    <s v="Heavy-Duty Binder"/>
    <n v="2"/>
    <n v="10.39"/>
    <n v="0"/>
    <n v="20.78"/>
    <n v="14.29"/>
    <n v="6.49"/>
    <s v="PayPal"/>
  </r>
  <r>
    <s v="ORD-00610"/>
    <x v="127"/>
    <x v="0"/>
    <s v="Arizona"/>
    <s v="Tucson"/>
    <s v="Avery Johnson"/>
    <x v="2"/>
    <x v="2"/>
    <s v="Tables"/>
    <s v="Side Table"/>
    <n v="8"/>
    <n v="517.54"/>
    <n v="0.1"/>
    <n v="3726.29"/>
    <n v="2976.78"/>
    <n v="749.51"/>
    <s v="Credit Card"/>
  </r>
  <r>
    <s v="ORD-00964"/>
    <x v="127"/>
    <x v="3"/>
    <s v="Indiana"/>
    <s v="Indianapolis"/>
    <s v="Casey Brown"/>
    <x v="2"/>
    <x v="2"/>
    <s v="Tables"/>
    <s v="Side Table"/>
    <n v="10"/>
    <n v="503.46"/>
    <n v="0.1"/>
    <n v="4531.1400000000003"/>
    <n v="2692.21"/>
    <n v="1838.93"/>
    <s v="PayPal"/>
  </r>
  <r>
    <s v="ORD-01606"/>
    <x v="128"/>
    <x v="3"/>
    <s v="Ohio"/>
    <s v="Columbus"/>
    <s v="Jamie Miller"/>
    <x v="0"/>
    <x v="0"/>
    <s v="Binders"/>
    <s v="Presentation Binder"/>
    <n v="3"/>
    <n v="18.170000000000002"/>
    <n v="0.05"/>
    <n v="51.78"/>
    <n v="28.63"/>
    <n v="23.15"/>
    <s v="Credit Card"/>
  </r>
  <r>
    <s v="ORD-02156"/>
    <x v="128"/>
    <x v="0"/>
    <s v="Oregon"/>
    <s v="Portland"/>
    <s v="Taylor Smith"/>
    <x v="1"/>
    <x v="2"/>
    <s v="Desks"/>
    <s v="Work Desk"/>
    <n v="6"/>
    <n v="794.57"/>
    <n v="0.05"/>
    <n v="4529.05"/>
    <n v="3501.75"/>
    <n v="1027.3"/>
    <s v="Debit Card"/>
  </r>
  <r>
    <s v="ORD-02354"/>
    <x v="128"/>
    <x v="0"/>
    <s v="Colorado"/>
    <s v="Colorado Springs"/>
    <s v="Drew Anderson"/>
    <x v="0"/>
    <x v="1"/>
    <s v="Headsets"/>
    <s v="USB Headset"/>
    <n v="10"/>
    <n v="52.59"/>
    <n v="0"/>
    <n v="525.9"/>
    <n v="389.24"/>
    <n v="136.66"/>
    <s v="Bank Transfer"/>
  </r>
  <r>
    <s v="ORD-02700"/>
    <x v="128"/>
    <x v="1"/>
    <s v="North Carolina"/>
    <s v="Charlotte"/>
    <s v="Alex Morgan"/>
    <x v="0"/>
    <x v="1"/>
    <s v="Keyboards"/>
    <s v="Wireless Keyboard"/>
    <n v="6"/>
    <n v="142.12"/>
    <n v="0.1"/>
    <n v="767.45"/>
    <n v="601.84"/>
    <n v="165.61"/>
    <s v="Debit Card"/>
  </r>
  <r>
    <s v="ORD-00247"/>
    <x v="128"/>
    <x v="2"/>
    <s v="Pennsylvania"/>
    <s v="Allentown"/>
    <s v="Taylor Smith"/>
    <x v="1"/>
    <x v="1"/>
    <s v="Laptops"/>
    <s v="Business Laptop"/>
    <n v="8"/>
    <n v="1376.31"/>
    <n v="0"/>
    <n v="11010.48"/>
    <n v="6993.55"/>
    <n v="4016.93"/>
    <s v="Debit Card"/>
  </r>
  <r>
    <s v="ORD-01940"/>
    <x v="128"/>
    <x v="3"/>
    <s v="Indiana"/>
    <s v="Evansville"/>
    <s v="Jordan Lee"/>
    <x v="0"/>
    <x v="2"/>
    <s v="Desks"/>
    <s v="Standing Desk"/>
    <n v="6"/>
    <n v="295.14999999999998"/>
    <n v="0"/>
    <n v="1770.9"/>
    <n v="1350.48"/>
    <n v="420.42"/>
    <s v="Debit Card"/>
  </r>
  <r>
    <s v="ORD-00387"/>
    <x v="128"/>
    <x v="3"/>
    <s v="Minnesota"/>
    <s v="Rochester"/>
    <s v="Drew Anderson"/>
    <x v="2"/>
    <x v="0"/>
    <s v="Paper"/>
    <s v="Premium Paper"/>
    <n v="5"/>
    <n v="15.17"/>
    <n v="0.1"/>
    <n v="68.260000000000005"/>
    <n v="44.98"/>
    <n v="23.28"/>
    <s v="PayPal"/>
  </r>
  <r>
    <s v="ORD-01369"/>
    <x v="128"/>
    <x v="2"/>
    <s v="New Jersey"/>
    <s v="Newark"/>
    <s v="Avery Johnson"/>
    <x v="0"/>
    <x v="1"/>
    <s v="Laptops"/>
    <s v="Business Laptop"/>
    <n v="7"/>
    <n v="1627.47"/>
    <n v="0.05"/>
    <n v="10822.68"/>
    <n v="7040.1"/>
    <n v="3782.58"/>
    <s v="Bank Transfer"/>
  </r>
  <r>
    <s v="ORD-03000"/>
    <x v="128"/>
    <x v="0"/>
    <s v="California"/>
    <s v="San Diego"/>
    <s v="Jamie Miller"/>
    <x v="1"/>
    <x v="1"/>
    <s v="Monitors"/>
    <s v="34in Monitor"/>
    <n v="8"/>
    <n v="670"/>
    <n v="0.05"/>
    <n v="5092"/>
    <n v="3055.62"/>
    <n v="2036.38"/>
    <s v="Bank Transfer"/>
  </r>
  <r>
    <s v="ORD-00547"/>
    <x v="128"/>
    <x v="2"/>
    <s v="New Jersey"/>
    <s v="Jersey City"/>
    <s v="Casey Brown"/>
    <x v="0"/>
    <x v="0"/>
    <s v="Binders"/>
    <s v="3-Ring Binder"/>
    <n v="4"/>
    <n v="20.239999999999998"/>
    <n v="0.05"/>
    <n v="76.91"/>
    <n v="52.59"/>
    <n v="24.32"/>
    <s v="Credit Card"/>
  </r>
  <r>
    <s v="ORD-00813"/>
    <x v="128"/>
    <x v="2"/>
    <s v="New Jersey"/>
    <s v="Trenton"/>
    <s v="Jamie Miller"/>
    <x v="2"/>
    <x v="1"/>
    <s v="Laptops"/>
    <s v="Workstation Laptop"/>
    <n v="10"/>
    <n v="1471.8"/>
    <n v="0.05"/>
    <n v="13982.1"/>
    <n v="10624.2"/>
    <n v="3357.9"/>
    <s v="Debit Card"/>
  </r>
  <r>
    <s v="ORD-02074"/>
    <x v="129"/>
    <x v="1"/>
    <s v="Georgia"/>
    <s v="Savannah"/>
    <s v="Cameron Clark"/>
    <x v="2"/>
    <x v="2"/>
    <s v="Chairs"/>
    <s v="Task Chair"/>
    <n v="9"/>
    <n v="571.05999999999995"/>
    <n v="0"/>
    <n v="5139.54"/>
    <n v="3684.72"/>
    <n v="1454.82"/>
    <s v="PayPal"/>
  </r>
  <r>
    <s v="ORD-02426"/>
    <x v="129"/>
    <x v="3"/>
    <s v="Michigan"/>
    <s v="Grand Rapids"/>
    <s v="Avery Johnson"/>
    <x v="0"/>
    <x v="0"/>
    <s v="Paper"/>
    <s v="Premium Paper"/>
    <n v="3"/>
    <n v="9.82"/>
    <n v="0.2"/>
    <n v="23.57"/>
    <n v="17.010000000000002"/>
    <n v="6.56"/>
    <s v="PayPal"/>
  </r>
  <r>
    <s v="ORD-02559"/>
    <x v="129"/>
    <x v="0"/>
    <s v="Washington"/>
    <s v="Spokane"/>
    <s v="Drew Anderson"/>
    <x v="2"/>
    <x v="0"/>
    <s v="Paper"/>
    <s v="Recycled Paper"/>
    <n v="1"/>
    <n v="31.63"/>
    <n v="0.1"/>
    <n v="28.47"/>
    <n v="20.91"/>
    <n v="7.56"/>
    <s v="Bank Transfer"/>
  </r>
  <r>
    <s v="ORD-01229"/>
    <x v="129"/>
    <x v="1"/>
    <s v="Georgia"/>
    <s v="Atlanta"/>
    <s v="Morgan Davis"/>
    <x v="0"/>
    <x v="2"/>
    <s v="Bookcases"/>
    <s v="3-Shelf Bookcase"/>
    <n v="2"/>
    <n v="255.35"/>
    <n v="0"/>
    <n v="510.7"/>
    <n v="365.01"/>
    <n v="145.69"/>
    <s v="Bank Transfer"/>
  </r>
  <r>
    <s v="ORD-01232"/>
    <x v="129"/>
    <x v="0"/>
    <s v="Arizona"/>
    <s v="Tucson"/>
    <s v="Morgan Davis"/>
    <x v="2"/>
    <x v="1"/>
    <s v="Headsets"/>
    <s v="Noise-Canceling Headset"/>
    <n v="9"/>
    <n v="68.16"/>
    <n v="0.05"/>
    <n v="582.77"/>
    <n v="439.66"/>
    <n v="143.11000000000001"/>
    <s v="PayPal"/>
  </r>
  <r>
    <s v="ORD-01703"/>
    <x v="129"/>
    <x v="3"/>
    <s v="Indiana"/>
    <s v="Evansville"/>
    <s v="Avery Johnson"/>
    <x v="2"/>
    <x v="0"/>
    <s v="Paper"/>
    <s v="Recycled Paper"/>
    <n v="4"/>
    <n v="27.49"/>
    <n v="0"/>
    <n v="109.96"/>
    <n v="89.32"/>
    <n v="20.64"/>
    <s v="PayPal"/>
  </r>
  <r>
    <s v="ORD-01238"/>
    <x v="129"/>
    <x v="0"/>
    <s v="Colorado"/>
    <s v="Boulder"/>
    <s v="Drew Anderson"/>
    <x v="1"/>
    <x v="0"/>
    <s v="Binders"/>
    <s v="Heavy-Duty Binder"/>
    <n v="2"/>
    <n v="5.67"/>
    <n v="0.15"/>
    <n v="9.64"/>
    <n v="6.59"/>
    <n v="3.05"/>
    <s v="PayPal"/>
  </r>
  <r>
    <s v="ORD-00262"/>
    <x v="130"/>
    <x v="1"/>
    <s v="North Carolina"/>
    <s v="Charlotte"/>
    <s v="Riley Wilson"/>
    <x v="0"/>
    <x v="0"/>
    <s v="Paper"/>
    <s v="Recycled Paper"/>
    <n v="10"/>
    <n v="26.27"/>
    <n v="0"/>
    <n v="262.7"/>
    <n v="195.19"/>
    <n v="67.510000000000005"/>
    <s v="Bank Transfer"/>
  </r>
  <r>
    <s v="ORD-01449"/>
    <x v="130"/>
    <x v="1"/>
    <s v="Texas"/>
    <s v="Austin"/>
    <s v="Taylor Smith"/>
    <x v="0"/>
    <x v="2"/>
    <s v="Chairs"/>
    <s v="Ergonomic Chair"/>
    <n v="5"/>
    <n v="314.42"/>
    <n v="0"/>
    <n v="1572.1"/>
    <n v="932"/>
    <n v="640.1"/>
    <s v="PayPal"/>
  </r>
  <r>
    <s v="ORD-01499"/>
    <x v="130"/>
    <x v="3"/>
    <s v="Minnesota"/>
    <s v="St. Paul"/>
    <s v="Alex Morgan"/>
    <x v="2"/>
    <x v="0"/>
    <s v="Paper"/>
    <s v="Copy Paper"/>
    <n v="8"/>
    <n v="14.37"/>
    <n v="0.1"/>
    <n v="103.46"/>
    <n v="68.430000000000007"/>
    <n v="35.03"/>
    <s v="PayPal"/>
  </r>
  <r>
    <s v="ORD-00860"/>
    <x v="130"/>
    <x v="3"/>
    <s v="Minnesota"/>
    <s v="Minneapolis"/>
    <s v="Casey Brown"/>
    <x v="1"/>
    <x v="2"/>
    <s v="Tables"/>
    <s v="Training Table"/>
    <n v="2"/>
    <n v="507.59"/>
    <n v="0.1"/>
    <n v="913.66"/>
    <n v="604.29"/>
    <n v="309.37"/>
    <s v="Credit Card"/>
  </r>
  <r>
    <s v="ORD-00707"/>
    <x v="130"/>
    <x v="0"/>
    <s v="Arizona"/>
    <s v="Mesa"/>
    <s v="Cameron Clark"/>
    <x v="1"/>
    <x v="0"/>
    <s v="Printers"/>
    <s v="Color Printer"/>
    <n v="4"/>
    <n v="332.35"/>
    <n v="0.1"/>
    <n v="1196.46"/>
    <n v="955.98"/>
    <n v="240.48"/>
    <s v="PayPal"/>
  </r>
  <r>
    <s v="ORD-01589"/>
    <x v="130"/>
    <x v="3"/>
    <s v="Michigan"/>
    <s v="Grand Rapids"/>
    <s v="Casey Brown"/>
    <x v="2"/>
    <x v="0"/>
    <s v="Paper"/>
    <s v="Copy Paper"/>
    <n v="1"/>
    <n v="17.47"/>
    <n v="0.15"/>
    <n v="14.85"/>
    <n v="8.5399999999999991"/>
    <n v="6.31"/>
    <s v="PayPal"/>
  </r>
  <r>
    <s v="ORD-00833"/>
    <x v="130"/>
    <x v="3"/>
    <s v="Michigan"/>
    <s v="Lansing"/>
    <s v="Cameron Clark"/>
    <x v="2"/>
    <x v="0"/>
    <s v="Pens"/>
    <s v="Fine Tip Pens"/>
    <n v="10"/>
    <n v="20.86"/>
    <n v="0.15"/>
    <n v="177.31"/>
    <n v="109.53"/>
    <n v="67.78"/>
    <s v="PayPal"/>
  </r>
  <r>
    <s v="ORD-02966"/>
    <x v="130"/>
    <x v="3"/>
    <s v="Ohio"/>
    <s v="Cincinnati"/>
    <s v="Taylor Smith"/>
    <x v="0"/>
    <x v="0"/>
    <s v="Printers"/>
    <s v="Color Printer"/>
    <n v="6"/>
    <n v="302.37"/>
    <n v="0.05"/>
    <n v="1723.51"/>
    <n v="1133.8699999999999"/>
    <n v="589.64"/>
    <s v="Credit Card"/>
  </r>
  <r>
    <s v="ORD-02862"/>
    <x v="131"/>
    <x v="0"/>
    <s v="Washington"/>
    <s v="Spokane"/>
    <s v="Jamie Miller"/>
    <x v="2"/>
    <x v="0"/>
    <s v="Printers"/>
    <s v="Color Printer"/>
    <n v="4"/>
    <n v="404.55"/>
    <n v="0.05"/>
    <n v="1537.29"/>
    <n v="907.62"/>
    <n v="629.66999999999996"/>
    <s v="PayPal"/>
  </r>
  <r>
    <s v="ORD-02366"/>
    <x v="131"/>
    <x v="3"/>
    <s v="Ohio"/>
    <s v="Cincinnati"/>
    <s v="Jamie Miller"/>
    <x v="0"/>
    <x v="0"/>
    <s v="Pens"/>
    <s v="Fine Tip Pens"/>
    <n v="4"/>
    <n v="11.59"/>
    <n v="0.15"/>
    <n v="39.409999999999997"/>
    <n v="25.72"/>
    <n v="13.69"/>
    <s v="PayPal"/>
  </r>
  <r>
    <s v="ORD-02609"/>
    <x v="131"/>
    <x v="1"/>
    <s v="Georgia"/>
    <s v="Savannah"/>
    <s v="Cameron Clark"/>
    <x v="0"/>
    <x v="1"/>
    <s v="Laptops"/>
    <s v="Workstation Laptop"/>
    <n v="7"/>
    <n v="1656.93"/>
    <n v="0"/>
    <n v="11598.51"/>
    <n v="9247.82"/>
    <n v="2350.69"/>
    <s v="Bank Transfer"/>
  </r>
  <r>
    <s v="ORD-02663"/>
    <x v="131"/>
    <x v="1"/>
    <s v="Virginia"/>
    <s v="Norfolk"/>
    <s v="Casey Brown"/>
    <x v="1"/>
    <x v="1"/>
    <s v="Headsets"/>
    <s v="Wireless Headset"/>
    <n v="10"/>
    <n v="237.98"/>
    <n v="0.05"/>
    <n v="2260.81"/>
    <n v="1362.73"/>
    <n v="898.08"/>
    <s v="Bank Transfer"/>
  </r>
  <r>
    <s v="ORD-01054"/>
    <x v="131"/>
    <x v="3"/>
    <s v="Michigan"/>
    <s v="Lansing"/>
    <s v="Drew Anderson"/>
    <x v="0"/>
    <x v="1"/>
    <s v="Monitors"/>
    <s v="24in Monitor"/>
    <n v="6"/>
    <n v="683.76"/>
    <n v="0"/>
    <n v="4102.5600000000004"/>
    <n v="2319.27"/>
    <n v="1783.29"/>
    <s v="Debit Card"/>
  </r>
  <r>
    <s v="ORD-02457"/>
    <x v="131"/>
    <x v="3"/>
    <s v="Michigan"/>
    <s v="Lansing"/>
    <s v="Morgan Davis"/>
    <x v="0"/>
    <x v="1"/>
    <s v="Monitors"/>
    <s v="24in Monitor"/>
    <n v="5"/>
    <n v="504.25"/>
    <n v="0.05"/>
    <n v="2395.19"/>
    <n v="1799.5"/>
    <n v="595.69000000000005"/>
    <s v="PayPal"/>
  </r>
  <r>
    <s v="ORD-00362"/>
    <x v="131"/>
    <x v="2"/>
    <s v="Massachusetts"/>
    <s v="Worcester"/>
    <s v="Avery Johnson"/>
    <x v="2"/>
    <x v="1"/>
    <s v="Laptops"/>
    <s v="Workstation Laptop"/>
    <n v="3"/>
    <n v="1529.66"/>
    <n v="0"/>
    <n v="4588.9799999999996"/>
    <n v="3722.54"/>
    <n v="866.44"/>
    <s v="Credit Card"/>
  </r>
  <r>
    <s v="ORD-00095"/>
    <x v="131"/>
    <x v="1"/>
    <s v="Georgia"/>
    <s v="Augusta"/>
    <s v="Morgan Davis"/>
    <x v="0"/>
    <x v="1"/>
    <s v="Monitors"/>
    <s v="24in Monitor"/>
    <n v="7"/>
    <n v="321.95999999999998"/>
    <n v="0.05"/>
    <n v="2141.0300000000002"/>
    <n v="1526.78"/>
    <n v="614.25"/>
    <s v="Credit Card"/>
  </r>
  <r>
    <s v="ORD-00915"/>
    <x v="131"/>
    <x v="0"/>
    <s v="Colorado"/>
    <s v="Denver"/>
    <s v="Alex Morgan"/>
    <x v="0"/>
    <x v="0"/>
    <s v="Pens"/>
    <s v="Fine Tip Pens"/>
    <n v="10"/>
    <n v="14.41"/>
    <n v="0.1"/>
    <n v="129.69"/>
    <n v="95.27"/>
    <n v="34.42"/>
    <s v="PayPal"/>
  </r>
  <r>
    <s v="ORD-02455"/>
    <x v="132"/>
    <x v="2"/>
    <s v="Massachusetts"/>
    <s v="Worcester"/>
    <s v="Riley Wilson"/>
    <x v="2"/>
    <x v="1"/>
    <s v="Laptops"/>
    <s v="Ultrabook"/>
    <n v="8"/>
    <n v="620.24"/>
    <n v="0.15"/>
    <n v="4217.63"/>
    <n v="2669.69"/>
    <n v="1547.94"/>
    <s v="PayPal"/>
  </r>
  <r>
    <s v="ORD-01162"/>
    <x v="132"/>
    <x v="2"/>
    <s v="Massachusetts"/>
    <s v="Springfield"/>
    <s v="Riley Wilson"/>
    <x v="1"/>
    <x v="2"/>
    <s v="Tables"/>
    <s v="Conference Table"/>
    <n v="7"/>
    <n v="167.6"/>
    <n v="0.1"/>
    <n v="1055.8800000000001"/>
    <n v="651.58000000000004"/>
    <n v="404.3"/>
    <s v="Credit Card"/>
  </r>
  <r>
    <s v="ORD-02951"/>
    <x v="132"/>
    <x v="1"/>
    <s v="North Carolina"/>
    <s v="Durham"/>
    <s v="Avery Johnson"/>
    <x v="0"/>
    <x v="1"/>
    <s v="Keyboards"/>
    <s v="Ergonomic Keyboard"/>
    <n v="5"/>
    <n v="137.59"/>
    <n v="0.05"/>
    <n v="653.54999999999995"/>
    <n v="492.53"/>
    <n v="161.02000000000001"/>
    <s v="Credit Card"/>
  </r>
  <r>
    <s v="ORD-00941"/>
    <x v="132"/>
    <x v="0"/>
    <s v="California"/>
    <s v="San Diego"/>
    <s v="Jordan Lee"/>
    <x v="2"/>
    <x v="0"/>
    <s v="Pens"/>
    <s v="Ballpoint Pens"/>
    <n v="10"/>
    <n v="7.82"/>
    <n v="0"/>
    <n v="78.2"/>
    <n v="54.11"/>
    <n v="24.09"/>
    <s v="Credit Card"/>
  </r>
  <r>
    <s v="ORD-00029"/>
    <x v="132"/>
    <x v="0"/>
    <s v="Oregon"/>
    <s v="Salem"/>
    <s v="Alex Morgan"/>
    <x v="1"/>
    <x v="1"/>
    <s v="Monitors"/>
    <s v="27in Monitor"/>
    <n v="2"/>
    <n v="329.03"/>
    <n v="0.1"/>
    <n v="592.25"/>
    <n v="377.06"/>
    <n v="215.19"/>
    <s v="Credit Card"/>
  </r>
  <r>
    <s v="ORD-00849"/>
    <x v="132"/>
    <x v="3"/>
    <s v="Indiana"/>
    <s v="Evansville"/>
    <s v="Taylor Smith"/>
    <x v="2"/>
    <x v="0"/>
    <s v="Paper"/>
    <s v="Premium Paper"/>
    <n v="7"/>
    <n v="10.9"/>
    <n v="0"/>
    <n v="76.3"/>
    <n v="57.49"/>
    <n v="18.809999999999999"/>
    <s v="Bank Transfer"/>
  </r>
  <r>
    <s v="ORD-00183"/>
    <x v="132"/>
    <x v="1"/>
    <s v="Florida"/>
    <s v="Tampa"/>
    <s v="Jamie Miller"/>
    <x v="2"/>
    <x v="2"/>
    <s v="Chairs"/>
    <s v="Ergonomic Chair"/>
    <n v="2"/>
    <n v="450.22"/>
    <n v="0.1"/>
    <n v="810.4"/>
    <n v="500.97"/>
    <n v="309.43"/>
    <s v="Debit Card"/>
  </r>
  <r>
    <s v="ORD-02015"/>
    <x v="132"/>
    <x v="1"/>
    <s v="North Carolina"/>
    <s v="Durham"/>
    <s v="Avery Johnson"/>
    <x v="0"/>
    <x v="1"/>
    <s v="Monitors"/>
    <s v="34in Monitor"/>
    <n v="5"/>
    <n v="378.6"/>
    <n v="0.1"/>
    <n v="1703.7"/>
    <n v="948.51"/>
    <n v="755.19"/>
    <s v="Bank Transfer"/>
  </r>
  <r>
    <s v="ORD-02569"/>
    <x v="132"/>
    <x v="0"/>
    <s v="Arizona"/>
    <s v="Mesa"/>
    <s v="Avery Johnson"/>
    <x v="2"/>
    <x v="2"/>
    <s v="Tables"/>
    <s v="Side Table"/>
    <n v="10"/>
    <n v="328.89"/>
    <n v="0.15"/>
    <n v="2795.56"/>
    <n v="2154.27"/>
    <n v="641.29"/>
    <s v="Credit Card"/>
  </r>
  <r>
    <s v="ORD-00469"/>
    <x v="132"/>
    <x v="2"/>
    <s v="Vermont"/>
    <s v="Rutland"/>
    <s v="Alex Morgan"/>
    <x v="2"/>
    <x v="0"/>
    <s v="Paper"/>
    <s v="Copy Paper"/>
    <n v="5"/>
    <n v="20.65"/>
    <n v="0.05"/>
    <n v="98.09"/>
    <n v="76.45"/>
    <n v="21.64"/>
    <s v="Debit Card"/>
  </r>
  <r>
    <s v="ORD-01577"/>
    <x v="133"/>
    <x v="3"/>
    <s v="Ohio"/>
    <s v="Cincinnati"/>
    <s v="Avery Johnson"/>
    <x v="0"/>
    <x v="1"/>
    <s v="Headsets"/>
    <s v="Noise-Canceling Headset"/>
    <n v="9"/>
    <n v="229.78"/>
    <n v="0.15"/>
    <n v="1757.82"/>
    <n v="1438.65"/>
    <n v="319.17"/>
    <s v="Credit Card"/>
  </r>
  <r>
    <s v="ORD-01006"/>
    <x v="133"/>
    <x v="2"/>
    <s v="Pennsylvania"/>
    <s v="Allentown"/>
    <s v="Drew Anderson"/>
    <x v="0"/>
    <x v="0"/>
    <s v="Pens"/>
    <s v="Gel Pens"/>
    <n v="4"/>
    <n v="6.62"/>
    <n v="0.2"/>
    <n v="21.18"/>
    <n v="15.61"/>
    <n v="5.57"/>
    <s v="Bank Transfer"/>
  </r>
  <r>
    <s v="ORD-02185"/>
    <x v="133"/>
    <x v="2"/>
    <s v="Pennsylvania"/>
    <s v="Allentown"/>
    <s v="Riley Wilson"/>
    <x v="0"/>
    <x v="1"/>
    <s v="Keyboards"/>
    <s v="Wireless Keyboard"/>
    <n v="1"/>
    <n v="109.71"/>
    <n v="0"/>
    <n v="109.71"/>
    <n v="65.02"/>
    <n v="44.69"/>
    <s v="Debit Card"/>
  </r>
  <r>
    <s v="ORD-02611"/>
    <x v="133"/>
    <x v="0"/>
    <s v="Washington"/>
    <s v="Spokane"/>
    <s v="Jordan Lee"/>
    <x v="2"/>
    <x v="0"/>
    <s v="Paper"/>
    <s v="Recycled Paper"/>
    <n v="4"/>
    <n v="12.95"/>
    <n v="0"/>
    <n v="51.8"/>
    <n v="33.549999999999997"/>
    <n v="18.25"/>
    <s v="PayPal"/>
  </r>
  <r>
    <s v="ORD-01511"/>
    <x v="133"/>
    <x v="3"/>
    <s v="Michigan"/>
    <s v="Detroit"/>
    <s v="Taylor Smith"/>
    <x v="0"/>
    <x v="1"/>
    <s v="Headsets"/>
    <s v="Wireless Headset"/>
    <n v="2"/>
    <n v="244.88"/>
    <n v="0"/>
    <n v="489.76"/>
    <n v="391.24"/>
    <n v="98.52"/>
    <s v="Credit Card"/>
  </r>
  <r>
    <s v="ORD-00220"/>
    <x v="133"/>
    <x v="3"/>
    <s v="Ohio"/>
    <s v="Cincinnati"/>
    <s v="Jamie Miller"/>
    <x v="0"/>
    <x v="0"/>
    <s v="Paper"/>
    <s v="Premium Paper"/>
    <n v="5"/>
    <n v="13.06"/>
    <n v="0"/>
    <n v="65.3"/>
    <n v="44.85"/>
    <n v="20.45"/>
    <s v="Bank Transfer"/>
  </r>
  <r>
    <s v="ORD-00136"/>
    <x v="134"/>
    <x v="2"/>
    <s v="New Jersey"/>
    <s v="Trenton"/>
    <s v="Drew Anderson"/>
    <x v="0"/>
    <x v="1"/>
    <s v="Laptops"/>
    <s v="Ultrabook"/>
    <n v="10"/>
    <n v="1186.54"/>
    <n v="0.05"/>
    <n v="11272.13"/>
    <n v="9141.33"/>
    <n v="2130.8000000000002"/>
    <s v="PayPal"/>
  </r>
  <r>
    <s v="ORD-00151"/>
    <x v="134"/>
    <x v="3"/>
    <s v="Michigan"/>
    <s v="Grand Rapids"/>
    <s v="Morgan Davis"/>
    <x v="2"/>
    <x v="2"/>
    <s v="Bookcases"/>
    <s v="5-Shelf Bookcase"/>
    <n v="7"/>
    <n v="166.7"/>
    <n v="0.05"/>
    <n v="1108.55"/>
    <n v="856.07"/>
    <n v="252.48"/>
    <s v="Debit Card"/>
  </r>
  <r>
    <s v="ORD-02459"/>
    <x v="134"/>
    <x v="2"/>
    <s v="New Jersey"/>
    <s v="Jersey City"/>
    <s v="Avery Johnson"/>
    <x v="0"/>
    <x v="2"/>
    <s v="Chairs"/>
    <s v="Task Chair"/>
    <n v="1"/>
    <n v="574.69000000000005"/>
    <n v="0"/>
    <n v="574.69000000000005"/>
    <n v="408.14"/>
    <n v="166.55"/>
    <s v="Debit Card"/>
  </r>
  <r>
    <s v="ORD-02002"/>
    <x v="134"/>
    <x v="0"/>
    <s v="Colorado"/>
    <s v="Colorado Springs"/>
    <s v="Taylor Smith"/>
    <x v="2"/>
    <x v="2"/>
    <s v="Tables"/>
    <s v="Conference Table"/>
    <n v="9"/>
    <n v="668.25"/>
    <n v="0.15"/>
    <n v="5112.1099999999997"/>
    <n v="3233.1"/>
    <n v="1879.01"/>
    <s v="Debit Card"/>
  </r>
  <r>
    <s v="ORD-01234"/>
    <x v="134"/>
    <x v="2"/>
    <s v="New York"/>
    <s v="Buffalo"/>
    <s v="Jamie Miller"/>
    <x v="2"/>
    <x v="1"/>
    <s v="Headsets"/>
    <s v="USB Headset"/>
    <n v="4"/>
    <n v="64.89"/>
    <n v="0.05"/>
    <n v="246.58"/>
    <n v="148.76"/>
    <n v="97.82"/>
    <s v="PayPal"/>
  </r>
  <r>
    <s v="ORD-02359"/>
    <x v="134"/>
    <x v="1"/>
    <s v="Virginia"/>
    <s v="Richmond"/>
    <s v="Avery Johnson"/>
    <x v="0"/>
    <x v="0"/>
    <s v="Printers"/>
    <s v="Laser Printer"/>
    <n v="5"/>
    <n v="234.81"/>
    <n v="0.15"/>
    <n v="997.94"/>
    <n v="664.21"/>
    <n v="333.73"/>
    <s v="Bank Transfer"/>
  </r>
  <r>
    <s v="ORD-00765"/>
    <x v="134"/>
    <x v="2"/>
    <s v="Vermont"/>
    <s v="Burlington"/>
    <s v="Riley Wilson"/>
    <x v="2"/>
    <x v="1"/>
    <s v="Monitors"/>
    <s v="34in Monitor"/>
    <n v="5"/>
    <n v="319.2"/>
    <n v="0"/>
    <n v="1596"/>
    <n v="957.91"/>
    <n v="638.09"/>
    <s v="Debit Card"/>
  </r>
  <r>
    <s v="ORD-00995"/>
    <x v="135"/>
    <x v="0"/>
    <s v="California"/>
    <s v="Los Angeles"/>
    <s v="Riley Wilson"/>
    <x v="0"/>
    <x v="1"/>
    <s v="Keyboards"/>
    <s v="Mechanical Keyboard"/>
    <n v="2"/>
    <n v="52.78"/>
    <n v="0.15"/>
    <n v="89.73"/>
    <n v="68.87"/>
    <n v="20.86"/>
    <s v="Credit Card"/>
  </r>
  <r>
    <s v="ORD-01283"/>
    <x v="135"/>
    <x v="2"/>
    <s v="New York"/>
    <s v="Buffalo"/>
    <s v="Jordan Lee"/>
    <x v="2"/>
    <x v="1"/>
    <s v="Monitors"/>
    <s v="34in Monitor"/>
    <n v="6"/>
    <n v="237.93"/>
    <n v="0"/>
    <n v="1427.58"/>
    <n v="975.41"/>
    <n v="452.17"/>
    <s v="Bank Transfer"/>
  </r>
  <r>
    <s v="ORD-00811"/>
    <x v="135"/>
    <x v="3"/>
    <s v="Ohio"/>
    <s v="Cincinnati"/>
    <s v="Drew Anderson"/>
    <x v="0"/>
    <x v="1"/>
    <s v="Keyboards"/>
    <s v="Ergonomic Keyboard"/>
    <n v="6"/>
    <n v="38.79"/>
    <n v="0"/>
    <n v="232.74"/>
    <n v="164.72"/>
    <n v="68.02"/>
    <s v="Debit Card"/>
  </r>
  <r>
    <s v="ORD-00350"/>
    <x v="135"/>
    <x v="3"/>
    <s v="Minnesota"/>
    <s v="Rochester"/>
    <s v="Drew Anderson"/>
    <x v="1"/>
    <x v="1"/>
    <s v="Laptops"/>
    <s v="Ultrabook"/>
    <n v="6"/>
    <n v="619.94000000000005"/>
    <n v="0.1"/>
    <n v="3347.68"/>
    <n v="2005.75"/>
    <n v="1341.93"/>
    <s v="Bank Transfer"/>
  </r>
  <r>
    <s v="ORD-02417"/>
    <x v="135"/>
    <x v="1"/>
    <s v="North Carolina"/>
    <s v="Charlotte"/>
    <s v="Avery Johnson"/>
    <x v="0"/>
    <x v="1"/>
    <s v="Headsets"/>
    <s v="Wireless Headset"/>
    <n v="6"/>
    <n v="225.58"/>
    <n v="0"/>
    <n v="1353.48"/>
    <n v="853.09"/>
    <n v="500.39"/>
    <s v="Debit Card"/>
  </r>
  <r>
    <s v="ORD-02520"/>
    <x v="135"/>
    <x v="2"/>
    <s v="Vermont"/>
    <s v="Rutland"/>
    <s v="Alex Morgan"/>
    <x v="2"/>
    <x v="2"/>
    <s v="Tables"/>
    <s v="Conference Table"/>
    <n v="3"/>
    <n v="375.96"/>
    <n v="0.1"/>
    <n v="1015.09"/>
    <n v="571.23"/>
    <n v="443.86"/>
    <s v="Debit Card"/>
  </r>
  <r>
    <s v="ORD-01453"/>
    <x v="136"/>
    <x v="0"/>
    <s v="Colorado"/>
    <s v="Boulder"/>
    <s v="Drew Anderson"/>
    <x v="0"/>
    <x v="2"/>
    <s v="Bookcases"/>
    <s v="Storage Bookcase"/>
    <n v="6"/>
    <n v="175.45"/>
    <n v="0.05"/>
    <n v="1000.06"/>
    <n v="623.57000000000005"/>
    <n v="376.49"/>
    <s v="Debit Card"/>
  </r>
  <r>
    <s v="ORD-00475"/>
    <x v="136"/>
    <x v="3"/>
    <s v="Illinois"/>
    <s v="Peoria"/>
    <s v="Avery Johnson"/>
    <x v="2"/>
    <x v="2"/>
    <s v="Tables"/>
    <s v="Conference Table"/>
    <n v="4"/>
    <n v="496.07"/>
    <n v="0.1"/>
    <n v="1785.85"/>
    <n v="1058.05"/>
    <n v="727.8"/>
    <s v="PayPal"/>
  </r>
  <r>
    <s v="ORD-00341"/>
    <x v="136"/>
    <x v="3"/>
    <s v="Ohio"/>
    <s v="Cleveland"/>
    <s v="Jamie Miller"/>
    <x v="0"/>
    <x v="2"/>
    <s v="Tables"/>
    <s v="Side Table"/>
    <n v="9"/>
    <n v="339.63"/>
    <n v="0"/>
    <n v="3056.67"/>
    <n v="2188.5700000000002"/>
    <n v="868.1"/>
    <s v="PayPal"/>
  </r>
  <r>
    <s v="ORD-02647"/>
    <x v="136"/>
    <x v="1"/>
    <s v="Texas"/>
    <s v="Houston"/>
    <s v="Jordan Lee"/>
    <x v="2"/>
    <x v="0"/>
    <s v="Printers"/>
    <s v="Laser Printer"/>
    <n v="7"/>
    <n v="364.17"/>
    <n v="0"/>
    <n v="2549.19"/>
    <n v="1777.76"/>
    <n v="771.43"/>
    <s v="Debit Card"/>
  </r>
  <r>
    <s v="ORD-00758"/>
    <x v="136"/>
    <x v="3"/>
    <s v="Indiana"/>
    <s v="Indianapolis"/>
    <s v="Morgan Davis"/>
    <x v="0"/>
    <x v="1"/>
    <s v="Headsets"/>
    <s v="USB Headset"/>
    <n v="2"/>
    <n v="149.6"/>
    <n v="0.1"/>
    <n v="269.27999999999997"/>
    <n v="200.6"/>
    <n v="68.680000000000007"/>
    <s v="PayPal"/>
  </r>
  <r>
    <s v="ORD-01829"/>
    <x v="136"/>
    <x v="1"/>
    <s v="Texas"/>
    <s v="Dallas"/>
    <s v="Jamie Miller"/>
    <x v="0"/>
    <x v="1"/>
    <s v="Laptops"/>
    <s v="Business Laptop"/>
    <n v="5"/>
    <n v="1564.65"/>
    <n v="0.05"/>
    <n v="7432.09"/>
    <n v="4305.05"/>
    <n v="3127.04"/>
    <s v="Credit Card"/>
  </r>
  <r>
    <s v="ORD-00540"/>
    <x v="136"/>
    <x v="1"/>
    <s v="North Carolina"/>
    <s v="Charlotte"/>
    <s v="Avery Johnson"/>
    <x v="1"/>
    <x v="0"/>
    <s v="Binders"/>
    <s v="3-Ring Binder"/>
    <n v="9"/>
    <n v="5"/>
    <n v="0.15"/>
    <n v="38.25"/>
    <n v="26.66"/>
    <n v="11.59"/>
    <s v="PayPal"/>
  </r>
  <r>
    <s v="ORD-00965"/>
    <x v="136"/>
    <x v="3"/>
    <s v="Indiana"/>
    <s v="Indianapolis"/>
    <s v="Alex Morgan"/>
    <x v="2"/>
    <x v="0"/>
    <s v="Binders"/>
    <s v="3-Ring Binder"/>
    <n v="4"/>
    <n v="6"/>
    <n v="0.1"/>
    <n v="21.6"/>
    <n v="12.28"/>
    <n v="9.32"/>
    <s v="Bank Transfer"/>
  </r>
  <r>
    <s v="ORD-00226"/>
    <x v="136"/>
    <x v="1"/>
    <s v="Florida"/>
    <s v="Tampa"/>
    <s v="Drew Anderson"/>
    <x v="1"/>
    <x v="1"/>
    <s v="Monitors"/>
    <s v="24in Monitor"/>
    <n v="9"/>
    <n v="552.23"/>
    <n v="0.05"/>
    <n v="4721.57"/>
    <n v="3524.95"/>
    <n v="1196.6199999999999"/>
    <s v="Debit Card"/>
  </r>
  <r>
    <s v="ORD-01485"/>
    <x v="136"/>
    <x v="3"/>
    <s v="Indiana"/>
    <s v="Fort Wayne"/>
    <s v="Cameron Clark"/>
    <x v="1"/>
    <x v="0"/>
    <s v="Printers"/>
    <s v="Laser Printer"/>
    <n v="4"/>
    <n v="492.27"/>
    <n v="0.1"/>
    <n v="1772.17"/>
    <n v="1032.79"/>
    <n v="739.38"/>
    <s v="Debit Card"/>
  </r>
  <r>
    <s v="ORD-02220"/>
    <x v="136"/>
    <x v="3"/>
    <s v="Ohio"/>
    <s v="Columbus"/>
    <s v="Morgan Davis"/>
    <x v="1"/>
    <x v="2"/>
    <s v="Tables"/>
    <s v="Side Table"/>
    <n v="8"/>
    <n v="591.86"/>
    <n v="0.1"/>
    <n v="4261.3900000000003"/>
    <n v="3153.43"/>
    <n v="1107.96"/>
    <s v="Credit Card"/>
  </r>
  <r>
    <s v="ORD-01217"/>
    <x v="137"/>
    <x v="1"/>
    <s v="North Carolina"/>
    <s v="Charlotte"/>
    <s v="Cameron Clark"/>
    <x v="1"/>
    <x v="2"/>
    <s v="Desks"/>
    <s v="Standing Desk"/>
    <n v="4"/>
    <n v="353.12"/>
    <n v="0.15"/>
    <n v="1200.6099999999999"/>
    <n v="734.69"/>
    <n v="465.92"/>
    <s v="Bank Transfer"/>
  </r>
  <r>
    <s v="ORD-00818"/>
    <x v="137"/>
    <x v="3"/>
    <s v="Indiana"/>
    <s v="Indianapolis"/>
    <s v="Alex Morgan"/>
    <x v="2"/>
    <x v="0"/>
    <s v="Paper"/>
    <s v="Copy Paper"/>
    <n v="3"/>
    <n v="25.04"/>
    <n v="0"/>
    <n v="75.12"/>
    <n v="49.29"/>
    <n v="25.83"/>
    <s v="Debit Card"/>
  </r>
  <r>
    <s v="ORD-02335"/>
    <x v="137"/>
    <x v="2"/>
    <s v="New Jersey"/>
    <s v="Newark"/>
    <s v="Cameron Clark"/>
    <x v="0"/>
    <x v="2"/>
    <s v="Tables"/>
    <s v="Training Table"/>
    <n v="2"/>
    <n v="480.64"/>
    <n v="0.1"/>
    <n v="865.15"/>
    <n v="497.21"/>
    <n v="367.94"/>
    <s v="PayPal"/>
  </r>
  <r>
    <s v="ORD-00805"/>
    <x v="137"/>
    <x v="1"/>
    <s v="Florida"/>
    <s v="Tampa"/>
    <s v="Jordan Lee"/>
    <x v="2"/>
    <x v="2"/>
    <s v="Bookcases"/>
    <s v="5-Shelf Bookcase"/>
    <n v="10"/>
    <n v="302.83"/>
    <n v="0"/>
    <n v="3028.3"/>
    <n v="2317.46"/>
    <n v="710.84"/>
    <s v="Credit Card"/>
  </r>
  <r>
    <s v="ORD-00358"/>
    <x v="137"/>
    <x v="0"/>
    <s v="Arizona"/>
    <s v="Mesa"/>
    <s v="Morgan Davis"/>
    <x v="2"/>
    <x v="0"/>
    <s v="Pens"/>
    <s v="Gel Pens"/>
    <n v="10"/>
    <n v="12.1"/>
    <n v="0.05"/>
    <n v="114.95"/>
    <n v="78.06"/>
    <n v="36.89"/>
    <s v="Debit Card"/>
  </r>
  <r>
    <s v="ORD-00888"/>
    <x v="138"/>
    <x v="1"/>
    <s v="Georgia"/>
    <s v="Atlanta"/>
    <s v="Jamie Miller"/>
    <x v="0"/>
    <x v="0"/>
    <s v="Pens"/>
    <s v="Fine Tip Pens"/>
    <n v="4"/>
    <n v="7.55"/>
    <n v="0.2"/>
    <n v="24.16"/>
    <n v="16.760000000000002"/>
    <n v="7.4"/>
    <s v="Credit Card"/>
  </r>
  <r>
    <s v="ORD-01195"/>
    <x v="138"/>
    <x v="1"/>
    <s v="North Carolina"/>
    <s v="Raleigh"/>
    <s v="Taylor Smith"/>
    <x v="2"/>
    <x v="1"/>
    <s v="Headsets"/>
    <s v="USB Headset"/>
    <n v="4"/>
    <n v="161.77000000000001"/>
    <n v="0.1"/>
    <n v="582.37"/>
    <n v="363.61"/>
    <n v="218.76"/>
    <s v="Credit Card"/>
  </r>
  <r>
    <s v="ORD-02767"/>
    <x v="138"/>
    <x v="1"/>
    <s v="Virginia"/>
    <s v="Norfolk"/>
    <s v="Avery Johnson"/>
    <x v="2"/>
    <x v="0"/>
    <s v="Binders"/>
    <s v="3-Ring Binder"/>
    <n v="4"/>
    <n v="14.66"/>
    <n v="0.05"/>
    <n v="55.71"/>
    <n v="41.16"/>
    <n v="14.55"/>
    <s v="PayPal"/>
  </r>
  <r>
    <s v="ORD-01005"/>
    <x v="138"/>
    <x v="2"/>
    <s v="Pennsylvania"/>
    <s v="Pittsburgh"/>
    <s v="Avery Johnson"/>
    <x v="2"/>
    <x v="0"/>
    <s v="Binders"/>
    <s v="3-Ring Binder"/>
    <n v="6"/>
    <n v="24.78"/>
    <n v="0"/>
    <n v="148.68"/>
    <n v="89.29"/>
    <n v="59.39"/>
    <s v="Debit Card"/>
  </r>
  <r>
    <s v="ORD-01142"/>
    <x v="138"/>
    <x v="2"/>
    <s v="New York"/>
    <s v="Rochester"/>
    <s v="Jordan Lee"/>
    <x v="0"/>
    <x v="0"/>
    <s v="Paper"/>
    <s v="Premium Paper"/>
    <n v="7"/>
    <n v="20.07"/>
    <n v="0.1"/>
    <n v="126.44"/>
    <n v="72.77"/>
    <n v="53.67"/>
    <s v="PayPal"/>
  </r>
  <r>
    <s v="ORD-02785"/>
    <x v="138"/>
    <x v="1"/>
    <s v="Texas"/>
    <s v="Dallas"/>
    <s v="Riley Wilson"/>
    <x v="2"/>
    <x v="1"/>
    <s v="Monitors"/>
    <s v="27in Monitor"/>
    <n v="9"/>
    <n v="463.36"/>
    <n v="0.05"/>
    <n v="3961.73"/>
    <n v="2548.66"/>
    <n v="1413.07"/>
    <s v="Bank Transfer"/>
  </r>
  <r>
    <s v="ORD-01525"/>
    <x v="138"/>
    <x v="2"/>
    <s v="Pennsylvania"/>
    <s v="Pittsburgh"/>
    <s v="Cameron Clark"/>
    <x v="2"/>
    <x v="0"/>
    <s v="Paper"/>
    <s v="Premium Paper"/>
    <n v="6"/>
    <n v="25.98"/>
    <n v="0.2"/>
    <n v="124.7"/>
    <n v="76.55"/>
    <n v="48.15"/>
    <s v="Bank Transfer"/>
  </r>
  <r>
    <s v="ORD-00752"/>
    <x v="138"/>
    <x v="2"/>
    <s v="Pennsylvania"/>
    <s v="Philadelphia"/>
    <s v="Jamie Miller"/>
    <x v="0"/>
    <x v="1"/>
    <s v="Keyboards"/>
    <s v="Mechanical Keyboard"/>
    <n v="6"/>
    <n v="115.86"/>
    <n v="0.05"/>
    <n v="660.4"/>
    <n v="470.63"/>
    <n v="189.77"/>
    <s v="PayPal"/>
  </r>
  <r>
    <s v="ORD-01710"/>
    <x v="138"/>
    <x v="1"/>
    <s v="Texas"/>
    <s v="Houston"/>
    <s v="Jordan Lee"/>
    <x v="2"/>
    <x v="2"/>
    <s v="Tables"/>
    <s v="Side Table"/>
    <n v="7"/>
    <n v="199.39"/>
    <n v="0"/>
    <n v="1395.73"/>
    <n v="779.05"/>
    <n v="616.67999999999995"/>
    <s v="Bank Transfer"/>
  </r>
  <r>
    <s v="ORD-01646"/>
    <x v="138"/>
    <x v="3"/>
    <s v="Indiana"/>
    <s v="Fort Wayne"/>
    <s v="Drew Anderson"/>
    <x v="0"/>
    <x v="2"/>
    <s v="Chairs"/>
    <s v="Executive Chair"/>
    <n v="1"/>
    <n v="244.78"/>
    <n v="0.1"/>
    <n v="220.3"/>
    <n v="177.47"/>
    <n v="42.83"/>
    <s v="PayPal"/>
  </r>
  <r>
    <s v="ORD-00438"/>
    <x v="138"/>
    <x v="0"/>
    <s v="Washington"/>
    <s v="Tacoma"/>
    <s v="Cameron Clark"/>
    <x v="2"/>
    <x v="0"/>
    <s v="Binders"/>
    <s v="3-Ring Binder"/>
    <n v="3"/>
    <n v="12.39"/>
    <n v="0.15"/>
    <n v="31.59"/>
    <n v="19.71"/>
    <n v="11.88"/>
    <s v="Bank Transfer"/>
  </r>
  <r>
    <s v="ORD-01344"/>
    <x v="138"/>
    <x v="2"/>
    <s v="Massachusetts"/>
    <s v="Boston"/>
    <s v="Riley Wilson"/>
    <x v="0"/>
    <x v="0"/>
    <s v="Paper"/>
    <s v="Copy Paper"/>
    <n v="9"/>
    <n v="16.89"/>
    <n v="0"/>
    <n v="152.01"/>
    <n v="112.99"/>
    <n v="39.020000000000003"/>
    <s v="Bank Transfer"/>
  </r>
  <r>
    <s v="ORD-00429"/>
    <x v="138"/>
    <x v="2"/>
    <s v="Massachusetts"/>
    <s v="Boston"/>
    <s v="Alex Morgan"/>
    <x v="0"/>
    <x v="1"/>
    <s v="Monitors"/>
    <s v="34in Monitor"/>
    <n v="6"/>
    <n v="577.87"/>
    <n v="0"/>
    <n v="3467.22"/>
    <n v="2686.19"/>
    <n v="781.03"/>
    <s v="Credit Card"/>
  </r>
  <r>
    <s v="ORD-00795"/>
    <x v="138"/>
    <x v="2"/>
    <s v="New Jersey"/>
    <s v="Trenton"/>
    <s v="Morgan Davis"/>
    <x v="0"/>
    <x v="2"/>
    <s v="Tables"/>
    <s v="Training Table"/>
    <n v="4"/>
    <n v="192.43"/>
    <n v="0.15"/>
    <n v="654.26"/>
    <n v="414.87"/>
    <n v="239.39"/>
    <s v="PayPal"/>
  </r>
  <r>
    <s v="ORD-02333"/>
    <x v="138"/>
    <x v="1"/>
    <s v="North Carolina"/>
    <s v="Charlotte"/>
    <s v="Morgan Davis"/>
    <x v="2"/>
    <x v="0"/>
    <s v="Pens"/>
    <s v="Ballpoint Pens"/>
    <n v="5"/>
    <n v="13.15"/>
    <n v="0.1"/>
    <n v="59.18"/>
    <n v="45.19"/>
    <n v="13.99"/>
    <s v="Credit Card"/>
  </r>
  <r>
    <s v="ORD-01877"/>
    <x v="139"/>
    <x v="2"/>
    <s v="Vermont"/>
    <s v="Burlington"/>
    <s v="Morgan Davis"/>
    <x v="2"/>
    <x v="2"/>
    <s v="Chairs"/>
    <s v="Task Chair"/>
    <n v="1"/>
    <n v="679.53"/>
    <n v="0.1"/>
    <n v="611.58000000000004"/>
    <n v="405.9"/>
    <n v="205.68"/>
    <s v="Bank Transfer"/>
  </r>
  <r>
    <s v="ORD-00129"/>
    <x v="139"/>
    <x v="0"/>
    <s v="California"/>
    <s v="San Diego"/>
    <s v="Morgan Davis"/>
    <x v="2"/>
    <x v="0"/>
    <s v="Binders"/>
    <s v="Heavy-Duty Binder"/>
    <n v="3"/>
    <n v="7.77"/>
    <n v="0"/>
    <n v="23.31"/>
    <n v="15.97"/>
    <n v="7.34"/>
    <s v="Credit Card"/>
  </r>
  <r>
    <s v="ORD-01524"/>
    <x v="139"/>
    <x v="2"/>
    <s v="Vermont"/>
    <s v="Burlington"/>
    <s v="Cameron Clark"/>
    <x v="0"/>
    <x v="1"/>
    <s v="Keyboards"/>
    <s v="Wireless Keyboard"/>
    <n v="8"/>
    <n v="104.6"/>
    <n v="0"/>
    <n v="836.8"/>
    <n v="639.87"/>
    <n v="196.93"/>
    <s v="Credit Card"/>
  </r>
  <r>
    <s v="ORD-01785"/>
    <x v="139"/>
    <x v="3"/>
    <s v="Minnesota"/>
    <s v="Minneapolis"/>
    <s v="Jordan Lee"/>
    <x v="0"/>
    <x v="1"/>
    <s v="Headsets"/>
    <s v="Wireless Headset"/>
    <n v="6"/>
    <n v="194.92"/>
    <n v="0.1"/>
    <n v="1052.57"/>
    <n v="635.66999999999996"/>
    <n v="416.9"/>
    <s v="Credit Card"/>
  </r>
  <r>
    <s v="ORD-00148"/>
    <x v="139"/>
    <x v="3"/>
    <s v="Indiana"/>
    <s v="Indianapolis"/>
    <s v="Morgan Davis"/>
    <x v="0"/>
    <x v="1"/>
    <s v="Headsets"/>
    <s v="Wireless Headset"/>
    <n v="3"/>
    <n v="94.07"/>
    <n v="0.1"/>
    <n v="253.99"/>
    <n v="198.21"/>
    <n v="55.78"/>
    <s v="Credit Card"/>
  </r>
  <r>
    <s v="ORD-02085"/>
    <x v="139"/>
    <x v="2"/>
    <s v="Vermont"/>
    <s v="Montpelier"/>
    <s v="Avery Johnson"/>
    <x v="0"/>
    <x v="1"/>
    <s v="Headsets"/>
    <s v="Wireless Headset"/>
    <n v="2"/>
    <n v="199.37"/>
    <n v="0.1"/>
    <n v="358.87"/>
    <n v="255.86"/>
    <n v="103.01"/>
    <s v="PayPal"/>
  </r>
  <r>
    <s v="ORD-00400"/>
    <x v="139"/>
    <x v="2"/>
    <s v="Pennsylvania"/>
    <s v="Allentown"/>
    <s v="Drew Anderson"/>
    <x v="0"/>
    <x v="1"/>
    <s v="Laptops"/>
    <s v="Workstation Laptop"/>
    <n v="7"/>
    <n v="724.4"/>
    <n v="0.1"/>
    <n v="4563.72"/>
    <n v="2667.62"/>
    <n v="1896.1"/>
    <s v="Debit Card"/>
  </r>
  <r>
    <s v="ORD-01570"/>
    <x v="139"/>
    <x v="1"/>
    <s v="Texas"/>
    <s v="Houston"/>
    <s v="Drew Anderson"/>
    <x v="0"/>
    <x v="1"/>
    <s v="Laptops"/>
    <s v="Workstation Laptop"/>
    <n v="5"/>
    <n v="1773.47"/>
    <n v="0"/>
    <n v="8867.35"/>
    <n v="5602.02"/>
    <n v="3265.33"/>
    <s v="Bank Transfer"/>
  </r>
  <r>
    <s v="ORD-00924"/>
    <x v="139"/>
    <x v="3"/>
    <s v="Illinois"/>
    <s v="Springfield"/>
    <s v="Jamie Miller"/>
    <x v="2"/>
    <x v="1"/>
    <s v="Laptops"/>
    <s v="Workstation Laptop"/>
    <n v="1"/>
    <n v="1680.12"/>
    <n v="0"/>
    <n v="1680.12"/>
    <n v="1035.05"/>
    <n v="645.07000000000005"/>
    <s v="Debit Card"/>
  </r>
  <r>
    <s v="ORD-00289"/>
    <x v="139"/>
    <x v="2"/>
    <s v="New Jersey"/>
    <s v="Jersey City"/>
    <s v="Alex Morgan"/>
    <x v="1"/>
    <x v="2"/>
    <s v="Tables"/>
    <s v="Side Table"/>
    <n v="5"/>
    <n v="279.63"/>
    <n v="0.1"/>
    <n v="1258.3399999999999"/>
    <n v="979.22"/>
    <n v="279.12"/>
    <s v="PayPal"/>
  </r>
  <r>
    <s v="ORD-01294"/>
    <x v="139"/>
    <x v="2"/>
    <s v="Vermont"/>
    <s v="Montpelier"/>
    <s v="Jordan Lee"/>
    <x v="2"/>
    <x v="1"/>
    <s v="Keyboards"/>
    <s v="Wireless Keyboard"/>
    <n v="4"/>
    <n v="168.24"/>
    <n v="0"/>
    <n v="672.96"/>
    <n v="517.91999999999996"/>
    <n v="155.04"/>
    <s v="Debit Card"/>
  </r>
  <r>
    <s v="ORD-01430"/>
    <x v="140"/>
    <x v="3"/>
    <s v="Minnesota"/>
    <s v="Rochester"/>
    <s v="Jamie Miller"/>
    <x v="0"/>
    <x v="2"/>
    <s v="Bookcases"/>
    <s v="5-Shelf Bookcase"/>
    <n v="8"/>
    <n v="399.54"/>
    <n v="0.05"/>
    <n v="3036.5"/>
    <n v="1760.81"/>
    <n v="1275.69"/>
    <s v="Credit Card"/>
  </r>
  <r>
    <s v="ORD-00973"/>
    <x v="140"/>
    <x v="2"/>
    <s v="Vermont"/>
    <s v="Rutland"/>
    <s v="Riley Wilson"/>
    <x v="0"/>
    <x v="0"/>
    <s v="Printers"/>
    <s v="Color Printer"/>
    <n v="5"/>
    <n v="540.26"/>
    <n v="0.05"/>
    <n v="2566.2399999999998"/>
    <n v="1846.62"/>
    <n v="719.62"/>
    <s v="Debit Card"/>
  </r>
  <r>
    <s v="ORD-02500"/>
    <x v="140"/>
    <x v="0"/>
    <s v="Arizona"/>
    <s v="Mesa"/>
    <s v="Jamie Miller"/>
    <x v="2"/>
    <x v="0"/>
    <s v="Binders"/>
    <s v="Presentation Binder"/>
    <n v="2"/>
    <n v="8.41"/>
    <n v="0.05"/>
    <n v="15.98"/>
    <n v="8.9700000000000006"/>
    <n v="7.01"/>
    <s v="PayPal"/>
  </r>
  <r>
    <s v="ORD-01973"/>
    <x v="140"/>
    <x v="3"/>
    <s v="Ohio"/>
    <s v="Columbus"/>
    <s v="Taylor Smith"/>
    <x v="0"/>
    <x v="2"/>
    <s v="Desks"/>
    <s v="Executive Desk"/>
    <n v="10"/>
    <n v="601.14"/>
    <n v="0.1"/>
    <n v="5410.26"/>
    <n v="3250.37"/>
    <n v="2159.89"/>
    <s v="Debit Card"/>
  </r>
  <r>
    <s v="ORD-02130"/>
    <x v="140"/>
    <x v="0"/>
    <s v="Colorado"/>
    <s v="Denver"/>
    <s v="Drew Anderson"/>
    <x v="2"/>
    <x v="1"/>
    <s v="Monitors"/>
    <s v="34in Monitor"/>
    <n v="1"/>
    <n v="280.95"/>
    <n v="0.1"/>
    <n v="252.86"/>
    <n v="192.01"/>
    <n v="60.85"/>
    <s v="Debit Card"/>
  </r>
  <r>
    <s v="ORD-01783"/>
    <x v="140"/>
    <x v="0"/>
    <s v="California"/>
    <s v="San Diego"/>
    <s v="Avery Johnson"/>
    <x v="0"/>
    <x v="0"/>
    <s v="Printers"/>
    <s v="Laser Printer"/>
    <n v="4"/>
    <n v="151.79"/>
    <n v="0"/>
    <n v="607.16"/>
    <n v="341.97"/>
    <n v="265.19"/>
    <s v="Bank Transfer"/>
  </r>
  <r>
    <s v="ORD-02823"/>
    <x v="140"/>
    <x v="2"/>
    <s v="Massachusetts"/>
    <s v="Worcester"/>
    <s v="Riley Wilson"/>
    <x v="1"/>
    <x v="1"/>
    <s v="Headsets"/>
    <s v="Noise-Canceling Headset"/>
    <n v="9"/>
    <n v="100.25"/>
    <n v="0"/>
    <n v="902.25"/>
    <n v="713.83"/>
    <n v="188.42"/>
    <s v="PayPal"/>
  </r>
  <r>
    <s v="ORD-02825"/>
    <x v="140"/>
    <x v="1"/>
    <s v="Florida"/>
    <s v="Miami"/>
    <s v="Casey Brown"/>
    <x v="0"/>
    <x v="0"/>
    <s v="Binders"/>
    <s v="Heavy-Duty Binder"/>
    <n v="2"/>
    <n v="10"/>
    <n v="0"/>
    <n v="20"/>
    <n v="12.92"/>
    <n v="7.08"/>
    <s v="Bank Transfer"/>
  </r>
  <r>
    <s v="ORD-02355"/>
    <x v="141"/>
    <x v="1"/>
    <s v="Texas"/>
    <s v="Dallas"/>
    <s v="Jordan Lee"/>
    <x v="0"/>
    <x v="1"/>
    <s v="Keyboards"/>
    <s v="Ergonomic Keyboard"/>
    <n v="9"/>
    <n v="65.400000000000006"/>
    <n v="0.05"/>
    <n v="559.16999999999996"/>
    <n v="346.83"/>
    <n v="212.34"/>
    <s v="PayPal"/>
  </r>
  <r>
    <s v="ORD-00585"/>
    <x v="141"/>
    <x v="1"/>
    <s v="Florida"/>
    <s v="Miami"/>
    <s v="Cameron Clark"/>
    <x v="1"/>
    <x v="1"/>
    <s v="Laptops"/>
    <s v="Workstation Laptop"/>
    <n v="9"/>
    <n v="1395.6"/>
    <n v="0.05"/>
    <n v="11932.38"/>
    <n v="8391.14"/>
    <n v="3541.24"/>
    <s v="PayPal"/>
  </r>
  <r>
    <s v="ORD-00611"/>
    <x v="141"/>
    <x v="2"/>
    <s v="Massachusetts"/>
    <s v="Springfield"/>
    <s v="Avery Johnson"/>
    <x v="2"/>
    <x v="0"/>
    <s v="Pens"/>
    <s v="Gel Pens"/>
    <n v="2"/>
    <n v="20.94"/>
    <n v="0.2"/>
    <n v="33.5"/>
    <n v="22.88"/>
    <n v="10.62"/>
    <s v="Bank Transfer"/>
  </r>
  <r>
    <s v="ORD-01035"/>
    <x v="141"/>
    <x v="2"/>
    <s v="New York"/>
    <s v="Buffalo"/>
    <s v="Riley Wilson"/>
    <x v="2"/>
    <x v="2"/>
    <s v="Bookcases"/>
    <s v="Storage Bookcase"/>
    <n v="2"/>
    <n v="349.16"/>
    <n v="0.15"/>
    <n v="593.57000000000005"/>
    <n v="446.81"/>
    <n v="146.76"/>
    <s v="Debit Card"/>
  </r>
  <r>
    <s v="ORD-02718"/>
    <x v="141"/>
    <x v="3"/>
    <s v="Michigan"/>
    <s v="Grand Rapids"/>
    <s v="Morgan Davis"/>
    <x v="1"/>
    <x v="2"/>
    <s v="Bookcases"/>
    <s v="3-Shelf Bookcase"/>
    <n v="2"/>
    <n v="346.83"/>
    <n v="0.1"/>
    <n v="624.29"/>
    <n v="487.79"/>
    <n v="136.5"/>
    <s v="Bank Transfer"/>
  </r>
  <r>
    <s v="ORD-02835"/>
    <x v="141"/>
    <x v="3"/>
    <s v="Minnesota"/>
    <s v="Rochester"/>
    <s v="Morgan Davis"/>
    <x v="2"/>
    <x v="0"/>
    <s v="Binders"/>
    <s v="Presentation Binder"/>
    <n v="7"/>
    <n v="16.39"/>
    <n v="0"/>
    <n v="114.73"/>
    <n v="90.43"/>
    <n v="24.3"/>
    <s v="Debit Card"/>
  </r>
  <r>
    <s v="ORD-00761"/>
    <x v="141"/>
    <x v="0"/>
    <s v="Oregon"/>
    <s v="Salem"/>
    <s v="Cameron Clark"/>
    <x v="0"/>
    <x v="0"/>
    <s v="Printers"/>
    <s v="Color Printer"/>
    <n v="1"/>
    <n v="229.19"/>
    <n v="0.05"/>
    <n v="217.73"/>
    <n v="151.88999999999999"/>
    <n v="65.84"/>
    <s v="Debit Card"/>
  </r>
  <r>
    <s v="ORD-00825"/>
    <x v="142"/>
    <x v="0"/>
    <s v="Oregon"/>
    <s v="Salem"/>
    <s v="Taylor Smith"/>
    <x v="2"/>
    <x v="0"/>
    <s v="Printers"/>
    <s v="Color Printer"/>
    <n v="2"/>
    <n v="320.12"/>
    <n v="0.05"/>
    <n v="608.23"/>
    <n v="361.92"/>
    <n v="246.31"/>
    <s v="Credit Card"/>
  </r>
  <r>
    <s v="ORD-02302"/>
    <x v="142"/>
    <x v="2"/>
    <s v="Vermont"/>
    <s v="Montpelier"/>
    <s v="Cameron Clark"/>
    <x v="1"/>
    <x v="1"/>
    <s v="Laptops"/>
    <s v="Business Laptop"/>
    <n v="1"/>
    <n v="1769.4"/>
    <n v="0"/>
    <n v="1769.4"/>
    <n v="1403.28"/>
    <n v="366.12"/>
    <s v="PayPal"/>
  </r>
  <r>
    <s v="ORD-02575"/>
    <x v="142"/>
    <x v="2"/>
    <s v="Pennsylvania"/>
    <s v="Philadelphia"/>
    <s v="Taylor Smith"/>
    <x v="0"/>
    <x v="0"/>
    <s v="Binders"/>
    <s v="Presentation Binder"/>
    <n v="6"/>
    <n v="6.82"/>
    <n v="0.05"/>
    <n v="38.869999999999997"/>
    <n v="29.44"/>
    <n v="9.43"/>
    <s v="PayPal"/>
  </r>
  <r>
    <s v="ORD-01747"/>
    <x v="142"/>
    <x v="0"/>
    <s v="Arizona"/>
    <s v="Mesa"/>
    <s v="Riley Wilson"/>
    <x v="0"/>
    <x v="2"/>
    <s v="Chairs"/>
    <s v="Ergonomic Chair"/>
    <n v="4"/>
    <n v="419.2"/>
    <n v="0.15"/>
    <n v="1425.28"/>
    <n v="1051.3800000000001"/>
    <n v="373.9"/>
    <s v="Debit Card"/>
  </r>
  <r>
    <s v="ORD-02154"/>
    <x v="142"/>
    <x v="2"/>
    <s v="Massachusetts"/>
    <s v="Springfield"/>
    <s v="Casey Brown"/>
    <x v="1"/>
    <x v="1"/>
    <s v="Monitors"/>
    <s v="27in Monitor"/>
    <n v="3"/>
    <n v="355.25"/>
    <n v="0.05"/>
    <n v="1012.46"/>
    <n v="767.3"/>
    <n v="245.16"/>
    <s v="Debit Card"/>
  </r>
  <r>
    <s v="ORD-01163"/>
    <x v="142"/>
    <x v="1"/>
    <s v="Georgia"/>
    <s v="Savannah"/>
    <s v="Riley Wilson"/>
    <x v="0"/>
    <x v="1"/>
    <s v="Laptops"/>
    <s v="Workstation Laptop"/>
    <n v="8"/>
    <n v="700.02"/>
    <n v="0.15"/>
    <n v="4760.1400000000003"/>
    <n v="3397.18"/>
    <n v="1362.96"/>
    <s v="Bank Transfer"/>
  </r>
  <r>
    <s v="ORD-00320"/>
    <x v="142"/>
    <x v="1"/>
    <s v="Florida"/>
    <s v="Orlando"/>
    <s v="Casey Brown"/>
    <x v="2"/>
    <x v="2"/>
    <s v="Desks"/>
    <s v="Work Desk"/>
    <n v="8"/>
    <n v="544.21"/>
    <n v="0"/>
    <n v="4353.68"/>
    <n v="3079.42"/>
    <n v="1274.26"/>
    <s v="PayPal"/>
  </r>
  <r>
    <s v="ORD-02607"/>
    <x v="142"/>
    <x v="0"/>
    <s v="Arizona"/>
    <s v="Tucson"/>
    <s v="Avery Johnson"/>
    <x v="2"/>
    <x v="2"/>
    <s v="Chairs"/>
    <s v="Ergonomic Chair"/>
    <n v="2"/>
    <n v="110.22"/>
    <n v="0"/>
    <n v="220.44"/>
    <n v="125.9"/>
    <n v="94.54"/>
    <s v="PayPal"/>
  </r>
  <r>
    <s v="ORD-02126"/>
    <x v="142"/>
    <x v="1"/>
    <s v="Georgia"/>
    <s v="Atlanta"/>
    <s v="Alex Morgan"/>
    <x v="0"/>
    <x v="2"/>
    <s v="Desks"/>
    <s v="Work Desk"/>
    <n v="8"/>
    <n v="877.01"/>
    <n v="0.05"/>
    <n v="6665.28"/>
    <n v="4836.6000000000004"/>
    <n v="1828.68"/>
    <s v="Credit Card"/>
  </r>
  <r>
    <s v="ORD-02096"/>
    <x v="142"/>
    <x v="3"/>
    <s v="Illinois"/>
    <s v="Springfield"/>
    <s v="Jamie Miller"/>
    <x v="1"/>
    <x v="2"/>
    <s v="Bookcases"/>
    <s v="5-Shelf Bookcase"/>
    <n v="4"/>
    <n v="473.46"/>
    <n v="0.2"/>
    <n v="1515.07"/>
    <n v="1047.77"/>
    <n v="467.3"/>
    <s v="PayPal"/>
  </r>
  <r>
    <s v="ORD-00777"/>
    <x v="143"/>
    <x v="2"/>
    <s v="Vermont"/>
    <s v="Montpelier"/>
    <s v="Cameron Clark"/>
    <x v="2"/>
    <x v="1"/>
    <s v="Headsets"/>
    <s v="Noise-Canceling Headset"/>
    <n v="9"/>
    <n v="111.48"/>
    <n v="0.15"/>
    <n v="852.82"/>
    <n v="638.26"/>
    <n v="214.56"/>
    <s v="Bank Transfer"/>
  </r>
  <r>
    <s v="ORD-01555"/>
    <x v="143"/>
    <x v="0"/>
    <s v="Washington"/>
    <s v="Spokane"/>
    <s v="Jordan Lee"/>
    <x v="0"/>
    <x v="2"/>
    <s v="Tables"/>
    <s v="Training Table"/>
    <n v="3"/>
    <n v="358.46"/>
    <n v="0"/>
    <n v="1075.3800000000001"/>
    <n v="622.23"/>
    <n v="453.15"/>
    <s v="PayPal"/>
  </r>
  <r>
    <s v="ORD-01106"/>
    <x v="143"/>
    <x v="0"/>
    <s v="Oregon"/>
    <s v="Salem"/>
    <s v="Morgan Davis"/>
    <x v="0"/>
    <x v="1"/>
    <s v="Headsets"/>
    <s v="USB Headset"/>
    <n v="5"/>
    <n v="116.62"/>
    <n v="0"/>
    <n v="583.1"/>
    <n v="427.81"/>
    <n v="155.29"/>
    <s v="Debit Card"/>
  </r>
  <r>
    <s v="ORD-02192"/>
    <x v="143"/>
    <x v="2"/>
    <s v="Pennsylvania"/>
    <s v="Philadelphia"/>
    <s v="Drew Anderson"/>
    <x v="1"/>
    <x v="0"/>
    <s v="Printers"/>
    <s v="Laser Printer"/>
    <n v="10"/>
    <n v="165.88"/>
    <n v="0"/>
    <n v="1658.8"/>
    <n v="1155.26"/>
    <n v="503.54"/>
    <s v="Debit Card"/>
  </r>
  <r>
    <s v="ORD-02087"/>
    <x v="143"/>
    <x v="1"/>
    <s v="Texas"/>
    <s v="Houston"/>
    <s v="Alex Morgan"/>
    <x v="1"/>
    <x v="1"/>
    <s v="Headsets"/>
    <s v="Noise-Canceling Headset"/>
    <n v="5"/>
    <n v="233.83"/>
    <n v="0"/>
    <n v="1169.1500000000001"/>
    <n v="778.01"/>
    <n v="391.14"/>
    <s v="Credit Card"/>
  </r>
  <r>
    <s v="ORD-00695"/>
    <x v="143"/>
    <x v="1"/>
    <s v="Texas"/>
    <s v="Houston"/>
    <s v="Jordan Lee"/>
    <x v="2"/>
    <x v="0"/>
    <s v="Pens"/>
    <s v="Ballpoint Pens"/>
    <n v="10"/>
    <n v="5.68"/>
    <n v="0.05"/>
    <n v="53.96"/>
    <n v="30.28"/>
    <n v="23.68"/>
    <s v="Debit Card"/>
  </r>
  <r>
    <s v="ORD-01406"/>
    <x v="144"/>
    <x v="0"/>
    <s v="Colorado"/>
    <s v="Boulder"/>
    <s v="Cameron Clark"/>
    <x v="0"/>
    <x v="0"/>
    <s v="Printers"/>
    <s v="All-in-One Printer"/>
    <n v="8"/>
    <n v="198.49"/>
    <n v="0.05"/>
    <n v="1508.52"/>
    <n v="881.86"/>
    <n v="626.66"/>
    <s v="Debit Card"/>
  </r>
  <r>
    <s v="ORD-00003"/>
    <x v="144"/>
    <x v="2"/>
    <s v="Pennsylvania"/>
    <s v="Pittsburgh"/>
    <s v="Cameron Clark"/>
    <x v="0"/>
    <x v="2"/>
    <s v="Chairs"/>
    <s v="Task Chair"/>
    <n v="1"/>
    <n v="660.25"/>
    <n v="0.2"/>
    <n v="528.20000000000005"/>
    <n v="300.58"/>
    <n v="227.62"/>
    <s v="Bank Transfer"/>
  </r>
  <r>
    <s v="ORD-00060"/>
    <x v="144"/>
    <x v="2"/>
    <s v="New York"/>
    <s v="New York City"/>
    <s v="Drew Anderson"/>
    <x v="0"/>
    <x v="1"/>
    <s v="Laptops"/>
    <s v="Workstation Laptop"/>
    <n v="3"/>
    <n v="1694.85"/>
    <n v="0.1"/>
    <n v="4576.09"/>
    <n v="2791.67"/>
    <n v="1784.42"/>
    <s v="Debit Card"/>
  </r>
  <r>
    <s v="ORD-01848"/>
    <x v="144"/>
    <x v="0"/>
    <s v="Colorado"/>
    <s v="Colorado Springs"/>
    <s v="Avery Johnson"/>
    <x v="1"/>
    <x v="1"/>
    <s v="Headsets"/>
    <s v="Wireless Headset"/>
    <n v="1"/>
    <n v="133.49"/>
    <n v="0.1"/>
    <n v="120.14"/>
    <n v="96.28"/>
    <n v="23.86"/>
    <s v="Credit Card"/>
  </r>
  <r>
    <s v="ORD-02651"/>
    <x v="144"/>
    <x v="0"/>
    <s v="Colorado"/>
    <s v="Colorado Springs"/>
    <s v="Casey Brown"/>
    <x v="2"/>
    <x v="1"/>
    <s v="Keyboards"/>
    <s v="Ergonomic Keyboard"/>
    <n v="7"/>
    <n v="111.43"/>
    <n v="0.15"/>
    <n v="663.01"/>
    <n v="468.48"/>
    <n v="194.53"/>
    <s v="PayPal"/>
  </r>
  <r>
    <s v="ORD-00551"/>
    <x v="144"/>
    <x v="2"/>
    <s v="Vermont"/>
    <s v="Burlington"/>
    <s v="Morgan Davis"/>
    <x v="0"/>
    <x v="1"/>
    <s v="Monitors"/>
    <s v="24in Monitor"/>
    <n v="9"/>
    <n v="652.46"/>
    <n v="0.1"/>
    <n v="5284.93"/>
    <n v="2919.48"/>
    <n v="2365.4499999999998"/>
    <s v="PayPal"/>
  </r>
  <r>
    <s v="ORD-00160"/>
    <x v="144"/>
    <x v="0"/>
    <s v="Washington"/>
    <s v="Spokane"/>
    <s v="Taylor Smith"/>
    <x v="2"/>
    <x v="2"/>
    <s v="Chairs"/>
    <s v="Task Chair"/>
    <n v="8"/>
    <n v="470.46"/>
    <n v="0.15"/>
    <n v="3199.13"/>
    <n v="2580.15"/>
    <n v="618.98"/>
    <s v="Debit Card"/>
  </r>
  <r>
    <s v="ORD-00450"/>
    <x v="144"/>
    <x v="1"/>
    <s v="Texas"/>
    <s v="Dallas"/>
    <s v="Alex Morgan"/>
    <x v="1"/>
    <x v="1"/>
    <s v="Laptops"/>
    <s v="Ultrabook"/>
    <n v="5"/>
    <n v="1675.3"/>
    <n v="0.2"/>
    <n v="6701.2"/>
    <n v="3703.03"/>
    <n v="2998.17"/>
    <s v="Debit Card"/>
  </r>
  <r>
    <s v="ORD-00991"/>
    <x v="144"/>
    <x v="1"/>
    <s v="Georgia"/>
    <s v="Savannah"/>
    <s v="Taylor Smith"/>
    <x v="0"/>
    <x v="1"/>
    <s v="Laptops"/>
    <s v="Business Laptop"/>
    <n v="7"/>
    <n v="1668.4"/>
    <n v="0.05"/>
    <n v="11094.86"/>
    <n v="7892.64"/>
    <n v="3202.22"/>
    <s v="Bank Transfer"/>
  </r>
  <r>
    <s v="ORD-00716"/>
    <x v="144"/>
    <x v="0"/>
    <s v="Arizona"/>
    <s v="Tucson"/>
    <s v="Alex Morgan"/>
    <x v="2"/>
    <x v="2"/>
    <s v="Chairs"/>
    <s v="Ergonomic Chair"/>
    <n v="5"/>
    <n v="109.1"/>
    <n v="0.1"/>
    <n v="490.95"/>
    <n v="315.31"/>
    <n v="175.64"/>
    <s v="Credit Card"/>
  </r>
  <r>
    <s v="ORD-02217"/>
    <x v="144"/>
    <x v="1"/>
    <s v="Georgia"/>
    <s v="Augusta"/>
    <s v="Drew Anderson"/>
    <x v="1"/>
    <x v="1"/>
    <s v="Laptops"/>
    <s v="Business Laptop"/>
    <n v="2"/>
    <n v="1038.54"/>
    <n v="0.15"/>
    <n v="1765.52"/>
    <n v="1334.43"/>
    <n v="431.09"/>
    <s v="Debit Card"/>
  </r>
  <r>
    <s v="ORD-02650"/>
    <x v="145"/>
    <x v="1"/>
    <s v="Georgia"/>
    <s v="Atlanta"/>
    <s v="Casey Brown"/>
    <x v="2"/>
    <x v="1"/>
    <s v="Monitors"/>
    <s v="24in Monitor"/>
    <n v="6"/>
    <n v="671.21"/>
    <n v="0.15"/>
    <n v="3423.17"/>
    <n v="2038.82"/>
    <n v="1384.35"/>
    <s v="Debit Card"/>
  </r>
  <r>
    <s v="ORD-01341"/>
    <x v="145"/>
    <x v="3"/>
    <s v="Ohio"/>
    <s v="Cleveland"/>
    <s v="Drew Anderson"/>
    <x v="2"/>
    <x v="0"/>
    <s v="Printers"/>
    <s v="All-in-One Printer"/>
    <n v="4"/>
    <n v="545.79"/>
    <n v="0.1"/>
    <n v="1964.84"/>
    <n v="1450.06"/>
    <n v="514.78"/>
    <s v="Bank Transfer"/>
  </r>
  <r>
    <s v="ORD-01611"/>
    <x v="145"/>
    <x v="2"/>
    <s v="Pennsylvania"/>
    <s v="Allentown"/>
    <s v="Drew Anderson"/>
    <x v="0"/>
    <x v="0"/>
    <s v="Pens"/>
    <s v="Fine Tip Pens"/>
    <n v="10"/>
    <n v="20.7"/>
    <n v="0.1"/>
    <n v="186.3"/>
    <n v="112.29"/>
    <n v="74.010000000000005"/>
    <s v="PayPal"/>
  </r>
  <r>
    <s v="ORD-00385"/>
    <x v="145"/>
    <x v="2"/>
    <s v="Vermont"/>
    <s v="Rutland"/>
    <s v="Taylor Smith"/>
    <x v="2"/>
    <x v="0"/>
    <s v="Paper"/>
    <s v="Recycled Paper"/>
    <n v="1"/>
    <n v="26.07"/>
    <n v="0.05"/>
    <n v="24.77"/>
    <n v="19.12"/>
    <n v="5.65"/>
    <s v="Credit Card"/>
  </r>
  <r>
    <s v="ORD-02290"/>
    <x v="145"/>
    <x v="2"/>
    <s v="Massachusetts"/>
    <s v="Boston"/>
    <s v="Morgan Davis"/>
    <x v="2"/>
    <x v="2"/>
    <s v="Chairs"/>
    <s v="Executive Chair"/>
    <n v="6"/>
    <n v="395.05"/>
    <n v="0.05"/>
    <n v="2251.7800000000002"/>
    <n v="1245.26"/>
    <n v="1006.52"/>
    <s v="PayPal"/>
  </r>
  <r>
    <s v="ORD-00294"/>
    <x v="145"/>
    <x v="1"/>
    <s v="Virginia"/>
    <s v="Norfolk"/>
    <s v="Casey Brown"/>
    <x v="0"/>
    <x v="0"/>
    <s v="Paper"/>
    <s v="Copy Paper"/>
    <n v="7"/>
    <n v="31.24"/>
    <n v="0.15"/>
    <n v="185.88"/>
    <n v="126.18"/>
    <n v="59.7"/>
    <s v="PayPal"/>
  </r>
  <r>
    <s v="ORD-00018"/>
    <x v="145"/>
    <x v="0"/>
    <s v="Oregon"/>
    <s v="Salem"/>
    <s v="Cameron Clark"/>
    <x v="0"/>
    <x v="1"/>
    <s v="Laptops"/>
    <s v="Business Laptop"/>
    <n v="8"/>
    <n v="1328.91"/>
    <n v="0"/>
    <n v="10631.28"/>
    <n v="6319.21"/>
    <n v="4312.07"/>
    <s v="Debit Card"/>
  </r>
  <r>
    <s v="ORD-00580"/>
    <x v="145"/>
    <x v="1"/>
    <s v="Florida"/>
    <s v="Miami"/>
    <s v="Jordan Lee"/>
    <x v="0"/>
    <x v="2"/>
    <s v="Desks"/>
    <s v="Executive Desk"/>
    <n v="3"/>
    <n v="842.84"/>
    <n v="0.1"/>
    <n v="2275.67"/>
    <n v="1739.21"/>
    <n v="536.46"/>
    <s v="Debit Card"/>
  </r>
  <r>
    <s v="ORD-01409"/>
    <x v="145"/>
    <x v="3"/>
    <s v="Ohio"/>
    <s v="Cleveland"/>
    <s v="Jordan Lee"/>
    <x v="0"/>
    <x v="0"/>
    <s v="Binders"/>
    <s v="Heavy-Duty Binder"/>
    <n v="7"/>
    <n v="16.62"/>
    <n v="0.05"/>
    <n v="110.52"/>
    <n v="85.24"/>
    <n v="25.28"/>
    <s v="PayPal"/>
  </r>
  <r>
    <s v="ORD-01455"/>
    <x v="145"/>
    <x v="2"/>
    <s v="Vermont"/>
    <s v="Rutland"/>
    <s v="Jamie Miller"/>
    <x v="1"/>
    <x v="0"/>
    <s v="Pens"/>
    <s v="Fine Tip Pens"/>
    <n v="3"/>
    <n v="14.01"/>
    <n v="0.05"/>
    <n v="39.93"/>
    <n v="30.29"/>
    <n v="9.64"/>
    <s v="Credit Card"/>
  </r>
  <r>
    <s v="ORD-02098"/>
    <x v="145"/>
    <x v="1"/>
    <s v="Virginia"/>
    <s v="Arlington"/>
    <s v="Drew Anderson"/>
    <x v="2"/>
    <x v="1"/>
    <s v="Keyboards"/>
    <s v="Wireless Keyboard"/>
    <n v="1"/>
    <n v="146.41"/>
    <n v="0.1"/>
    <n v="131.77000000000001"/>
    <n v="96.11"/>
    <n v="35.659999999999997"/>
    <s v="Credit Card"/>
  </r>
  <r>
    <s v="ORD-02697"/>
    <x v="145"/>
    <x v="0"/>
    <s v="Washington"/>
    <s v="Spokane"/>
    <s v="Morgan Davis"/>
    <x v="0"/>
    <x v="1"/>
    <s v="Headsets"/>
    <s v="Wireless Headset"/>
    <n v="4"/>
    <n v="49.77"/>
    <n v="0.1"/>
    <n v="179.17"/>
    <n v="139.79"/>
    <n v="39.380000000000003"/>
    <s v="Bank Transfer"/>
  </r>
  <r>
    <s v="ORD-01305"/>
    <x v="146"/>
    <x v="1"/>
    <s v="Georgia"/>
    <s v="Savannah"/>
    <s v="Alex Morgan"/>
    <x v="0"/>
    <x v="1"/>
    <s v="Headsets"/>
    <s v="USB Headset"/>
    <n v="4"/>
    <n v="86.62"/>
    <n v="0.1"/>
    <n v="311.83"/>
    <n v="244.29"/>
    <n v="67.540000000000006"/>
    <s v="Bank Transfer"/>
  </r>
  <r>
    <s v="ORD-00762"/>
    <x v="146"/>
    <x v="1"/>
    <s v="Georgia"/>
    <s v="Atlanta"/>
    <s v="Morgan Davis"/>
    <x v="2"/>
    <x v="1"/>
    <s v="Laptops"/>
    <s v="Workstation Laptop"/>
    <n v="10"/>
    <n v="1091.07"/>
    <n v="0.05"/>
    <n v="10365.16"/>
    <n v="8469.7099999999991"/>
    <n v="1895.45"/>
    <s v="Debit Card"/>
  </r>
  <r>
    <s v="ORD-00531"/>
    <x v="146"/>
    <x v="2"/>
    <s v="New Jersey"/>
    <s v="Jersey City"/>
    <s v="Morgan Davis"/>
    <x v="1"/>
    <x v="2"/>
    <s v="Desks"/>
    <s v="Standing Desk"/>
    <n v="8"/>
    <n v="532.53"/>
    <n v="0.05"/>
    <n v="4047.23"/>
    <n v="2286.65"/>
    <n v="1760.58"/>
    <s v="Bank Transfer"/>
  </r>
  <r>
    <s v="ORD-01770"/>
    <x v="146"/>
    <x v="2"/>
    <s v="Vermont"/>
    <s v="Burlington"/>
    <s v="Riley Wilson"/>
    <x v="0"/>
    <x v="1"/>
    <s v="Keyboards"/>
    <s v="Wireless Keyboard"/>
    <n v="5"/>
    <n v="76.930000000000007"/>
    <n v="0.1"/>
    <n v="346.19"/>
    <n v="218.6"/>
    <n v="127.59"/>
    <s v="PayPal"/>
  </r>
  <r>
    <s v="ORD-01441"/>
    <x v="146"/>
    <x v="2"/>
    <s v="New York"/>
    <s v="Rochester"/>
    <s v="Drew Anderson"/>
    <x v="1"/>
    <x v="0"/>
    <s v="Printers"/>
    <s v="Laser Printer"/>
    <n v="6"/>
    <n v="527.72"/>
    <n v="0"/>
    <n v="3166.32"/>
    <n v="2037.41"/>
    <n v="1128.9100000000001"/>
    <s v="PayPal"/>
  </r>
  <r>
    <s v="ORD-01123"/>
    <x v="146"/>
    <x v="3"/>
    <s v="Ohio"/>
    <s v="Cleveland"/>
    <s v="Avery Johnson"/>
    <x v="0"/>
    <x v="0"/>
    <s v="Binders"/>
    <s v="Presentation Binder"/>
    <n v="9"/>
    <n v="21.35"/>
    <n v="0.1"/>
    <n v="172.94"/>
    <n v="125.39"/>
    <n v="47.55"/>
    <s v="Bank Transfer"/>
  </r>
  <r>
    <s v="ORD-02789"/>
    <x v="146"/>
    <x v="1"/>
    <s v="Virginia"/>
    <s v="Arlington"/>
    <s v="Avery Johnson"/>
    <x v="1"/>
    <x v="1"/>
    <s v="Monitors"/>
    <s v="24in Monitor"/>
    <n v="1"/>
    <n v="679.3"/>
    <n v="0.15"/>
    <n v="577.4"/>
    <n v="394.63"/>
    <n v="182.77"/>
    <s v="Credit Card"/>
  </r>
  <r>
    <s v="ORD-01257"/>
    <x v="146"/>
    <x v="1"/>
    <s v="Virginia"/>
    <s v="Arlington"/>
    <s v="Cameron Clark"/>
    <x v="1"/>
    <x v="0"/>
    <s v="Paper"/>
    <s v="Recycled Paper"/>
    <n v="6"/>
    <n v="28.03"/>
    <n v="0"/>
    <n v="168.18"/>
    <n v="125.96"/>
    <n v="42.22"/>
    <s v="Credit Card"/>
  </r>
  <r>
    <s v="ORD-02937"/>
    <x v="147"/>
    <x v="0"/>
    <s v="Arizona"/>
    <s v="Tucson"/>
    <s v="Alex Morgan"/>
    <x v="0"/>
    <x v="2"/>
    <s v="Chairs"/>
    <s v="Ergonomic Chair"/>
    <n v="10"/>
    <n v="562.20000000000005"/>
    <n v="0.05"/>
    <n v="5340.9"/>
    <n v="3055.26"/>
    <n v="2285.64"/>
    <s v="Credit Card"/>
  </r>
  <r>
    <s v="ORD-00411"/>
    <x v="147"/>
    <x v="3"/>
    <s v="Indiana"/>
    <s v="Indianapolis"/>
    <s v="Drew Anderson"/>
    <x v="0"/>
    <x v="0"/>
    <s v="Paper"/>
    <s v="Premium Paper"/>
    <n v="6"/>
    <n v="10.62"/>
    <n v="0"/>
    <n v="63.72"/>
    <n v="45.47"/>
    <n v="18.25"/>
    <s v="PayPal"/>
  </r>
  <r>
    <s v="ORD-02556"/>
    <x v="147"/>
    <x v="1"/>
    <s v="Georgia"/>
    <s v="Atlanta"/>
    <s v="Casey Brown"/>
    <x v="2"/>
    <x v="1"/>
    <s v="Keyboards"/>
    <s v="Wireless Keyboard"/>
    <n v="9"/>
    <n v="65.94"/>
    <n v="0.1"/>
    <n v="534.11"/>
    <n v="399.44"/>
    <n v="134.66999999999999"/>
    <s v="Debit Card"/>
  </r>
  <r>
    <s v="ORD-01381"/>
    <x v="147"/>
    <x v="1"/>
    <s v="Florida"/>
    <s v="Tampa"/>
    <s v="Casey Brown"/>
    <x v="1"/>
    <x v="1"/>
    <s v="Keyboards"/>
    <s v="Wireless Keyboard"/>
    <n v="4"/>
    <n v="125.66"/>
    <n v="0.15"/>
    <n v="427.24"/>
    <n v="318.63"/>
    <n v="108.61"/>
    <s v="PayPal"/>
  </r>
  <r>
    <s v="ORD-00458"/>
    <x v="147"/>
    <x v="0"/>
    <s v="California"/>
    <s v="San Diego"/>
    <s v="Riley Wilson"/>
    <x v="0"/>
    <x v="2"/>
    <s v="Tables"/>
    <s v="Side Table"/>
    <n v="2"/>
    <n v="752.21"/>
    <n v="0"/>
    <n v="1504.42"/>
    <n v="935.69"/>
    <n v="568.73"/>
    <s v="Bank Transfer"/>
  </r>
  <r>
    <s v="ORD-00935"/>
    <x v="147"/>
    <x v="0"/>
    <s v="Oregon"/>
    <s v="Portland"/>
    <s v="Avery Johnson"/>
    <x v="2"/>
    <x v="2"/>
    <s v="Desks"/>
    <s v="Executive Desk"/>
    <n v="9"/>
    <n v="451.4"/>
    <n v="0.1"/>
    <n v="3656.34"/>
    <n v="2710.31"/>
    <n v="946.03"/>
    <s v="Credit Card"/>
  </r>
  <r>
    <s v="ORD-00435"/>
    <x v="148"/>
    <x v="0"/>
    <s v="Arizona"/>
    <s v="Mesa"/>
    <s v="Jamie Miller"/>
    <x v="0"/>
    <x v="0"/>
    <s v="Pens"/>
    <s v="Ballpoint Pens"/>
    <n v="10"/>
    <n v="13.34"/>
    <n v="0"/>
    <n v="133.4"/>
    <n v="97.22"/>
    <n v="36.18"/>
    <s v="Bank Transfer"/>
  </r>
  <r>
    <s v="ORD-02832"/>
    <x v="148"/>
    <x v="1"/>
    <s v="North Carolina"/>
    <s v="Durham"/>
    <s v="Jamie Miller"/>
    <x v="0"/>
    <x v="1"/>
    <s v="Keyboards"/>
    <s v="Ergonomic Keyboard"/>
    <n v="3"/>
    <n v="77.959999999999994"/>
    <n v="0.15"/>
    <n v="198.8"/>
    <n v="140.57"/>
    <n v="58.23"/>
    <s v="Bank Transfer"/>
  </r>
  <r>
    <s v="ORD-00178"/>
    <x v="148"/>
    <x v="3"/>
    <s v="Indiana"/>
    <s v="Fort Wayne"/>
    <s v="Casey Brown"/>
    <x v="1"/>
    <x v="2"/>
    <s v="Chairs"/>
    <s v="Ergonomic Chair"/>
    <n v="9"/>
    <n v="437.55"/>
    <n v="0.15"/>
    <n v="3347.26"/>
    <n v="2397.2199999999998"/>
    <n v="950.04"/>
    <s v="Bank Transfer"/>
  </r>
  <r>
    <s v="ORD-02580"/>
    <x v="148"/>
    <x v="1"/>
    <s v="Florida"/>
    <s v="Orlando"/>
    <s v="Cameron Clark"/>
    <x v="0"/>
    <x v="1"/>
    <s v="Monitors"/>
    <s v="24in Monitor"/>
    <n v="4"/>
    <n v="345.91"/>
    <n v="0.1"/>
    <n v="1245.28"/>
    <n v="990.54"/>
    <n v="254.74"/>
    <s v="Debit Card"/>
  </r>
  <r>
    <s v="ORD-01377"/>
    <x v="148"/>
    <x v="0"/>
    <s v="Oregon"/>
    <s v="Salem"/>
    <s v="Jamie Miller"/>
    <x v="2"/>
    <x v="0"/>
    <s v="Binders"/>
    <s v="Presentation Binder"/>
    <n v="2"/>
    <n v="11.62"/>
    <n v="0.1"/>
    <n v="20.92"/>
    <n v="15.7"/>
    <n v="5.22"/>
    <s v="Credit Card"/>
  </r>
  <r>
    <s v="ORD-02349"/>
    <x v="148"/>
    <x v="0"/>
    <s v="Arizona"/>
    <s v="Phoenix"/>
    <s v="Avery Johnson"/>
    <x v="0"/>
    <x v="0"/>
    <s v="Binders"/>
    <s v="Heavy-Duty Binder"/>
    <n v="2"/>
    <n v="6.68"/>
    <n v="0.15"/>
    <n v="11.36"/>
    <n v="6.25"/>
    <n v="5.1100000000000003"/>
    <s v="PayPal"/>
  </r>
  <r>
    <s v="ORD-02978"/>
    <x v="148"/>
    <x v="2"/>
    <s v="Pennsylvania"/>
    <s v="Philadelphia"/>
    <s v="Jordan Lee"/>
    <x v="0"/>
    <x v="2"/>
    <s v="Bookcases"/>
    <s v="5-Shelf Bookcase"/>
    <n v="3"/>
    <n v="321.64"/>
    <n v="0.05"/>
    <n v="916.67"/>
    <n v="610.4"/>
    <n v="306.27"/>
    <s v="Bank Transfer"/>
  </r>
  <r>
    <s v="ORD-00023"/>
    <x v="148"/>
    <x v="1"/>
    <s v="Texas"/>
    <s v="Austin"/>
    <s v="Alex Morgan"/>
    <x v="1"/>
    <x v="1"/>
    <s v="Laptops"/>
    <s v="Workstation Laptop"/>
    <n v="2"/>
    <n v="1269.95"/>
    <n v="0.15"/>
    <n v="2158.92"/>
    <n v="1600.93"/>
    <n v="557.99"/>
    <s v="Credit Card"/>
  </r>
  <r>
    <s v="ORD-02451"/>
    <x v="148"/>
    <x v="3"/>
    <s v="Minnesota"/>
    <s v="Rochester"/>
    <s v="Alex Morgan"/>
    <x v="0"/>
    <x v="1"/>
    <s v="Monitors"/>
    <s v="34in Monitor"/>
    <n v="8"/>
    <n v="603.34"/>
    <n v="0.05"/>
    <n v="4585.38"/>
    <n v="3195.4"/>
    <n v="1389.98"/>
    <s v="PayPal"/>
  </r>
  <r>
    <s v="ORD-00279"/>
    <x v="148"/>
    <x v="2"/>
    <s v="New York"/>
    <s v="New York City"/>
    <s v="Alex Morgan"/>
    <x v="0"/>
    <x v="1"/>
    <s v="Monitors"/>
    <s v="27in Monitor"/>
    <n v="10"/>
    <n v="249.08"/>
    <n v="0.1"/>
    <n v="2241.7199999999998"/>
    <n v="1597.27"/>
    <n v="644.45000000000005"/>
    <s v="Debit Card"/>
  </r>
  <r>
    <s v="ORD-01888"/>
    <x v="149"/>
    <x v="0"/>
    <s v="California"/>
    <s v="San Diego"/>
    <s v="Cameron Clark"/>
    <x v="2"/>
    <x v="2"/>
    <s v="Tables"/>
    <s v="Training Table"/>
    <n v="4"/>
    <n v="698.5"/>
    <n v="0.15"/>
    <n v="2374.9"/>
    <n v="1800.06"/>
    <n v="574.84"/>
    <s v="PayPal"/>
  </r>
  <r>
    <s v="ORD-01929"/>
    <x v="149"/>
    <x v="0"/>
    <s v="California"/>
    <s v="San Diego"/>
    <s v="Riley Wilson"/>
    <x v="0"/>
    <x v="1"/>
    <s v="Laptops"/>
    <s v="Business Laptop"/>
    <n v="6"/>
    <n v="1763.12"/>
    <n v="0.05"/>
    <n v="10049.780000000001"/>
    <n v="7099.44"/>
    <n v="2950.34"/>
    <s v="Credit Card"/>
  </r>
  <r>
    <s v="ORD-01023"/>
    <x v="149"/>
    <x v="1"/>
    <s v="Georgia"/>
    <s v="Atlanta"/>
    <s v="Casey Brown"/>
    <x v="2"/>
    <x v="1"/>
    <s v="Headsets"/>
    <s v="Noise-Canceling Headset"/>
    <n v="8"/>
    <n v="144.93"/>
    <n v="0.05"/>
    <n v="1101.47"/>
    <n v="675.34"/>
    <n v="426.13"/>
    <s v="Bank Transfer"/>
  </r>
  <r>
    <s v="ORD-01034"/>
    <x v="149"/>
    <x v="1"/>
    <s v="North Carolina"/>
    <s v="Durham"/>
    <s v="Morgan Davis"/>
    <x v="2"/>
    <x v="2"/>
    <s v="Chairs"/>
    <s v="Task Chair"/>
    <n v="6"/>
    <n v="627.09"/>
    <n v="0"/>
    <n v="3762.54"/>
    <n v="2118.84"/>
    <n v="1643.7"/>
    <s v="Bank Transfer"/>
  </r>
  <r>
    <s v="ORD-00978"/>
    <x v="149"/>
    <x v="0"/>
    <s v="California"/>
    <s v="San Diego"/>
    <s v="Avery Johnson"/>
    <x v="2"/>
    <x v="1"/>
    <s v="Monitors"/>
    <s v="24in Monitor"/>
    <n v="7"/>
    <n v="682.63"/>
    <n v="0"/>
    <n v="4778.41"/>
    <n v="2699.84"/>
    <n v="2078.5700000000002"/>
    <s v="Credit Card"/>
  </r>
  <r>
    <s v="ORD-01636"/>
    <x v="149"/>
    <x v="3"/>
    <s v="Illinois"/>
    <s v="Peoria"/>
    <s v="Taylor Smith"/>
    <x v="1"/>
    <x v="0"/>
    <s v="Paper"/>
    <s v="Copy Paper"/>
    <n v="2"/>
    <n v="13.46"/>
    <n v="0"/>
    <n v="26.92"/>
    <n v="15.3"/>
    <n v="11.62"/>
    <s v="Debit Card"/>
  </r>
  <r>
    <s v="ORD-01791"/>
    <x v="149"/>
    <x v="2"/>
    <s v="New York"/>
    <s v="Rochester"/>
    <s v="Drew Anderson"/>
    <x v="2"/>
    <x v="0"/>
    <s v="Paper"/>
    <s v="Premium Paper"/>
    <n v="4"/>
    <n v="17.52"/>
    <n v="0.15"/>
    <n v="59.57"/>
    <n v="34.159999999999997"/>
    <n v="25.41"/>
    <s v="Bank Transfer"/>
  </r>
  <r>
    <s v="ORD-01161"/>
    <x v="149"/>
    <x v="0"/>
    <s v="Colorado"/>
    <s v="Colorado Springs"/>
    <s v="Avery Johnson"/>
    <x v="0"/>
    <x v="2"/>
    <s v="Chairs"/>
    <s v="Task Chair"/>
    <n v="9"/>
    <n v="123.01"/>
    <n v="0.1"/>
    <n v="996.38"/>
    <n v="592.16999999999996"/>
    <n v="404.21"/>
    <s v="PayPal"/>
  </r>
  <r>
    <s v="ORD-01199"/>
    <x v="149"/>
    <x v="3"/>
    <s v="Michigan"/>
    <s v="Grand Rapids"/>
    <s v="Avery Johnson"/>
    <x v="2"/>
    <x v="1"/>
    <s v="Keyboards"/>
    <s v="Ergonomic Keyboard"/>
    <n v="3"/>
    <n v="117.21"/>
    <n v="0.1"/>
    <n v="316.47000000000003"/>
    <n v="233.02"/>
    <n v="83.45"/>
    <s v="PayPal"/>
  </r>
  <r>
    <s v="ORD-02877"/>
    <x v="150"/>
    <x v="1"/>
    <s v="Virginia"/>
    <s v="Norfolk"/>
    <s v="Taylor Smith"/>
    <x v="2"/>
    <x v="1"/>
    <s v="Headsets"/>
    <s v="Wireless Headset"/>
    <n v="5"/>
    <n v="167.58"/>
    <n v="0.05"/>
    <n v="796"/>
    <n v="556.79"/>
    <n v="239.21"/>
    <s v="PayPal"/>
  </r>
  <r>
    <s v="ORD-01505"/>
    <x v="150"/>
    <x v="3"/>
    <s v="Illinois"/>
    <s v="Chicago"/>
    <s v="Drew Anderson"/>
    <x v="2"/>
    <x v="1"/>
    <s v="Headsets"/>
    <s v="Noise-Canceling Headset"/>
    <n v="7"/>
    <n v="125.5"/>
    <n v="0.1"/>
    <n v="790.65"/>
    <n v="638.17999999999995"/>
    <n v="152.47"/>
    <s v="Credit Card"/>
  </r>
  <r>
    <s v="ORD-01652"/>
    <x v="150"/>
    <x v="1"/>
    <s v="Texas"/>
    <s v="Austin"/>
    <s v="Riley Wilson"/>
    <x v="0"/>
    <x v="2"/>
    <s v="Desks"/>
    <s v="Standing Desk"/>
    <n v="2"/>
    <n v="588.36"/>
    <n v="0.15"/>
    <n v="1000.21"/>
    <n v="653.23"/>
    <n v="346.98"/>
    <s v="PayPal"/>
  </r>
  <r>
    <s v="ORD-01507"/>
    <x v="150"/>
    <x v="0"/>
    <s v="California"/>
    <s v="San Diego"/>
    <s v="Jamie Miller"/>
    <x v="0"/>
    <x v="0"/>
    <s v="Pens"/>
    <s v="Gel Pens"/>
    <n v="4"/>
    <n v="20.7"/>
    <n v="0.05"/>
    <n v="78.66"/>
    <n v="48.92"/>
    <n v="29.74"/>
    <s v="Debit Card"/>
  </r>
  <r>
    <s v="ORD-02316"/>
    <x v="150"/>
    <x v="2"/>
    <s v="New Jersey"/>
    <s v="Trenton"/>
    <s v="Riley Wilson"/>
    <x v="0"/>
    <x v="2"/>
    <s v="Tables"/>
    <s v="Training Table"/>
    <n v="3"/>
    <n v="267.48"/>
    <n v="0.05"/>
    <n v="762.32"/>
    <n v="420.59"/>
    <n v="341.73"/>
    <s v="PayPal"/>
  </r>
  <r>
    <s v="ORD-01926"/>
    <x v="150"/>
    <x v="2"/>
    <s v="New York"/>
    <s v="Buffalo"/>
    <s v="Cameron Clark"/>
    <x v="2"/>
    <x v="0"/>
    <s v="Binders"/>
    <s v="Heavy-Duty Binder"/>
    <n v="1"/>
    <n v="22.26"/>
    <n v="0"/>
    <n v="22.26"/>
    <n v="14.84"/>
    <n v="7.42"/>
    <s v="Debit Card"/>
  </r>
  <r>
    <s v="ORD-02005"/>
    <x v="150"/>
    <x v="0"/>
    <s v="Oregon"/>
    <s v="Portland"/>
    <s v="Taylor Smith"/>
    <x v="0"/>
    <x v="2"/>
    <s v="Tables"/>
    <s v="Training Table"/>
    <n v="5"/>
    <n v="245.51"/>
    <n v="0.05"/>
    <n v="1166.17"/>
    <n v="867.58"/>
    <n v="298.58999999999997"/>
    <s v="Debit Card"/>
  </r>
  <r>
    <s v="ORD-00662"/>
    <x v="150"/>
    <x v="3"/>
    <s v="Ohio"/>
    <s v="Cincinnati"/>
    <s v="Casey Brown"/>
    <x v="1"/>
    <x v="1"/>
    <s v="Keyboards"/>
    <s v="Wireless Keyboard"/>
    <n v="6"/>
    <n v="158.18"/>
    <n v="0"/>
    <n v="949.08"/>
    <n v="555.74"/>
    <n v="393.34"/>
    <s v="Debit Card"/>
  </r>
  <r>
    <s v="ORD-02053"/>
    <x v="150"/>
    <x v="1"/>
    <s v="Georgia"/>
    <s v="Atlanta"/>
    <s v="Drew Anderson"/>
    <x v="2"/>
    <x v="2"/>
    <s v="Tables"/>
    <s v="Conference Table"/>
    <n v="2"/>
    <n v="309.49"/>
    <n v="0"/>
    <n v="618.98"/>
    <n v="416.72"/>
    <n v="202.26"/>
    <s v="PayPal"/>
  </r>
  <r>
    <s v="ORD-01855"/>
    <x v="150"/>
    <x v="0"/>
    <s v="Colorado"/>
    <s v="Colorado Springs"/>
    <s v="Avery Johnson"/>
    <x v="0"/>
    <x v="0"/>
    <s v="Printers"/>
    <s v="Color Printer"/>
    <n v="9"/>
    <n v="589.35"/>
    <n v="0.05"/>
    <n v="5038.9399999999996"/>
    <n v="2828.37"/>
    <n v="2210.5700000000002"/>
    <s v="PayPal"/>
  </r>
  <r>
    <s v="ORD-02741"/>
    <x v="151"/>
    <x v="1"/>
    <s v="North Carolina"/>
    <s v="Charlotte"/>
    <s v="Cameron Clark"/>
    <x v="2"/>
    <x v="1"/>
    <s v="Monitors"/>
    <s v="34in Monitor"/>
    <n v="1"/>
    <n v="542.01"/>
    <n v="0.2"/>
    <n v="433.61"/>
    <n v="255.34"/>
    <n v="178.27"/>
    <s v="Bank Transfer"/>
  </r>
  <r>
    <s v="ORD-00510"/>
    <x v="151"/>
    <x v="1"/>
    <s v="Texas"/>
    <s v="Dallas"/>
    <s v="Morgan Davis"/>
    <x v="1"/>
    <x v="0"/>
    <s v="Binders"/>
    <s v="Presentation Binder"/>
    <n v="1"/>
    <n v="15.98"/>
    <n v="0.05"/>
    <n v="15.18"/>
    <n v="9.26"/>
    <n v="5.92"/>
    <s v="PayPal"/>
  </r>
  <r>
    <s v="ORD-01024"/>
    <x v="151"/>
    <x v="1"/>
    <s v="North Carolina"/>
    <s v="Raleigh"/>
    <s v="Alex Morgan"/>
    <x v="0"/>
    <x v="2"/>
    <s v="Tables"/>
    <s v="Training Table"/>
    <n v="2"/>
    <n v="349.4"/>
    <n v="0"/>
    <n v="698.8"/>
    <n v="471.35"/>
    <n v="227.45"/>
    <s v="Credit Card"/>
  </r>
  <r>
    <s v="ORD-00730"/>
    <x v="151"/>
    <x v="0"/>
    <s v="Colorado"/>
    <s v="Boulder"/>
    <s v="Morgan Davis"/>
    <x v="0"/>
    <x v="0"/>
    <s v="Printers"/>
    <s v="All-in-One Printer"/>
    <n v="10"/>
    <n v="267.69"/>
    <n v="0.05"/>
    <n v="2543.0500000000002"/>
    <n v="1978.76"/>
    <n v="564.29"/>
    <s v="Debit Card"/>
  </r>
  <r>
    <s v="ORD-01976"/>
    <x v="152"/>
    <x v="2"/>
    <s v="Massachusetts"/>
    <s v="Worcester"/>
    <s v="Casey Brown"/>
    <x v="2"/>
    <x v="1"/>
    <s v="Monitors"/>
    <s v="27in Monitor"/>
    <n v="1"/>
    <n v="450.86"/>
    <n v="0.1"/>
    <n v="405.77"/>
    <n v="257.61"/>
    <n v="148.16"/>
    <s v="Bank Transfer"/>
  </r>
  <r>
    <s v="ORD-01190"/>
    <x v="152"/>
    <x v="0"/>
    <s v="Oregon"/>
    <s v="Portland"/>
    <s v="Drew Anderson"/>
    <x v="1"/>
    <x v="1"/>
    <s v="Headsets"/>
    <s v="Noise-Canceling Headset"/>
    <n v="4"/>
    <n v="48.32"/>
    <n v="0.15"/>
    <n v="164.29"/>
    <n v="134.08000000000001"/>
    <n v="30.21"/>
    <s v="Credit Card"/>
  </r>
  <r>
    <s v="ORD-01261"/>
    <x v="152"/>
    <x v="3"/>
    <s v="Indiana"/>
    <s v="Evansville"/>
    <s v="Riley Wilson"/>
    <x v="0"/>
    <x v="2"/>
    <s v="Chairs"/>
    <s v="Task Chair"/>
    <n v="9"/>
    <n v="552.29999999999995"/>
    <n v="0.15"/>
    <n v="4225.09"/>
    <n v="2714.55"/>
    <n v="1510.54"/>
    <s v="PayPal"/>
  </r>
  <r>
    <s v="ORD-02050"/>
    <x v="152"/>
    <x v="2"/>
    <s v="New York"/>
    <s v="New York City"/>
    <s v="Alex Morgan"/>
    <x v="0"/>
    <x v="1"/>
    <s v="Laptops"/>
    <s v="Workstation Laptop"/>
    <n v="7"/>
    <n v="994.2"/>
    <n v="0.05"/>
    <n v="6611.43"/>
    <n v="4615.2700000000004"/>
    <n v="1996.16"/>
    <s v="PayPal"/>
  </r>
  <r>
    <s v="ORD-00674"/>
    <x v="152"/>
    <x v="1"/>
    <s v="North Carolina"/>
    <s v="Raleigh"/>
    <s v="Drew Anderson"/>
    <x v="0"/>
    <x v="2"/>
    <s v="Tables"/>
    <s v="Training Table"/>
    <n v="5"/>
    <n v="369.63"/>
    <n v="0.1"/>
    <n v="1663.34"/>
    <n v="1026.71"/>
    <n v="636.63"/>
    <s v="PayPal"/>
  </r>
  <r>
    <s v="ORD-02504"/>
    <x v="152"/>
    <x v="1"/>
    <s v="Georgia"/>
    <s v="Augusta"/>
    <s v="Taylor Smith"/>
    <x v="0"/>
    <x v="2"/>
    <s v="Tables"/>
    <s v="Side Table"/>
    <n v="9"/>
    <n v="634.4"/>
    <n v="0.05"/>
    <n v="5424.12"/>
    <n v="4101.79"/>
    <n v="1322.33"/>
    <s v="Credit Card"/>
  </r>
  <r>
    <s v="ORD-01719"/>
    <x v="152"/>
    <x v="1"/>
    <s v="Virginia"/>
    <s v="Norfolk"/>
    <s v="Casey Brown"/>
    <x v="0"/>
    <x v="2"/>
    <s v="Tables"/>
    <s v="Side Table"/>
    <n v="3"/>
    <n v="157.79"/>
    <n v="0.05"/>
    <n v="449.7"/>
    <n v="273.61"/>
    <n v="176.09"/>
    <s v="Bank Transfer"/>
  </r>
  <r>
    <s v="ORD-00979"/>
    <x v="152"/>
    <x v="0"/>
    <s v="Oregon"/>
    <s v="Portland"/>
    <s v="Avery Johnson"/>
    <x v="0"/>
    <x v="1"/>
    <s v="Headsets"/>
    <s v="Wireless Headset"/>
    <n v="6"/>
    <n v="84.76"/>
    <n v="0.15"/>
    <n v="432.28"/>
    <n v="297.73"/>
    <n v="134.55000000000001"/>
    <s v="Debit Card"/>
  </r>
  <r>
    <s v="ORD-00135"/>
    <x v="152"/>
    <x v="3"/>
    <s v="Illinois"/>
    <s v="Chicago"/>
    <s v="Taylor Smith"/>
    <x v="0"/>
    <x v="1"/>
    <s v="Monitors"/>
    <s v="24in Monitor"/>
    <n v="4"/>
    <n v="549.41"/>
    <n v="0.1"/>
    <n v="1977.88"/>
    <n v="1222.07"/>
    <n v="755.81"/>
    <s v="Bank Transfer"/>
  </r>
  <r>
    <s v="ORD-00821"/>
    <x v="152"/>
    <x v="3"/>
    <s v="Minnesota"/>
    <s v="Minneapolis"/>
    <s v="Alex Morgan"/>
    <x v="1"/>
    <x v="1"/>
    <s v="Monitors"/>
    <s v="27in Monitor"/>
    <n v="7"/>
    <n v="624.82000000000005"/>
    <n v="0.05"/>
    <n v="4155.05"/>
    <n v="2692.89"/>
    <n v="1462.16"/>
    <s v="Bank Transfer"/>
  </r>
  <r>
    <s v="ORD-02882"/>
    <x v="153"/>
    <x v="2"/>
    <s v="Vermont"/>
    <s v="Burlington"/>
    <s v="Avery Johnson"/>
    <x v="0"/>
    <x v="1"/>
    <s v="Headsets"/>
    <s v="Wireless Headset"/>
    <n v="7"/>
    <n v="157.13"/>
    <n v="0.1"/>
    <n v="989.92"/>
    <n v="747.34"/>
    <n v="242.58"/>
    <s v="PayPal"/>
  </r>
  <r>
    <s v="ORD-02083"/>
    <x v="153"/>
    <x v="2"/>
    <s v="Vermont"/>
    <s v="Montpelier"/>
    <s v="Cameron Clark"/>
    <x v="1"/>
    <x v="2"/>
    <s v="Chairs"/>
    <s v="Ergonomic Chair"/>
    <n v="2"/>
    <n v="541.80999999999995"/>
    <n v="0.15"/>
    <n v="921.08"/>
    <n v="558.94000000000005"/>
    <n v="362.14"/>
    <s v="Debit Card"/>
  </r>
  <r>
    <s v="ORD-00671"/>
    <x v="153"/>
    <x v="2"/>
    <s v="Pennsylvania"/>
    <s v="Allentown"/>
    <s v="Cameron Clark"/>
    <x v="2"/>
    <x v="0"/>
    <s v="Printers"/>
    <s v="All-in-One Printer"/>
    <n v="10"/>
    <n v="318.95999999999998"/>
    <n v="0.05"/>
    <n v="3030.12"/>
    <n v="1900.1"/>
    <n v="1130.02"/>
    <s v="Credit Card"/>
  </r>
  <r>
    <s v="ORD-01741"/>
    <x v="153"/>
    <x v="0"/>
    <s v="Arizona"/>
    <s v="Tucson"/>
    <s v="Morgan Davis"/>
    <x v="1"/>
    <x v="1"/>
    <s v="Monitors"/>
    <s v="34in Monitor"/>
    <n v="6"/>
    <n v="271.98"/>
    <n v="0.05"/>
    <n v="1550.29"/>
    <n v="951.53"/>
    <n v="598.76"/>
    <s v="Credit Card"/>
  </r>
  <r>
    <s v="ORD-00356"/>
    <x v="153"/>
    <x v="3"/>
    <s v="Illinois"/>
    <s v="Chicago"/>
    <s v="Avery Johnson"/>
    <x v="0"/>
    <x v="1"/>
    <s v="Headsets"/>
    <s v="USB Headset"/>
    <n v="5"/>
    <n v="122.33"/>
    <n v="0.1"/>
    <n v="550.48"/>
    <n v="414.47"/>
    <n v="136.01"/>
    <s v="Bank Transfer"/>
  </r>
  <r>
    <s v="ORD-02493"/>
    <x v="154"/>
    <x v="0"/>
    <s v="Arizona"/>
    <s v="Phoenix"/>
    <s v="Taylor Smith"/>
    <x v="2"/>
    <x v="1"/>
    <s v="Keyboards"/>
    <s v="Ergonomic Keyboard"/>
    <n v="5"/>
    <n v="116.73"/>
    <n v="0.1"/>
    <n v="525.28"/>
    <n v="417.23"/>
    <n v="108.05"/>
    <s v="PayPal"/>
  </r>
  <r>
    <s v="ORD-01885"/>
    <x v="154"/>
    <x v="2"/>
    <s v="Vermont"/>
    <s v="Rutland"/>
    <s v="Jamie Miller"/>
    <x v="2"/>
    <x v="0"/>
    <s v="Paper"/>
    <s v="Recycled Paper"/>
    <n v="3"/>
    <n v="31.31"/>
    <n v="0.1"/>
    <n v="84.54"/>
    <n v="62.98"/>
    <n v="21.56"/>
    <s v="Debit Card"/>
  </r>
  <r>
    <s v="ORD-02422"/>
    <x v="154"/>
    <x v="3"/>
    <s v="Michigan"/>
    <s v="Lansing"/>
    <s v="Cameron Clark"/>
    <x v="0"/>
    <x v="2"/>
    <s v="Chairs"/>
    <s v="Task Chair"/>
    <n v="1"/>
    <n v="501.57"/>
    <n v="0"/>
    <n v="501.57"/>
    <n v="369.99"/>
    <n v="131.58000000000001"/>
    <s v="Bank Transfer"/>
  </r>
  <r>
    <s v="ORD-02668"/>
    <x v="154"/>
    <x v="0"/>
    <s v="California"/>
    <s v="San Diego"/>
    <s v="Avery Johnson"/>
    <x v="2"/>
    <x v="1"/>
    <s v="Keyboards"/>
    <s v="Wireless Keyboard"/>
    <n v="2"/>
    <n v="39.36"/>
    <n v="0.1"/>
    <n v="70.849999999999994"/>
    <n v="41.51"/>
    <n v="29.34"/>
    <s v="Debit Card"/>
  </r>
  <r>
    <s v="ORD-00558"/>
    <x v="154"/>
    <x v="1"/>
    <s v="North Carolina"/>
    <s v="Durham"/>
    <s v="Morgan Davis"/>
    <x v="0"/>
    <x v="1"/>
    <s v="Laptops"/>
    <s v="Business Laptop"/>
    <n v="9"/>
    <n v="1356.51"/>
    <n v="0.1"/>
    <n v="10987.73"/>
    <n v="8139.11"/>
    <n v="2848.62"/>
    <s v="PayPal"/>
  </r>
  <r>
    <s v="ORD-02579"/>
    <x v="154"/>
    <x v="0"/>
    <s v="Arizona"/>
    <s v="Tucson"/>
    <s v="Jordan Lee"/>
    <x v="1"/>
    <x v="2"/>
    <s v="Bookcases"/>
    <s v="5-Shelf Bookcase"/>
    <n v="6"/>
    <n v="193.81"/>
    <n v="0.1"/>
    <n v="1046.57"/>
    <n v="647.07000000000005"/>
    <n v="399.5"/>
    <s v="Debit Card"/>
  </r>
  <r>
    <s v="ORD-00789"/>
    <x v="154"/>
    <x v="0"/>
    <s v="Oregon"/>
    <s v="Eugene"/>
    <s v="Cameron Clark"/>
    <x v="0"/>
    <x v="0"/>
    <s v="Printers"/>
    <s v="All-in-One Printer"/>
    <n v="10"/>
    <n v="230.49"/>
    <n v="0.1"/>
    <n v="2074.41"/>
    <n v="1347.41"/>
    <n v="727"/>
    <s v="PayPal"/>
  </r>
  <r>
    <s v="ORD-01933"/>
    <x v="155"/>
    <x v="2"/>
    <s v="New York"/>
    <s v="New York City"/>
    <s v="Taylor Smith"/>
    <x v="1"/>
    <x v="1"/>
    <s v="Headsets"/>
    <s v="Wireless Headset"/>
    <n v="3"/>
    <n v="154.09"/>
    <n v="0.15"/>
    <n v="392.93"/>
    <n v="255.34"/>
    <n v="137.59"/>
    <s v="PayPal"/>
  </r>
  <r>
    <s v="ORD-02906"/>
    <x v="155"/>
    <x v="3"/>
    <s v="Illinois"/>
    <s v="Chicago"/>
    <s v="Jordan Lee"/>
    <x v="2"/>
    <x v="0"/>
    <s v="Binders"/>
    <s v="3-Ring Binder"/>
    <n v="7"/>
    <n v="17.239999999999998"/>
    <n v="0"/>
    <n v="120.68"/>
    <n v="70.739999999999995"/>
    <n v="49.94"/>
    <s v="PayPal"/>
  </r>
  <r>
    <s v="ORD-01558"/>
    <x v="155"/>
    <x v="3"/>
    <s v="Minnesota"/>
    <s v="St. Paul"/>
    <s v="Morgan Davis"/>
    <x v="2"/>
    <x v="2"/>
    <s v="Desks"/>
    <s v="Executive Desk"/>
    <n v="2"/>
    <n v="746.92"/>
    <n v="0"/>
    <n v="1493.84"/>
    <n v="1152.5999999999999"/>
    <n v="341.24"/>
    <s v="PayPal"/>
  </r>
  <r>
    <s v="ORD-01858"/>
    <x v="155"/>
    <x v="2"/>
    <s v="New York"/>
    <s v="New York City"/>
    <s v="Riley Wilson"/>
    <x v="1"/>
    <x v="2"/>
    <s v="Bookcases"/>
    <s v="3-Shelf Bookcase"/>
    <n v="5"/>
    <n v="188.64"/>
    <n v="0.05"/>
    <n v="896.04"/>
    <n v="731.54"/>
    <n v="164.5"/>
    <s v="Bank Transfer"/>
  </r>
  <r>
    <s v="ORD-01918"/>
    <x v="155"/>
    <x v="1"/>
    <s v="Texas"/>
    <s v="Dallas"/>
    <s v="Jordan Lee"/>
    <x v="2"/>
    <x v="1"/>
    <s v="Laptops"/>
    <s v="Business Laptop"/>
    <n v="7"/>
    <n v="1427.52"/>
    <n v="0.1"/>
    <n v="8993.3799999999992"/>
    <n v="5474.01"/>
    <n v="3519.37"/>
    <s v="Bank Transfer"/>
  </r>
  <r>
    <s v="ORD-00624"/>
    <x v="155"/>
    <x v="1"/>
    <s v="Texas"/>
    <s v="Houston"/>
    <s v="Alex Morgan"/>
    <x v="0"/>
    <x v="2"/>
    <s v="Bookcases"/>
    <s v="Storage Bookcase"/>
    <n v="6"/>
    <n v="487.96"/>
    <n v="0"/>
    <n v="2927.76"/>
    <n v="1899.74"/>
    <n v="1028.02"/>
    <s v="PayPal"/>
  </r>
  <r>
    <s v="ORD-02562"/>
    <x v="155"/>
    <x v="0"/>
    <s v="Arizona"/>
    <s v="Tucson"/>
    <s v="Cameron Clark"/>
    <x v="2"/>
    <x v="1"/>
    <s v="Laptops"/>
    <s v="Workstation Laptop"/>
    <n v="4"/>
    <n v="649.45000000000005"/>
    <n v="0.05"/>
    <n v="2467.91"/>
    <n v="1936.87"/>
    <n v="531.04"/>
    <s v="Credit Card"/>
  </r>
  <r>
    <s v="ORD-02017"/>
    <x v="155"/>
    <x v="2"/>
    <s v="New Jersey"/>
    <s v="Jersey City"/>
    <s v="Drew Anderson"/>
    <x v="1"/>
    <x v="2"/>
    <s v="Tables"/>
    <s v="Training Table"/>
    <n v="7"/>
    <n v="424.82"/>
    <n v="0"/>
    <n v="2973.74"/>
    <n v="1739.87"/>
    <n v="1233.8699999999999"/>
    <s v="Bank Transfer"/>
  </r>
  <r>
    <s v="ORD-02536"/>
    <x v="156"/>
    <x v="3"/>
    <s v="Minnesota"/>
    <s v="Minneapolis"/>
    <s v="Morgan Davis"/>
    <x v="0"/>
    <x v="0"/>
    <s v="Printers"/>
    <s v="All-in-One Printer"/>
    <n v="8"/>
    <n v="587.51"/>
    <n v="0.05"/>
    <n v="4465.08"/>
    <n v="3518.34"/>
    <n v="946.74"/>
    <s v="Bank Transfer"/>
  </r>
  <r>
    <s v="ORD-02812"/>
    <x v="156"/>
    <x v="2"/>
    <s v="New York"/>
    <s v="New York City"/>
    <s v="Jamie Miller"/>
    <x v="0"/>
    <x v="2"/>
    <s v="Chairs"/>
    <s v="Executive Chair"/>
    <n v="5"/>
    <n v="201.39"/>
    <n v="0.05"/>
    <n v="956.6"/>
    <n v="732.88"/>
    <n v="223.72"/>
    <s v="PayPal"/>
  </r>
  <r>
    <s v="ORD-02449"/>
    <x v="156"/>
    <x v="0"/>
    <s v="Arizona"/>
    <s v="Mesa"/>
    <s v="Jamie Miller"/>
    <x v="0"/>
    <x v="1"/>
    <s v="Laptops"/>
    <s v="Ultrabook"/>
    <n v="5"/>
    <n v="790.61"/>
    <n v="0.15"/>
    <n v="3360.09"/>
    <n v="2298.71"/>
    <n v="1061.3800000000001"/>
    <s v="Credit Card"/>
  </r>
  <r>
    <s v="ORD-02967"/>
    <x v="156"/>
    <x v="2"/>
    <s v="New Jersey"/>
    <s v="Newark"/>
    <s v="Jamie Miller"/>
    <x v="2"/>
    <x v="1"/>
    <s v="Laptops"/>
    <s v="Workstation Laptop"/>
    <n v="10"/>
    <n v="653.80999999999995"/>
    <n v="0.2"/>
    <n v="5230.4799999999996"/>
    <n v="3470.79"/>
    <n v="1759.69"/>
    <s v="Bank Transfer"/>
  </r>
  <r>
    <s v="ORD-00518"/>
    <x v="156"/>
    <x v="1"/>
    <s v="North Carolina"/>
    <s v="Charlotte"/>
    <s v="Jordan Lee"/>
    <x v="2"/>
    <x v="2"/>
    <s v="Bookcases"/>
    <s v="Storage Bookcase"/>
    <n v="5"/>
    <n v="148.62"/>
    <n v="0"/>
    <n v="743.1"/>
    <n v="543.26"/>
    <n v="199.84"/>
    <s v="PayPal"/>
  </r>
  <r>
    <s v="ORD-02563"/>
    <x v="156"/>
    <x v="0"/>
    <s v="Colorado"/>
    <s v="Denver"/>
    <s v="Drew Anderson"/>
    <x v="1"/>
    <x v="1"/>
    <s v="Monitors"/>
    <s v="24in Monitor"/>
    <n v="4"/>
    <n v="521.66"/>
    <n v="0.05"/>
    <n v="1982.31"/>
    <n v="1447.84"/>
    <n v="534.47"/>
    <s v="Bank Transfer"/>
  </r>
  <r>
    <s v="ORD-00783"/>
    <x v="156"/>
    <x v="0"/>
    <s v="Washington"/>
    <s v="Seattle"/>
    <s v="Drew Anderson"/>
    <x v="0"/>
    <x v="2"/>
    <s v="Chairs"/>
    <s v="Ergonomic Chair"/>
    <n v="6"/>
    <n v="653.39"/>
    <n v="0.15"/>
    <n v="3332.29"/>
    <n v="2591.96"/>
    <n v="740.33"/>
    <s v="Bank Transfer"/>
  </r>
  <r>
    <s v="ORD-02656"/>
    <x v="156"/>
    <x v="2"/>
    <s v="Pennsylvania"/>
    <s v="Philadelphia"/>
    <s v="Jamie Miller"/>
    <x v="0"/>
    <x v="1"/>
    <s v="Laptops"/>
    <s v="Workstation Laptop"/>
    <n v="8"/>
    <n v="1499.96"/>
    <n v="0"/>
    <n v="11999.68"/>
    <n v="9680.34"/>
    <n v="2319.34"/>
    <s v="Debit Card"/>
  </r>
  <r>
    <s v="ORD-02883"/>
    <x v="156"/>
    <x v="2"/>
    <s v="Pennsylvania"/>
    <s v="Allentown"/>
    <s v="Morgan Davis"/>
    <x v="2"/>
    <x v="0"/>
    <s v="Paper"/>
    <s v="Recycled Paper"/>
    <n v="2"/>
    <n v="17.34"/>
    <n v="0.1"/>
    <n v="31.21"/>
    <n v="20.64"/>
    <n v="10.57"/>
    <s v="Bank Transfer"/>
  </r>
  <r>
    <s v="ORD-02997"/>
    <x v="156"/>
    <x v="3"/>
    <s v="Ohio"/>
    <s v="Cleveland"/>
    <s v="Cameron Clark"/>
    <x v="2"/>
    <x v="2"/>
    <s v="Bookcases"/>
    <s v="3-Shelf Bookcase"/>
    <n v="1"/>
    <n v="214.59"/>
    <n v="0.05"/>
    <n v="203.86"/>
    <n v="164.03"/>
    <n v="39.83"/>
    <s v="Debit Card"/>
  </r>
  <r>
    <s v="ORD-00686"/>
    <x v="157"/>
    <x v="1"/>
    <s v="Florida"/>
    <s v="Orlando"/>
    <s v="Morgan Davis"/>
    <x v="2"/>
    <x v="0"/>
    <s v="Paper"/>
    <s v="Recycled Paper"/>
    <n v="1"/>
    <n v="29.31"/>
    <n v="0"/>
    <n v="29.31"/>
    <n v="18.95"/>
    <n v="10.36"/>
    <s v="Debit Card"/>
  </r>
  <r>
    <s v="ORD-01853"/>
    <x v="157"/>
    <x v="1"/>
    <s v="Texas"/>
    <s v="Austin"/>
    <s v="Drew Anderson"/>
    <x v="1"/>
    <x v="0"/>
    <s v="Printers"/>
    <s v="Laser Printer"/>
    <n v="7"/>
    <n v="185.19"/>
    <n v="0.2"/>
    <n v="1037.06"/>
    <n v="636.46"/>
    <n v="400.6"/>
    <s v="Credit Card"/>
  </r>
  <r>
    <s v="ORD-00334"/>
    <x v="157"/>
    <x v="3"/>
    <s v="Indiana"/>
    <s v="Fort Wayne"/>
    <s v="Casey Brown"/>
    <x v="1"/>
    <x v="2"/>
    <s v="Desks"/>
    <s v="Executive Desk"/>
    <n v="7"/>
    <n v="255.55"/>
    <n v="0.1"/>
    <n v="1609.96"/>
    <n v="1071.82"/>
    <n v="538.14"/>
    <s v="Credit Card"/>
  </r>
  <r>
    <s v="ORD-00676"/>
    <x v="158"/>
    <x v="2"/>
    <s v="New York"/>
    <s v="Buffalo"/>
    <s v="Drew Anderson"/>
    <x v="1"/>
    <x v="0"/>
    <s v="Binders"/>
    <s v="Heavy-Duty Binder"/>
    <n v="4"/>
    <n v="20.420000000000002"/>
    <n v="0.05"/>
    <n v="77.599999999999994"/>
    <n v="43.39"/>
    <n v="34.21"/>
    <s v="Bank Transfer"/>
  </r>
  <r>
    <s v="ORD-02968"/>
    <x v="158"/>
    <x v="2"/>
    <s v="Pennsylvania"/>
    <s v="Allentown"/>
    <s v="Taylor Smith"/>
    <x v="2"/>
    <x v="2"/>
    <s v="Tables"/>
    <s v="Training Table"/>
    <n v="2"/>
    <n v="614"/>
    <n v="0.15"/>
    <n v="1043.8"/>
    <n v="709.28"/>
    <n v="334.52"/>
    <s v="Credit Card"/>
  </r>
  <r>
    <s v="ORD-02122"/>
    <x v="158"/>
    <x v="0"/>
    <s v="California"/>
    <s v="San Diego"/>
    <s v="Taylor Smith"/>
    <x v="0"/>
    <x v="1"/>
    <s v="Monitors"/>
    <s v="27in Monitor"/>
    <n v="5"/>
    <n v="384.24"/>
    <n v="0.1"/>
    <n v="1729.08"/>
    <n v="1358.63"/>
    <n v="370.45"/>
    <s v="Credit Card"/>
  </r>
  <r>
    <s v="ORD-00252"/>
    <x v="158"/>
    <x v="2"/>
    <s v="New Jersey"/>
    <s v="Jersey City"/>
    <s v="Avery Johnson"/>
    <x v="2"/>
    <x v="1"/>
    <s v="Laptops"/>
    <s v="Ultrabook"/>
    <n v="2"/>
    <n v="611.91"/>
    <n v="0.1"/>
    <n v="1101.44"/>
    <n v="896.3"/>
    <n v="205.14"/>
    <s v="Bank Transfer"/>
  </r>
  <r>
    <s v="ORD-02871"/>
    <x v="158"/>
    <x v="0"/>
    <s v="Colorado"/>
    <s v="Denver"/>
    <s v="Jamie Miller"/>
    <x v="0"/>
    <x v="1"/>
    <s v="Monitors"/>
    <s v="27in Monitor"/>
    <n v="8"/>
    <n v="402.35"/>
    <n v="0.05"/>
    <n v="3057.86"/>
    <n v="1754.48"/>
    <n v="1303.3800000000001"/>
    <s v="PayPal"/>
  </r>
  <r>
    <s v="ORD-00928"/>
    <x v="158"/>
    <x v="0"/>
    <s v="Colorado"/>
    <s v="Colorado Springs"/>
    <s v="Jordan Lee"/>
    <x v="2"/>
    <x v="2"/>
    <s v="Tables"/>
    <s v="Conference Table"/>
    <n v="5"/>
    <n v="650.86"/>
    <n v="0.05"/>
    <n v="3091.58"/>
    <n v="2231.04"/>
    <n v="860.54"/>
    <s v="PayPal"/>
  </r>
  <r>
    <s v="ORD-00408"/>
    <x v="158"/>
    <x v="0"/>
    <s v="Washington"/>
    <s v="Seattle"/>
    <s v="Avery Johnson"/>
    <x v="0"/>
    <x v="2"/>
    <s v="Tables"/>
    <s v="Training Table"/>
    <n v="2"/>
    <n v="170.52"/>
    <n v="0.1"/>
    <n v="306.94"/>
    <n v="169.34"/>
    <n v="137.6"/>
    <s v="PayPal"/>
  </r>
  <r>
    <s v="ORD-00303"/>
    <x v="158"/>
    <x v="3"/>
    <s v="Michigan"/>
    <s v="Grand Rapids"/>
    <s v="Taylor Smith"/>
    <x v="1"/>
    <x v="1"/>
    <s v="Monitors"/>
    <s v="34in Monitor"/>
    <n v="2"/>
    <n v="406.04"/>
    <n v="0"/>
    <n v="812.08"/>
    <n v="457.53"/>
    <n v="354.55"/>
    <s v="Bank Transfer"/>
  </r>
  <r>
    <s v="ORD-00663"/>
    <x v="158"/>
    <x v="2"/>
    <s v="Pennsylvania"/>
    <s v="Philadelphia"/>
    <s v="Cameron Clark"/>
    <x v="0"/>
    <x v="0"/>
    <s v="Binders"/>
    <s v="Heavy-Duty Binder"/>
    <n v="6"/>
    <n v="28.02"/>
    <n v="0.1"/>
    <n v="151.31"/>
    <n v="92.79"/>
    <n v="58.52"/>
    <s v="Bank Transfer"/>
  </r>
  <r>
    <s v="ORD-00933"/>
    <x v="158"/>
    <x v="2"/>
    <s v="Pennsylvania"/>
    <s v="Allentown"/>
    <s v="Jordan Lee"/>
    <x v="0"/>
    <x v="0"/>
    <s v="Pens"/>
    <s v="Gel Pens"/>
    <n v="2"/>
    <n v="23.29"/>
    <n v="0.15"/>
    <n v="39.590000000000003"/>
    <n v="23.81"/>
    <n v="15.78"/>
    <s v="Debit Card"/>
  </r>
  <r>
    <s v="ORD-00556"/>
    <x v="158"/>
    <x v="0"/>
    <s v="Arizona"/>
    <s v="Tucson"/>
    <s v="Jamie Miller"/>
    <x v="2"/>
    <x v="1"/>
    <s v="Headsets"/>
    <s v="Noise-Canceling Headset"/>
    <n v="2"/>
    <n v="130"/>
    <n v="0.2"/>
    <n v="208"/>
    <n v="162.38"/>
    <n v="45.62"/>
    <s v="Bank Transfer"/>
  </r>
  <r>
    <s v="ORD-01231"/>
    <x v="158"/>
    <x v="3"/>
    <s v="Minnesota"/>
    <s v="Minneapolis"/>
    <s v="Cameron Clark"/>
    <x v="0"/>
    <x v="1"/>
    <s v="Monitors"/>
    <s v="24in Monitor"/>
    <n v="10"/>
    <n v="560.28"/>
    <n v="0"/>
    <n v="5602.8"/>
    <n v="3304.25"/>
    <n v="2298.5500000000002"/>
    <s v="Bank Transfer"/>
  </r>
  <r>
    <s v="ORD-01330"/>
    <x v="158"/>
    <x v="2"/>
    <s v="New Jersey"/>
    <s v="Jersey City"/>
    <s v="Avery Johnson"/>
    <x v="1"/>
    <x v="1"/>
    <s v="Keyboards"/>
    <s v="Wireless Keyboard"/>
    <n v="5"/>
    <n v="34.14"/>
    <n v="0"/>
    <n v="170.7"/>
    <n v="121"/>
    <n v="49.7"/>
    <s v="Bank Transfer"/>
  </r>
  <r>
    <s v="ORD-02265"/>
    <x v="159"/>
    <x v="1"/>
    <s v="Georgia"/>
    <s v="Savannah"/>
    <s v="Jamie Miller"/>
    <x v="1"/>
    <x v="0"/>
    <s v="Binders"/>
    <s v="3-Ring Binder"/>
    <n v="10"/>
    <n v="17.329999999999998"/>
    <n v="0.05"/>
    <n v="164.63"/>
    <n v="126.03"/>
    <n v="38.6"/>
    <s v="Bank Transfer"/>
  </r>
  <r>
    <s v="ORD-00987"/>
    <x v="159"/>
    <x v="0"/>
    <s v="California"/>
    <s v="San Jose"/>
    <s v="Jordan Lee"/>
    <x v="2"/>
    <x v="1"/>
    <s v="Keyboards"/>
    <s v="Wireless Keyboard"/>
    <n v="7"/>
    <n v="103.21"/>
    <n v="0.05"/>
    <n v="686.35"/>
    <n v="536.48"/>
    <n v="149.87"/>
    <s v="Bank Transfer"/>
  </r>
  <r>
    <s v="ORD-00631"/>
    <x v="159"/>
    <x v="2"/>
    <s v="New Jersey"/>
    <s v="Jersey City"/>
    <s v="Jordan Lee"/>
    <x v="0"/>
    <x v="0"/>
    <s v="Printers"/>
    <s v="Color Printer"/>
    <n v="3"/>
    <n v="370.46"/>
    <n v="0.1"/>
    <n v="1000.24"/>
    <n v="565.54"/>
    <n v="434.7"/>
    <s v="Bank Transfer"/>
  </r>
  <r>
    <s v="ORD-00434"/>
    <x v="159"/>
    <x v="0"/>
    <s v="Colorado"/>
    <s v="Boulder"/>
    <s v="Taylor Smith"/>
    <x v="1"/>
    <x v="0"/>
    <s v="Binders"/>
    <s v="Presentation Binder"/>
    <n v="9"/>
    <n v="17.21"/>
    <n v="0"/>
    <n v="154.88999999999999"/>
    <n v="103.08"/>
    <n v="51.81"/>
    <s v="Debit Card"/>
  </r>
  <r>
    <s v="ORD-01431"/>
    <x v="159"/>
    <x v="2"/>
    <s v="Pennsylvania"/>
    <s v="Pittsburgh"/>
    <s v="Cameron Clark"/>
    <x v="0"/>
    <x v="0"/>
    <s v="Printers"/>
    <s v="Color Printer"/>
    <n v="5"/>
    <n v="140.59"/>
    <n v="0.05"/>
    <n v="667.8"/>
    <n v="526.88"/>
    <n v="140.91999999999999"/>
    <s v="Credit Card"/>
  </r>
  <r>
    <s v="ORD-02231"/>
    <x v="159"/>
    <x v="1"/>
    <s v="Texas"/>
    <s v="Dallas"/>
    <s v="Casey Brown"/>
    <x v="0"/>
    <x v="1"/>
    <s v="Monitors"/>
    <s v="27in Monitor"/>
    <n v="2"/>
    <n v="689.05"/>
    <n v="0.05"/>
    <n v="1309.2"/>
    <n v="1016.63"/>
    <n v="292.57"/>
    <s v="Debit Card"/>
  </r>
  <r>
    <s v="ORD-02917"/>
    <x v="159"/>
    <x v="3"/>
    <s v="Illinois"/>
    <s v="Chicago"/>
    <s v="Drew Anderson"/>
    <x v="0"/>
    <x v="1"/>
    <s v="Laptops"/>
    <s v="Workstation Laptop"/>
    <n v="3"/>
    <n v="782.93"/>
    <n v="0"/>
    <n v="2348.79"/>
    <n v="1610.1"/>
    <n v="738.69"/>
    <s v="Debit Card"/>
  </r>
  <r>
    <s v="ORD-02732"/>
    <x v="159"/>
    <x v="1"/>
    <s v="Georgia"/>
    <s v="Augusta"/>
    <s v="Avery Johnson"/>
    <x v="2"/>
    <x v="0"/>
    <s v="Paper"/>
    <s v="Copy Paper"/>
    <n v="6"/>
    <n v="24.01"/>
    <n v="0.15"/>
    <n v="122.45"/>
    <n v="88.34"/>
    <n v="34.11"/>
    <s v="Debit Card"/>
  </r>
  <r>
    <s v="ORD-00395"/>
    <x v="159"/>
    <x v="3"/>
    <s v="Michigan"/>
    <s v="Lansing"/>
    <s v="Avery Johnson"/>
    <x v="2"/>
    <x v="2"/>
    <s v="Bookcases"/>
    <s v="Storage Bookcase"/>
    <n v="5"/>
    <n v="347.38"/>
    <n v="0.05"/>
    <n v="1650.06"/>
    <n v="1008.9"/>
    <n v="641.16"/>
    <s v="Credit Card"/>
  </r>
  <r>
    <s v="ORD-00099"/>
    <x v="159"/>
    <x v="1"/>
    <s v="North Carolina"/>
    <s v="Raleigh"/>
    <s v="Casey Brown"/>
    <x v="0"/>
    <x v="1"/>
    <s v="Headsets"/>
    <s v="Wireless Headset"/>
    <n v="6"/>
    <n v="214.74"/>
    <n v="0"/>
    <n v="1288.44"/>
    <n v="718.68"/>
    <n v="569.76"/>
    <s v="Debit Card"/>
  </r>
  <r>
    <s v="ORD-00201"/>
    <x v="160"/>
    <x v="3"/>
    <s v="Illinois"/>
    <s v="Chicago"/>
    <s v="Casey Brown"/>
    <x v="2"/>
    <x v="0"/>
    <s v="Pens"/>
    <s v="Ballpoint Pens"/>
    <n v="4"/>
    <n v="14.79"/>
    <n v="0.05"/>
    <n v="56.2"/>
    <n v="32.99"/>
    <n v="23.21"/>
    <s v="Debit Card"/>
  </r>
  <r>
    <s v="ORD-01042"/>
    <x v="160"/>
    <x v="1"/>
    <s v="Georgia"/>
    <s v="Augusta"/>
    <s v="Drew Anderson"/>
    <x v="1"/>
    <x v="1"/>
    <s v="Laptops"/>
    <s v="Business Laptop"/>
    <n v="3"/>
    <n v="1435.47"/>
    <n v="0"/>
    <n v="4306.41"/>
    <n v="2731.45"/>
    <n v="1574.96"/>
    <s v="PayPal"/>
  </r>
  <r>
    <s v="ORD-00192"/>
    <x v="160"/>
    <x v="3"/>
    <s v="Ohio"/>
    <s v="Cleveland"/>
    <s v="Avery Johnson"/>
    <x v="1"/>
    <x v="1"/>
    <s v="Headsets"/>
    <s v="USB Headset"/>
    <n v="2"/>
    <n v="245.94"/>
    <n v="0.2"/>
    <n v="393.5"/>
    <n v="244.17"/>
    <n v="149.33000000000001"/>
    <s v="Debit Card"/>
  </r>
  <r>
    <s v="ORD-01635"/>
    <x v="160"/>
    <x v="2"/>
    <s v="Massachusetts"/>
    <s v="Worcester"/>
    <s v="Jordan Lee"/>
    <x v="2"/>
    <x v="0"/>
    <s v="Pens"/>
    <s v="Ballpoint Pens"/>
    <n v="9"/>
    <n v="24.31"/>
    <n v="0"/>
    <n v="218.79"/>
    <n v="145.30000000000001"/>
    <n v="73.489999999999995"/>
    <s v="Bank Transfer"/>
  </r>
  <r>
    <s v="ORD-00011"/>
    <x v="160"/>
    <x v="3"/>
    <s v="Indiana"/>
    <s v="Evansville"/>
    <s v="Morgan Davis"/>
    <x v="2"/>
    <x v="2"/>
    <s v="Bookcases"/>
    <s v="5-Shelf Bookcase"/>
    <n v="1"/>
    <n v="127.38"/>
    <n v="0.15"/>
    <n v="108.27"/>
    <n v="65.400000000000006"/>
    <n v="42.87"/>
    <s v="Bank Transfer"/>
  </r>
  <r>
    <s v="ORD-02915"/>
    <x v="160"/>
    <x v="2"/>
    <s v="Vermont"/>
    <s v="Rutland"/>
    <s v="Morgan Davis"/>
    <x v="2"/>
    <x v="0"/>
    <s v="Printers"/>
    <s v="Color Printer"/>
    <n v="5"/>
    <n v="382.22"/>
    <n v="0"/>
    <n v="1911.1"/>
    <n v="1503.48"/>
    <n v="407.62"/>
    <s v="PayPal"/>
  </r>
  <r>
    <s v="ORD-02887"/>
    <x v="160"/>
    <x v="0"/>
    <s v="California"/>
    <s v="Los Angeles"/>
    <s v="Avery Johnson"/>
    <x v="1"/>
    <x v="1"/>
    <s v="Monitors"/>
    <s v="34in Monitor"/>
    <n v="9"/>
    <n v="490.51"/>
    <n v="0"/>
    <n v="4414.59"/>
    <n v="3466.19"/>
    <n v="948.4"/>
    <s v="PayPal"/>
  </r>
  <r>
    <s v="ORD-02703"/>
    <x v="161"/>
    <x v="0"/>
    <s v="Colorado"/>
    <s v="Denver"/>
    <s v="Jordan Lee"/>
    <x v="1"/>
    <x v="0"/>
    <s v="Printers"/>
    <s v="Laser Printer"/>
    <n v="8"/>
    <n v="120.82"/>
    <n v="0.2"/>
    <n v="773.25"/>
    <n v="615.36"/>
    <n v="157.88999999999999"/>
    <s v="Bank Transfer"/>
  </r>
  <r>
    <s v="ORD-01907"/>
    <x v="161"/>
    <x v="2"/>
    <s v="Massachusetts"/>
    <s v="Springfield"/>
    <s v="Cameron Clark"/>
    <x v="0"/>
    <x v="0"/>
    <s v="Printers"/>
    <s v="All-in-One Printer"/>
    <n v="4"/>
    <n v="167.94"/>
    <n v="0.05"/>
    <n v="638.16999999999996"/>
    <n v="522.89"/>
    <n v="115.28"/>
    <s v="Debit Card"/>
  </r>
  <r>
    <s v="ORD-02298"/>
    <x v="161"/>
    <x v="3"/>
    <s v="Minnesota"/>
    <s v="Rochester"/>
    <s v="Riley Wilson"/>
    <x v="1"/>
    <x v="1"/>
    <s v="Headsets"/>
    <s v="Wireless Headset"/>
    <n v="9"/>
    <n v="99.02"/>
    <n v="0"/>
    <n v="891.18"/>
    <n v="557.42999999999995"/>
    <n v="333.75"/>
    <s v="Debit Card"/>
  </r>
  <r>
    <s v="ORD-00163"/>
    <x v="161"/>
    <x v="0"/>
    <s v="Oregon"/>
    <s v="Eugene"/>
    <s v="Taylor Smith"/>
    <x v="0"/>
    <x v="1"/>
    <s v="Headsets"/>
    <s v="Noise-Canceling Headset"/>
    <n v="4"/>
    <n v="139.63"/>
    <n v="0.05"/>
    <n v="530.59"/>
    <n v="304.14999999999998"/>
    <n v="226.44"/>
    <s v="Bank Transfer"/>
  </r>
  <r>
    <s v="ORD-00092"/>
    <x v="161"/>
    <x v="0"/>
    <s v="Washington"/>
    <s v="Seattle"/>
    <s v="Riley Wilson"/>
    <x v="2"/>
    <x v="1"/>
    <s v="Monitors"/>
    <s v="34in Monitor"/>
    <n v="4"/>
    <n v="658.62"/>
    <n v="0.15"/>
    <n v="2239.31"/>
    <n v="1376.26"/>
    <n v="863.05"/>
    <s v="Credit Card"/>
  </r>
  <r>
    <s v="ORD-00599"/>
    <x v="161"/>
    <x v="0"/>
    <s v="Colorado"/>
    <s v="Colorado Springs"/>
    <s v="Riley Wilson"/>
    <x v="0"/>
    <x v="1"/>
    <s v="Headsets"/>
    <s v="USB Headset"/>
    <n v="3"/>
    <n v="172.31"/>
    <n v="0.1"/>
    <n v="465.24"/>
    <n v="317.70999999999998"/>
    <n v="147.53"/>
    <s v="PayPal"/>
  </r>
  <r>
    <s v="ORD-01269"/>
    <x v="161"/>
    <x v="2"/>
    <s v="New York"/>
    <s v="New York City"/>
    <s v="Alex Morgan"/>
    <x v="1"/>
    <x v="0"/>
    <s v="Paper"/>
    <s v="Recycled Paper"/>
    <n v="4"/>
    <n v="18.920000000000002"/>
    <n v="0.2"/>
    <n v="60.54"/>
    <n v="43.98"/>
    <n v="16.559999999999999"/>
    <s v="PayPal"/>
  </r>
  <r>
    <s v="ORD-00307"/>
    <x v="161"/>
    <x v="0"/>
    <s v="Oregon"/>
    <s v="Eugene"/>
    <s v="Riley Wilson"/>
    <x v="0"/>
    <x v="2"/>
    <s v="Chairs"/>
    <s v="Task Chair"/>
    <n v="8"/>
    <n v="607.44000000000005"/>
    <n v="0"/>
    <n v="4859.5200000000004"/>
    <n v="2894.95"/>
    <n v="1964.57"/>
    <s v="Bank Transfer"/>
  </r>
  <r>
    <s v="ORD-00375"/>
    <x v="161"/>
    <x v="2"/>
    <s v="Pennsylvania"/>
    <s v="Allentown"/>
    <s v="Casey Brown"/>
    <x v="1"/>
    <x v="0"/>
    <s v="Pens"/>
    <s v="Ballpoint Pens"/>
    <n v="1"/>
    <n v="12.09"/>
    <n v="0.15"/>
    <n v="10.28"/>
    <n v="5.82"/>
    <n v="4.46"/>
    <s v="Debit Card"/>
  </r>
  <r>
    <s v="ORD-01728"/>
    <x v="161"/>
    <x v="2"/>
    <s v="Massachusetts"/>
    <s v="Worcester"/>
    <s v="Avery Johnson"/>
    <x v="0"/>
    <x v="0"/>
    <s v="Paper"/>
    <s v="Premium Paper"/>
    <n v="4"/>
    <n v="13.21"/>
    <n v="0.1"/>
    <n v="47.56"/>
    <n v="38.83"/>
    <n v="8.73"/>
    <s v="Credit Card"/>
  </r>
  <r>
    <s v="ORD-02931"/>
    <x v="161"/>
    <x v="1"/>
    <s v="Florida"/>
    <s v="Orlando"/>
    <s v="Avery Johnson"/>
    <x v="0"/>
    <x v="2"/>
    <s v="Tables"/>
    <s v="Side Table"/>
    <n v="9"/>
    <n v="303.89999999999998"/>
    <n v="0.15"/>
    <n v="2324.84"/>
    <n v="1696.58"/>
    <n v="628.26"/>
    <s v="Bank Transfer"/>
  </r>
  <r>
    <s v="ORD-01512"/>
    <x v="161"/>
    <x v="3"/>
    <s v="Illinois"/>
    <s v="Springfield"/>
    <s v="Jordan Lee"/>
    <x v="1"/>
    <x v="1"/>
    <s v="Monitors"/>
    <s v="27in Monitor"/>
    <n v="2"/>
    <n v="665.78"/>
    <n v="0.05"/>
    <n v="1264.98"/>
    <n v="922.18"/>
    <n v="342.8"/>
    <s v="Bank Transfer"/>
  </r>
  <r>
    <s v="ORD-00653"/>
    <x v="162"/>
    <x v="3"/>
    <s v="Indiana"/>
    <s v="Indianapolis"/>
    <s v="Morgan Davis"/>
    <x v="0"/>
    <x v="0"/>
    <s v="Printers"/>
    <s v="Laser Printer"/>
    <n v="5"/>
    <n v="325.02999999999997"/>
    <n v="0"/>
    <n v="1625.15"/>
    <n v="1183.3699999999999"/>
    <n v="441.78"/>
    <s v="PayPal"/>
  </r>
  <r>
    <s v="ORD-00339"/>
    <x v="162"/>
    <x v="0"/>
    <s v="Arizona"/>
    <s v="Phoenix"/>
    <s v="Drew Anderson"/>
    <x v="1"/>
    <x v="1"/>
    <s v="Laptops"/>
    <s v="Workstation Laptop"/>
    <n v="9"/>
    <n v="951.3"/>
    <n v="0"/>
    <n v="8561.7000000000007"/>
    <n v="6121.8"/>
    <n v="2439.9"/>
    <s v="Credit Card"/>
  </r>
  <r>
    <s v="ORD-01993"/>
    <x v="162"/>
    <x v="3"/>
    <s v="Ohio"/>
    <s v="Cleveland"/>
    <s v="Avery Johnson"/>
    <x v="2"/>
    <x v="1"/>
    <s v="Monitors"/>
    <s v="34in Monitor"/>
    <n v="2"/>
    <n v="420.2"/>
    <n v="0.1"/>
    <n v="756.36"/>
    <n v="477.46"/>
    <n v="278.89999999999998"/>
    <s v="PayPal"/>
  </r>
  <r>
    <s v="ORD-00910"/>
    <x v="162"/>
    <x v="1"/>
    <s v="Texas"/>
    <s v="Houston"/>
    <s v="Alex Morgan"/>
    <x v="1"/>
    <x v="1"/>
    <s v="Laptops"/>
    <s v="Workstation Laptop"/>
    <n v="5"/>
    <n v="882.32"/>
    <n v="0.05"/>
    <n v="4191.0200000000004"/>
    <n v="2920.42"/>
    <n v="1270.5999999999999"/>
    <s v="Bank Transfer"/>
  </r>
  <r>
    <s v="ORD-01129"/>
    <x v="162"/>
    <x v="1"/>
    <s v="Texas"/>
    <s v="Dallas"/>
    <s v="Morgan Davis"/>
    <x v="0"/>
    <x v="1"/>
    <s v="Headsets"/>
    <s v="USB Headset"/>
    <n v="5"/>
    <n v="168.38"/>
    <n v="0.1"/>
    <n v="757.71"/>
    <n v="600.63"/>
    <n v="157.08000000000001"/>
    <s v="Credit Card"/>
  </r>
  <r>
    <s v="ORD-00067"/>
    <x v="162"/>
    <x v="0"/>
    <s v="Arizona"/>
    <s v="Mesa"/>
    <s v="Casey Brown"/>
    <x v="0"/>
    <x v="0"/>
    <s v="Printers"/>
    <s v="Color Printer"/>
    <n v="1"/>
    <n v="431.35"/>
    <n v="0.1"/>
    <n v="388.22"/>
    <n v="265.52"/>
    <n v="122.7"/>
    <s v="PayPal"/>
  </r>
  <r>
    <s v="ORD-02902"/>
    <x v="163"/>
    <x v="1"/>
    <s v="Texas"/>
    <s v="Austin"/>
    <s v="Drew Anderson"/>
    <x v="2"/>
    <x v="1"/>
    <s v="Monitors"/>
    <s v="34in Monitor"/>
    <n v="2"/>
    <n v="442.58"/>
    <n v="0.1"/>
    <n v="796.64"/>
    <n v="613.52"/>
    <n v="183.12"/>
    <s v="Credit Card"/>
  </r>
  <r>
    <s v="ORD-01164"/>
    <x v="163"/>
    <x v="1"/>
    <s v="Florida"/>
    <s v="Tampa"/>
    <s v="Alex Morgan"/>
    <x v="0"/>
    <x v="0"/>
    <s v="Paper"/>
    <s v="Recycled Paper"/>
    <n v="6"/>
    <n v="19.809999999999999"/>
    <n v="0.1"/>
    <n v="106.97"/>
    <n v="62.19"/>
    <n v="44.78"/>
    <s v="Bank Transfer"/>
  </r>
  <r>
    <s v="ORD-00776"/>
    <x v="163"/>
    <x v="2"/>
    <s v="New Jersey"/>
    <s v="Jersey City"/>
    <s v="Drew Anderson"/>
    <x v="2"/>
    <x v="2"/>
    <s v="Chairs"/>
    <s v="Task Chair"/>
    <n v="7"/>
    <n v="387.16"/>
    <n v="0.15"/>
    <n v="2303.6"/>
    <n v="1780.98"/>
    <n v="522.62"/>
    <s v="Debit Card"/>
  </r>
  <r>
    <s v="ORD-00239"/>
    <x v="163"/>
    <x v="3"/>
    <s v="Indiana"/>
    <s v="Evansville"/>
    <s v="Drew Anderson"/>
    <x v="2"/>
    <x v="2"/>
    <s v="Tables"/>
    <s v="Side Table"/>
    <n v="5"/>
    <n v="292.41000000000003"/>
    <n v="0"/>
    <n v="1462.05"/>
    <n v="1035.1099999999999"/>
    <n v="426.94"/>
    <s v="PayPal"/>
  </r>
  <r>
    <s v="ORD-01957"/>
    <x v="163"/>
    <x v="1"/>
    <s v="Florida"/>
    <s v="Miami"/>
    <s v="Casey Brown"/>
    <x v="1"/>
    <x v="1"/>
    <s v="Keyboards"/>
    <s v="Mechanical Keyboard"/>
    <n v="1"/>
    <n v="64"/>
    <n v="0"/>
    <n v="64"/>
    <n v="46.6"/>
    <n v="17.399999999999999"/>
    <s v="PayPal"/>
  </r>
  <r>
    <s v="ORD-02061"/>
    <x v="163"/>
    <x v="2"/>
    <s v="New Jersey"/>
    <s v="Newark"/>
    <s v="Alex Morgan"/>
    <x v="1"/>
    <x v="2"/>
    <s v="Tables"/>
    <s v="Side Table"/>
    <n v="2"/>
    <n v="621.9"/>
    <n v="0.05"/>
    <n v="1181.6099999999999"/>
    <n v="742.87"/>
    <n v="438.74"/>
    <s v="PayPal"/>
  </r>
  <r>
    <s v="ORD-02846"/>
    <x v="163"/>
    <x v="0"/>
    <s v="Arizona"/>
    <s v="Tucson"/>
    <s v="Alex Morgan"/>
    <x v="1"/>
    <x v="2"/>
    <s v="Desks"/>
    <s v="Standing Desk"/>
    <n v="6"/>
    <n v="872.53"/>
    <n v="0.05"/>
    <n v="4973.42"/>
    <n v="3602.73"/>
    <n v="1370.69"/>
    <s v="Credit Card"/>
  </r>
  <r>
    <s v="ORD-02391"/>
    <x v="164"/>
    <x v="1"/>
    <s v="Virginia"/>
    <s v="Richmond"/>
    <s v="Alex Morgan"/>
    <x v="0"/>
    <x v="1"/>
    <s v="Headsets"/>
    <s v="Noise-Canceling Headset"/>
    <n v="4"/>
    <n v="108.49"/>
    <n v="0.1"/>
    <n v="390.56"/>
    <n v="218.94"/>
    <n v="171.62"/>
    <s v="Bank Transfer"/>
  </r>
  <r>
    <s v="ORD-00009"/>
    <x v="164"/>
    <x v="3"/>
    <s v="Ohio"/>
    <s v="Cincinnati"/>
    <s v="Alex Morgan"/>
    <x v="2"/>
    <x v="1"/>
    <s v="Monitors"/>
    <s v="27in Monitor"/>
    <n v="7"/>
    <n v="160.09"/>
    <n v="0.15"/>
    <n v="952.54"/>
    <n v="667.84"/>
    <n v="284.7"/>
    <s v="Bank Transfer"/>
  </r>
  <r>
    <s v="ORD-01437"/>
    <x v="164"/>
    <x v="1"/>
    <s v="Georgia"/>
    <s v="Atlanta"/>
    <s v="Morgan Davis"/>
    <x v="2"/>
    <x v="0"/>
    <s v="Paper"/>
    <s v="Recycled Paper"/>
    <n v="7"/>
    <n v="24.91"/>
    <n v="0"/>
    <n v="174.37"/>
    <n v="115.07"/>
    <n v="59.3"/>
    <s v="Bank Transfer"/>
  </r>
  <r>
    <s v="ORD-00426"/>
    <x v="164"/>
    <x v="2"/>
    <s v="New Jersey"/>
    <s v="Jersey City"/>
    <s v="Taylor Smith"/>
    <x v="0"/>
    <x v="0"/>
    <s v="Printers"/>
    <s v="Laser Printer"/>
    <n v="4"/>
    <n v="268.02"/>
    <n v="0.05"/>
    <n v="1018.48"/>
    <n v="812.55"/>
    <n v="205.93"/>
    <s v="Credit Card"/>
  </r>
  <r>
    <s v="ORD-00536"/>
    <x v="164"/>
    <x v="1"/>
    <s v="Texas"/>
    <s v="Dallas"/>
    <s v="Avery Johnson"/>
    <x v="0"/>
    <x v="1"/>
    <s v="Laptops"/>
    <s v="Ultrabook"/>
    <n v="1"/>
    <n v="1579.75"/>
    <n v="0.1"/>
    <n v="1421.78"/>
    <n v="1073.69"/>
    <n v="348.09"/>
    <s v="Credit Card"/>
  </r>
  <r>
    <s v="ORD-02477"/>
    <x v="164"/>
    <x v="0"/>
    <s v="Colorado"/>
    <s v="Boulder"/>
    <s v="Taylor Smith"/>
    <x v="0"/>
    <x v="1"/>
    <s v="Keyboards"/>
    <s v="Mechanical Keyboard"/>
    <n v="2"/>
    <n v="87.68"/>
    <n v="0.1"/>
    <n v="157.82"/>
    <n v="105.25"/>
    <n v="52.57"/>
    <s v="PayPal"/>
  </r>
  <r>
    <s v="ORD-00712"/>
    <x v="164"/>
    <x v="1"/>
    <s v="Texas"/>
    <s v="Austin"/>
    <s v="Morgan Davis"/>
    <x v="0"/>
    <x v="2"/>
    <s v="Bookcases"/>
    <s v="5-Shelf Bookcase"/>
    <n v="6"/>
    <n v="240.61"/>
    <n v="0.05"/>
    <n v="1371.48"/>
    <n v="897.94"/>
    <n v="473.54"/>
    <s v="Bank Transfer"/>
  </r>
  <r>
    <s v="ORD-00734"/>
    <x v="164"/>
    <x v="0"/>
    <s v="Arizona"/>
    <s v="Phoenix"/>
    <s v="Taylor Smith"/>
    <x v="0"/>
    <x v="1"/>
    <s v="Headsets"/>
    <s v="Wireless Headset"/>
    <n v="4"/>
    <n v="233.07"/>
    <n v="0.2"/>
    <n v="745.82"/>
    <n v="514.77"/>
    <n v="231.05"/>
    <s v="Debit Card"/>
  </r>
  <r>
    <s v="ORD-02041"/>
    <x v="164"/>
    <x v="2"/>
    <s v="Vermont"/>
    <s v="Burlington"/>
    <s v="Riley Wilson"/>
    <x v="1"/>
    <x v="1"/>
    <s v="Laptops"/>
    <s v="Ultrabook"/>
    <n v="9"/>
    <n v="1221.9000000000001"/>
    <n v="0"/>
    <n v="10997.1"/>
    <n v="6968.69"/>
    <n v="4028.41"/>
    <s v="Debit Card"/>
  </r>
  <r>
    <s v="ORD-02810"/>
    <x v="164"/>
    <x v="0"/>
    <s v="Colorado"/>
    <s v="Denver"/>
    <s v="Casey Brown"/>
    <x v="0"/>
    <x v="1"/>
    <s v="Monitors"/>
    <s v="24in Monitor"/>
    <n v="9"/>
    <n v="465.28"/>
    <n v="0"/>
    <n v="4187.5200000000004"/>
    <n v="3295.65"/>
    <n v="891.87"/>
    <s v="Debit Card"/>
  </r>
  <r>
    <s v="ORD-00896"/>
    <x v="164"/>
    <x v="0"/>
    <s v="California"/>
    <s v="San Diego"/>
    <s v="Taylor Smith"/>
    <x v="2"/>
    <x v="0"/>
    <s v="Paper"/>
    <s v="Recycled Paper"/>
    <n v="10"/>
    <n v="29.41"/>
    <n v="0"/>
    <n v="294.10000000000002"/>
    <n v="221.79"/>
    <n v="72.31"/>
    <s v="Credit Card"/>
  </r>
  <r>
    <s v="ORD-00522"/>
    <x v="165"/>
    <x v="3"/>
    <s v="Indiana"/>
    <s v="Indianapolis"/>
    <s v="Casey Brown"/>
    <x v="0"/>
    <x v="0"/>
    <s v="Paper"/>
    <s v="Copy Paper"/>
    <n v="6"/>
    <n v="32.369999999999997"/>
    <n v="0.2"/>
    <n v="155.38"/>
    <n v="111.02"/>
    <n v="44.36"/>
    <s v="Bank Transfer"/>
  </r>
  <r>
    <s v="ORD-01134"/>
    <x v="165"/>
    <x v="3"/>
    <s v="Indiana"/>
    <s v="Indianapolis"/>
    <s v="Morgan Davis"/>
    <x v="1"/>
    <x v="1"/>
    <s v="Keyboards"/>
    <s v="Ergonomic Keyboard"/>
    <n v="8"/>
    <n v="31.63"/>
    <n v="0.1"/>
    <n v="227.74"/>
    <n v="177.29"/>
    <n v="50.45"/>
    <s v="Credit Card"/>
  </r>
  <r>
    <s v="ORD-00578"/>
    <x v="165"/>
    <x v="1"/>
    <s v="Georgia"/>
    <s v="Augusta"/>
    <s v="Taylor Smith"/>
    <x v="2"/>
    <x v="0"/>
    <s v="Pens"/>
    <s v="Gel Pens"/>
    <n v="6"/>
    <n v="17.079999999999998"/>
    <n v="0.2"/>
    <n v="81.98"/>
    <n v="45.58"/>
    <n v="36.4"/>
    <s v="Bank Transfer"/>
  </r>
  <r>
    <s v="ORD-02962"/>
    <x v="165"/>
    <x v="2"/>
    <s v="Vermont"/>
    <s v="Burlington"/>
    <s v="Riley Wilson"/>
    <x v="2"/>
    <x v="2"/>
    <s v="Desks"/>
    <s v="Work Desk"/>
    <n v="5"/>
    <n v="693.74"/>
    <n v="0.2"/>
    <n v="2774.96"/>
    <n v="1699.92"/>
    <n v="1075.04"/>
    <s v="Debit Card"/>
  </r>
  <r>
    <s v="ORD-00121"/>
    <x v="165"/>
    <x v="0"/>
    <s v="Arizona"/>
    <s v="Phoenix"/>
    <s v="Cameron Clark"/>
    <x v="0"/>
    <x v="2"/>
    <s v="Chairs"/>
    <s v="Ergonomic Chair"/>
    <n v="10"/>
    <n v="461.47"/>
    <n v="0.05"/>
    <n v="4383.96"/>
    <n v="2746.09"/>
    <n v="1637.87"/>
    <s v="Credit Card"/>
  </r>
  <r>
    <s v="ORD-01974"/>
    <x v="165"/>
    <x v="0"/>
    <s v="California"/>
    <s v="San Jose"/>
    <s v="Riley Wilson"/>
    <x v="2"/>
    <x v="0"/>
    <s v="Printers"/>
    <s v="Laser Printer"/>
    <n v="2"/>
    <n v="161.36000000000001"/>
    <n v="0"/>
    <n v="322.72000000000003"/>
    <n v="257.5"/>
    <n v="65.22"/>
    <s v="Bank Transfer"/>
  </r>
  <r>
    <s v="ORD-00549"/>
    <x v="166"/>
    <x v="1"/>
    <s v="Georgia"/>
    <s v="Atlanta"/>
    <s v="Jordan Lee"/>
    <x v="0"/>
    <x v="0"/>
    <s v="Binders"/>
    <s v="3-Ring Binder"/>
    <n v="8"/>
    <n v="19.559999999999999"/>
    <n v="0"/>
    <n v="156.47999999999999"/>
    <n v="126.44"/>
    <n v="30.04"/>
    <s v="Bank Transfer"/>
  </r>
  <r>
    <s v="ORD-00669"/>
    <x v="166"/>
    <x v="2"/>
    <s v="Vermont"/>
    <s v="Rutland"/>
    <s v="Riley Wilson"/>
    <x v="0"/>
    <x v="1"/>
    <s v="Monitors"/>
    <s v="27in Monitor"/>
    <n v="10"/>
    <n v="628.96"/>
    <n v="0.05"/>
    <n v="5975.12"/>
    <n v="4545.91"/>
    <n v="1429.21"/>
    <s v="Credit Card"/>
  </r>
  <r>
    <s v="ORD-00697"/>
    <x v="166"/>
    <x v="3"/>
    <s v="Minnesota"/>
    <s v="Rochester"/>
    <s v="Avery Johnson"/>
    <x v="2"/>
    <x v="2"/>
    <s v="Tables"/>
    <s v="Conference Table"/>
    <n v="5"/>
    <n v="233.79"/>
    <n v="0.05"/>
    <n v="1110.5"/>
    <n v="878.37"/>
    <n v="232.13"/>
    <s v="Debit Card"/>
  </r>
  <r>
    <s v="ORD-01523"/>
    <x v="166"/>
    <x v="2"/>
    <s v="New Jersey"/>
    <s v="Newark"/>
    <s v="Jordan Lee"/>
    <x v="0"/>
    <x v="1"/>
    <s v="Laptops"/>
    <s v="Ultrabook"/>
    <n v="8"/>
    <n v="1395.86"/>
    <n v="0.1"/>
    <n v="10050.19"/>
    <n v="7586.52"/>
    <n v="2463.67"/>
    <s v="Credit Card"/>
  </r>
  <r>
    <s v="ORD-02757"/>
    <x v="166"/>
    <x v="2"/>
    <s v="Vermont"/>
    <s v="Burlington"/>
    <s v="Riley Wilson"/>
    <x v="0"/>
    <x v="0"/>
    <s v="Printers"/>
    <s v="Color Printer"/>
    <n v="8"/>
    <n v="493.84"/>
    <n v="0.1"/>
    <n v="3555.65"/>
    <n v="2415.89"/>
    <n v="1139.76"/>
    <s v="Bank Transfer"/>
  </r>
  <r>
    <s v="ORD-01980"/>
    <x v="166"/>
    <x v="1"/>
    <s v="Georgia"/>
    <s v="Savannah"/>
    <s v="Jordan Lee"/>
    <x v="0"/>
    <x v="1"/>
    <s v="Laptops"/>
    <s v="Workstation Laptop"/>
    <n v="10"/>
    <n v="693.34"/>
    <n v="0.05"/>
    <n v="6586.73"/>
    <n v="4658.0600000000004"/>
    <n v="1928.67"/>
    <s v="Bank Transfer"/>
  </r>
  <r>
    <s v="ORD-00209"/>
    <x v="167"/>
    <x v="1"/>
    <s v="Georgia"/>
    <s v="Savannah"/>
    <s v="Casey Brown"/>
    <x v="0"/>
    <x v="2"/>
    <s v="Chairs"/>
    <s v="Executive Chair"/>
    <n v="6"/>
    <n v="575.80999999999995"/>
    <n v="0.2"/>
    <n v="2763.89"/>
    <n v="2233.81"/>
    <n v="530.08000000000004"/>
    <s v="Debit Card"/>
  </r>
  <r>
    <s v="ORD-00892"/>
    <x v="167"/>
    <x v="3"/>
    <s v="Illinois"/>
    <s v="Chicago"/>
    <s v="Jordan Lee"/>
    <x v="2"/>
    <x v="1"/>
    <s v="Keyboards"/>
    <s v="Wireless Keyboard"/>
    <n v="6"/>
    <n v="136.63"/>
    <n v="0.1"/>
    <n v="737.8"/>
    <n v="520.45000000000005"/>
    <n v="217.35"/>
    <s v="PayPal"/>
  </r>
  <r>
    <s v="ORD-01021"/>
    <x v="167"/>
    <x v="3"/>
    <s v="Michigan"/>
    <s v="Lansing"/>
    <s v="Taylor Smith"/>
    <x v="1"/>
    <x v="1"/>
    <s v="Monitors"/>
    <s v="24in Monitor"/>
    <n v="10"/>
    <n v="485.17"/>
    <n v="0.1"/>
    <n v="4366.53"/>
    <n v="2874.14"/>
    <n v="1492.39"/>
    <s v="Debit Card"/>
  </r>
  <r>
    <s v="ORD-02471"/>
    <x v="167"/>
    <x v="0"/>
    <s v="Arizona"/>
    <s v="Tucson"/>
    <s v="Jordan Lee"/>
    <x v="2"/>
    <x v="2"/>
    <s v="Tables"/>
    <s v="Conference Table"/>
    <n v="9"/>
    <n v="371.55"/>
    <n v="0"/>
    <n v="3343.95"/>
    <n v="2661.2"/>
    <n v="682.75"/>
    <s v="Credit Card"/>
  </r>
  <r>
    <s v="ORD-02307"/>
    <x v="167"/>
    <x v="1"/>
    <s v="Georgia"/>
    <s v="Savannah"/>
    <s v="Taylor Smith"/>
    <x v="0"/>
    <x v="1"/>
    <s v="Monitors"/>
    <s v="34in Monitor"/>
    <n v="5"/>
    <n v="418.71"/>
    <n v="0.15"/>
    <n v="1779.52"/>
    <n v="1268.47"/>
    <n v="511.05"/>
    <s v="Bank Transfer"/>
  </r>
  <r>
    <s v="ORD-00055"/>
    <x v="167"/>
    <x v="3"/>
    <s v="Minnesota"/>
    <s v="St. Paul"/>
    <s v="Alex Morgan"/>
    <x v="0"/>
    <x v="1"/>
    <s v="Headsets"/>
    <s v="Noise-Canceling Headset"/>
    <n v="10"/>
    <n v="191.25"/>
    <n v="0.15"/>
    <n v="1625.62"/>
    <n v="1283.3599999999999"/>
    <n v="342.26"/>
    <s v="Bank Transfer"/>
  </r>
  <r>
    <s v="ORD-02730"/>
    <x v="168"/>
    <x v="2"/>
    <s v="Massachusetts"/>
    <s v="Worcester"/>
    <s v="Avery Johnson"/>
    <x v="0"/>
    <x v="2"/>
    <s v="Chairs"/>
    <s v="Task Chair"/>
    <n v="10"/>
    <n v="264.14"/>
    <n v="0.1"/>
    <n v="2377.2600000000002"/>
    <n v="1351.36"/>
    <n v="1025.9000000000001"/>
    <s v="Bank Transfer"/>
  </r>
  <r>
    <s v="ORD-01376"/>
    <x v="168"/>
    <x v="2"/>
    <s v="New Jersey"/>
    <s v="Jersey City"/>
    <s v="Cameron Clark"/>
    <x v="1"/>
    <x v="2"/>
    <s v="Tables"/>
    <s v="Conference Table"/>
    <n v="3"/>
    <n v="216.66"/>
    <n v="0.05"/>
    <n v="617.48"/>
    <n v="414.48"/>
    <n v="203"/>
    <s v="Bank Transfer"/>
  </r>
  <r>
    <s v="ORD-00794"/>
    <x v="168"/>
    <x v="0"/>
    <s v="California"/>
    <s v="San Jose"/>
    <s v="Taylor Smith"/>
    <x v="2"/>
    <x v="1"/>
    <s v="Laptops"/>
    <s v="Ultrabook"/>
    <n v="7"/>
    <n v="949.03"/>
    <n v="0"/>
    <n v="6643.21"/>
    <n v="4645.6499999999996"/>
    <n v="1997.56"/>
    <s v="Bank Transfer"/>
  </r>
  <r>
    <s v="ORD-01019"/>
    <x v="168"/>
    <x v="0"/>
    <s v="California"/>
    <s v="San Jose"/>
    <s v="Jordan Lee"/>
    <x v="0"/>
    <x v="2"/>
    <s v="Desks"/>
    <s v="Work Desk"/>
    <n v="6"/>
    <n v="195.09"/>
    <n v="0.1"/>
    <n v="1053.49"/>
    <n v="765.26"/>
    <n v="288.23"/>
    <s v="Bank Transfer"/>
  </r>
  <r>
    <s v="ORD-02524"/>
    <x v="168"/>
    <x v="0"/>
    <s v="California"/>
    <s v="Los Angeles"/>
    <s v="Avery Johnson"/>
    <x v="2"/>
    <x v="0"/>
    <s v="Paper"/>
    <s v="Recycled Paper"/>
    <n v="2"/>
    <n v="30.07"/>
    <n v="0.1"/>
    <n v="54.13"/>
    <n v="39.47"/>
    <n v="14.66"/>
    <s v="PayPal"/>
  </r>
  <r>
    <s v="ORD-02233"/>
    <x v="168"/>
    <x v="1"/>
    <s v="North Carolina"/>
    <s v="Raleigh"/>
    <s v="Taylor Smith"/>
    <x v="2"/>
    <x v="0"/>
    <s v="Printers"/>
    <s v="Color Printer"/>
    <n v="5"/>
    <n v="236.39"/>
    <n v="0"/>
    <n v="1181.95"/>
    <n v="692.77"/>
    <n v="489.18"/>
    <s v="Bank Transfer"/>
  </r>
  <r>
    <s v="ORD-00191"/>
    <x v="168"/>
    <x v="3"/>
    <s v="Illinois"/>
    <s v="Chicago"/>
    <s v="Casey Brown"/>
    <x v="2"/>
    <x v="2"/>
    <s v="Tables"/>
    <s v="Side Table"/>
    <n v="3"/>
    <n v="702.73"/>
    <n v="0.15"/>
    <n v="1791.96"/>
    <n v="1312.53"/>
    <n v="479.43"/>
    <s v="Bank Transfer"/>
  </r>
  <r>
    <s v="ORD-02943"/>
    <x v="168"/>
    <x v="2"/>
    <s v="Vermont"/>
    <s v="Montpelier"/>
    <s v="Avery Johnson"/>
    <x v="2"/>
    <x v="2"/>
    <s v="Tables"/>
    <s v="Side Table"/>
    <n v="8"/>
    <n v="588.75"/>
    <n v="0.1"/>
    <n v="4239"/>
    <n v="2821.64"/>
    <n v="1417.36"/>
    <s v="Credit Card"/>
  </r>
  <r>
    <s v="ORD-02454"/>
    <x v="168"/>
    <x v="3"/>
    <s v="Ohio"/>
    <s v="Columbus"/>
    <s v="Jamie Miller"/>
    <x v="2"/>
    <x v="0"/>
    <s v="Pens"/>
    <s v="Fine Tip Pens"/>
    <n v="6"/>
    <n v="9.27"/>
    <n v="0"/>
    <n v="55.62"/>
    <n v="45.08"/>
    <n v="10.54"/>
    <s v="PayPal"/>
  </r>
  <r>
    <s v="ORD-01157"/>
    <x v="168"/>
    <x v="1"/>
    <s v="Virginia"/>
    <s v="Norfolk"/>
    <s v="Casey Brown"/>
    <x v="0"/>
    <x v="1"/>
    <s v="Laptops"/>
    <s v="Ultrabook"/>
    <n v="3"/>
    <n v="1662.75"/>
    <n v="0"/>
    <n v="4988.25"/>
    <n v="3333.52"/>
    <n v="1654.73"/>
    <s v="Debit Card"/>
  </r>
  <r>
    <s v="ORD-02734"/>
    <x v="168"/>
    <x v="0"/>
    <s v="California"/>
    <s v="San Diego"/>
    <s v="Drew Anderson"/>
    <x v="2"/>
    <x v="1"/>
    <s v="Monitors"/>
    <s v="24in Monitor"/>
    <n v="1"/>
    <n v="488.42"/>
    <n v="0"/>
    <n v="488.42"/>
    <n v="271.06"/>
    <n v="217.36"/>
    <s v="Bank Transfer"/>
  </r>
  <r>
    <s v="ORD-00457"/>
    <x v="168"/>
    <x v="1"/>
    <s v="Georgia"/>
    <s v="Savannah"/>
    <s v="Jamie Miller"/>
    <x v="0"/>
    <x v="0"/>
    <s v="Pens"/>
    <s v="Ballpoint Pens"/>
    <n v="8"/>
    <n v="15.31"/>
    <n v="0"/>
    <n v="122.48"/>
    <n v="92.9"/>
    <n v="29.58"/>
    <s v="Bank Transfer"/>
  </r>
  <r>
    <s v="ORD-01049"/>
    <x v="168"/>
    <x v="2"/>
    <s v="New Jersey"/>
    <s v="Trenton"/>
    <s v="Riley Wilson"/>
    <x v="2"/>
    <x v="0"/>
    <s v="Binders"/>
    <s v="Heavy-Duty Binder"/>
    <n v="4"/>
    <n v="24.28"/>
    <n v="0.15"/>
    <n v="82.55"/>
    <n v="58.66"/>
    <n v="23.89"/>
    <s v="Credit Card"/>
  </r>
  <r>
    <s v="ORD-00381"/>
    <x v="169"/>
    <x v="0"/>
    <s v="Colorado"/>
    <s v="Denver"/>
    <s v="Alex Morgan"/>
    <x v="1"/>
    <x v="2"/>
    <s v="Tables"/>
    <s v="Training Table"/>
    <n v="1"/>
    <n v="533.95000000000005"/>
    <n v="0.1"/>
    <n v="480.56"/>
    <n v="317.76"/>
    <n v="162.80000000000001"/>
    <s v="PayPal"/>
  </r>
  <r>
    <s v="ORD-00030"/>
    <x v="169"/>
    <x v="0"/>
    <s v="Colorado"/>
    <s v="Boulder"/>
    <s v="Jordan Lee"/>
    <x v="2"/>
    <x v="1"/>
    <s v="Laptops"/>
    <s v="Workstation Laptop"/>
    <n v="1"/>
    <n v="921.08"/>
    <n v="0.05"/>
    <n v="875.03"/>
    <n v="575.97"/>
    <n v="299.06"/>
    <s v="Credit Card"/>
  </r>
  <r>
    <s v="ORD-00801"/>
    <x v="169"/>
    <x v="2"/>
    <s v="New Jersey"/>
    <s v="Jersey City"/>
    <s v="Riley Wilson"/>
    <x v="2"/>
    <x v="1"/>
    <s v="Headsets"/>
    <s v="Noise-Canceling Headset"/>
    <n v="7"/>
    <n v="122.12"/>
    <n v="0.15"/>
    <n v="726.61"/>
    <n v="458.04"/>
    <n v="268.57"/>
    <s v="Bank Transfer"/>
  </r>
  <r>
    <s v="ORD-02909"/>
    <x v="169"/>
    <x v="0"/>
    <s v="California"/>
    <s v="San Jose"/>
    <s v="Casey Brown"/>
    <x v="0"/>
    <x v="1"/>
    <s v="Monitors"/>
    <s v="34in Monitor"/>
    <n v="8"/>
    <n v="360.43"/>
    <n v="0.15"/>
    <n v="2450.92"/>
    <n v="1487.53"/>
    <n v="963.39"/>
    <s v="Credit Card"/>
  </r>
  <r>
    <s v="ORD-01155"/>
    <x v="169"/>
    <x v="0"/>
    <s v="Colorado"/>
    <s v="Boulder"/>
    <s v="Avery Johnson"/>
    <x v="1"/>
    <x v="0"/>
    <s v="Binders"/>
    <s v="Heavy-Duty Binder"/>
    <n v="8"/>
    <n v="25.46"/>
    <n v="0"/>
    <n v="203.68"/>
    <n v="141.76"/>
    <n v="61.92"/>
    <s v="Credit Card"/>
  </r>
  <r>
    <s v="ORD-01743"/>
    <x v="170"/>
    <x v="1"/>
    <s v="Georgia"/>
    <s v="Savannah"/>
    <s v="Alex Morgan"/>
    <x v="0"/>
    <x v="1"/>
    <s v="Laptops"/>
    <s v="Business Laptop"/>
    <n v="10"/>
    <n v="1770.76"/>
    <n v="0"/>
    <n v="17707.599999999999"/>
    <n v="10235.39"/>
    <n v="7472.21"/>
    <s v="Credit Card"/>
  </r>
  <r>
    <s v="ORD-00717"/>
    <x v="170"/>
    <x v="3"/>
    <s v="Indiana"/>
    <s v="Indianapolis"/>
    <s v="Jamie Miller"/>
    <x v="1"/>
    <x v="1"/>
    <s v="Monitors"/>
    <s v="27in Monitor"/>
    <n v="5"/>
    <n v="674.83"/>
    <n v="0.05"/>
    <n v="3205.44"/>
    <n v="2009.86"/>
    <n v="1195.58"/>
    <s v="Credit Card"/>
  </r>
  <r>
    <s v="ORD-00019"/>
    <x v="170"/>
    <x v="0"/>
    <s v="Oregon"/>
    <s v="Eugene"/>
    <s v="Drew Anderson"/>
    <x v="0"/>
    <x v="2"/>
    <s v="Bookcases"/>
    <s v="Storage Bookcase"/>
    <n v="1"/>
    <n v="180.88"/>
    <n v="0.05"/>
    <n v="171.84"/>
    <n v="128.71"/>
    <n v="43.13"/>
    <s v="Bank Transfer"/>
  </r>
  <r>
    <s v="ORD-02946"/>
    <x v="170"/>
    <x v="1"/>
    <s v="Virginia"/>
    <s v="Richmond"/>
    <s v="Taylor Smith"/>
    <x v="1"/>
    <x v="0"/>
    <s v="Printers"/>
    <s v="Laser Printer"/>
    <n v="4"/>
    <n v="151.68"/>
    <n v="0.1"/>
    <n v="546.04999999999995"/>
    <n v="335.86"/>
    <n v="210.19"/>
    <s v="Debit Card"/>
  </r>
  <r>
    <s v="ORD-02021"/>
    <x v="170"/>
    <x v="3"/>
    <s v="Indiana"/>
    <s v="Evansville"/>
    <s v="Avery Johnson"/>
    <x v="2"/>
    <x v="1"/>
    <s v="Laptops"/>
    <s v="Ultrabook"/>
    <n v="7"/>
    <n v="661.76"/>
    <n v="0.1"/>
    <n v="4169.09"/>
    <n v="3230.99"/>
    <n v="938.1"/>
    <s v="Debit Card"/>
  </r>
  <r>
    <s v="ORD-00033"/>
    <x v="170"/>
    <x v="0"/>
    <s v="Arizona"/>
    <s v="Phoenix"/>
    <s v="Taylor Smith"/>
    <x v="2"/>
    <x v="0"/>
    <s v="Printers"/>
    <s v="All-in-One Printer"/>
    <n v="1"/>
    <n v="269.16000000000003"/>
    <n v="0"/>
    <n v="269.16000000000003"/>
    <n v="172.48"/>
    <n v="96.68"/>
    <s v="Debit Card"/>
  </r>
  <r>
    <s v="ORD-02138"/>
    <x v="170"/>
    <x v="0"/>
    <s v="Washington"/>
    <s v="Seattle"/>
    <s v="Alex Morgan"/>
    <x v="0"/>
    <x v="0"/>
    <s v="Printers"/>
    <s v="All-in-One Printer"/>
    <n v="4"/>
    <n v="579.99"/>
    <n v="0.15"/>
    <n v="1971.97"/>
    <n v="1310.82"/>
    <n v="661.15"/>
    <s v="PayPal"/>
  </r>
  <r>
    <s v="ORD-00956"/>
    <x v="171"/>
    <x v="3"/>
    <s v="Minnesota"/>
    <s v="St. Paul"/>
    <s v="Jordan Lee"/>
    <x v="0"/>
    <x v="0"/>
    <s v="Printers"/>
    <s v="Laser Printer"/>
    <n v="9"/>
    <n v="494.11"/>
    <n v="0"/>
    <n v="4446.99"/>
    <n v="3396.18"/>
    <n v="1050.81"/>
    <s v="Credit Card"/>
  </r>
  <r>
    <s v="ORD-02911"/>
    <x v="171"/>
    <x v="0"/>
    <s v="Oregon"/>
    <s v="Eugene"/>
    <s v="Jordan Lee"/>
    <x v="1"/>
    <x v="0"/>
    <s v="Paper"/>
    <s v="Premium Paper"/>
    <n v="7"/>
    <n v="25.45"/>
    <n v="0"/>
    <n v="178.15"/>
    <n v="105.86"/>
    <n v="72.290000000000006"/>
    <s v="Credit Card"/>
  </r>
  <r>
    <s v="ORD-01666"/>
    <x v="171"/>
    <x v="1"/>
    <s v="Florida"/>
    <s v="Orlando"/>
    <s v="Avery Johnson"/>
    <x v="0"/>
    <x v="0"/>
    <s v="Pens"/>
    <s v="Gel Pens"/>
    <n v="7"/>
    <n v="12.82"/>
    <n v="0.1"/>
    <n v="80.77"/>
    <n v="52.86"/>
    <n v="27.91"/>
    <s v="Credit Card"/>
  </r>
  <r>
    <s v="ORD-01694"/>
    <x v="171"/>
    <x v="3"/>
    <s v="Michigan"/>
    <s v="Grand Rapids"/>
    <s v="Jordan Lee"/>
    <x v="0"/>
    <x v="0"/>
    <s v="Binders"/>
    <s v="Heavy-Duty Binder"/>
    <n v="5"/>
    <n v="16.5"/>
    <n v="0.15"/>
    <n v="70.12"/>
    <n v="46.49"/>
    <n v="23.63"/>
    <s v="PayPal"/>
  </r>
  <r>
    <s v="ORD-01678"/>
    <x v="171"/>
    <x v="3"/>
    <s v="Minnesota"/>
    <s v="Minneapolis"/>
    <s v="Riley Wilson"/>
    <x v="0"/>
    <x v="1"/>
    <s v="Monitors"/>
    <s v="24in Monitor"/>
    <n v="1"/>
    <n v="357.19"/>
    <n v="0.05"/>
    <n v="339.33"/>
    <n v="234.28"/>
    <n v="105.05"/>
    <s v="Bank Transfer"/>
  </r>
  <r>
    <s v="ORD-00319"/>
    <x v="171"/>
    <x v="3"/>
    <s v="Ohio"/>
    <s v="Columbus"/>
    <s v="Morgan Davis"/>
    <x v="2"/>
    <x v="2"/>
    <s v="Desks"/>
    <s v="Standing Desk"/>
    <n v="6"/>
    <n v="467.98"/>
    <n v="0"/>
    <n v="2807.88"/>
    <n v="1981.31"/>
    <n v="826.57"/>
    <s v="PayPal"/>
  </r>
  <r>
    <s v="ORD-00324"/>
    <x v="171"/>
    <x v="1"/>
    <s v="Florida"/>
    <s v="Miami"/>
    <s v="Jamie Miller"/>
    <x v="1"/>
    <x v="0"/>
    <s v="Printers"/>
    <s v="Laser Printer"/>
    <n v="7"/>
    <n v="141.82"/>
    <n v="0"/>
    <n v="992.74"/>
    <n v="747"/>
    <n v="245.74"/>
    <s v="Credit Card"/>
  </r>
  <r>
    <s v="ORD-01274"/>
    <x v="171"/>
    <x v="3"/>
    <s v="Indiana"/>
    <s v="Indianapolis"/>
    <s v="Jordan Lee"/>
    <x v="1"/>
    <x v="0"/>
    <s v="Pens"/>
    <s v="Fine Tip Pens"/>
    <n v="1"/>
    <n v="20.57"/>
    <n v="0.1"/>
    <n v="18.510000000000002"/>
    <n v="11.93"/>
    <n v="6.58"/>
    <s v="Debit Card"/>
  </r>
  <r>
    <s v="ORD-00926"/>
    <x v="172"/>
    <x v="3"/>
    <s v="Illinois"/>
    <s v="Springfield"/>
    <s v="Drew Anderson"/>
    <x v="1"/>
    <x v="1"/>
    <s v="Headsets"/>
    <s v="Noise-Canceling Headset"/>
    <n v="1"/>
    <n v="76.58"/>
    <n v="0.1"/>
    <n v="68.92"/>
    <n v="43.95"/>
    <n v="24.97"/>
    <s v="Credit Card"/>
  </r>
  <r>
    <s v="ORD-01808"/>
    <x v="172"/>
    <x v="2"/>
    <s v="New York"/>
    <s v="Buffalo"/>
    <s v="Alex Morgan"/>
    <x v="0"/>
    <x v="0"/>
    <s v="Paper"/>
    <s v="Recycled Paper"/>
    <n v="9"/>
    <n v="16.61"/>
    <n v="0.15"/>
    <n v="127.07"/>
    <n v="93.2"/>
    <n v="33.869999999999997"/>
    <s v="PayPal"/>
  </r>
  <r>
    <s v="ORD-02494"/>
    <x v="172"/>
    <x v="0"/>
    <s v="California"/>
    <s v="San Diego"/>
    <s v="Taylor Smith"/>
    <x v="0"/>
    <x v="1"/>
    <s v="Headsets"/>
    <s v="Wireless Headset"/>
    <n v="1"/>
    <n v="247.49"/>
    <n v="0.1"/>
    <n v="222.74"/>
    <n v="135.22999999999999"/>
    <n v="87.51"/>
    <s v="Debit Card"/>
  </r>
  <r>
    <s v="ORD-01594"/>
    <x v="172"/>
    <x v="0"/>
    <s v="California"/>
    <s v="San Diego"/>
    <s v="Taylor Smith"/>
    <x v="0"/>
    <x v="1"/>
    <s v="Headsets"/>
    <s v="USB Headset"/>
    <n v="5"/>
    <n v="90.92"/>
    <n v="0"/>
    <n v="454.6"/>
    <n v="260.10000000000002"/>
    <n v="194.5"/>
    <s v="PayPal"/>
  </r>
  <r>
    <s v="ORD-01559"/>
    <x v="172"/>
    <x v="3"/>
    <s v="Indiana"/>
    <s v="Fort Wayne"/>
    <s v="Avery Johnson"/>
    <x v="2"/>
    <x v="2"/>
    <s v="Desks"/>
    <s v="Work Desk"/>
    <n v="10"/>
    <n v="212.67"/>
    <n v="0.2"/>
    <n v="1701.36"/>
    <n v="1073.42"/>
    <n v="627.94000000000005"/>
    <s v="Debit Card"/>
  </r>
  <r>
    <s v="ORD-00244"/>
    <x v="172"/>
    <x v="2"/>
    <s v="Vermont"/>
    <s v="Rutland"/>
    <s v="Morgan Davis"/>
    <x v="0"/>
    <x v="0"/>
    <s v="Pens"/>
    <s v="Ballpoint Pens"/>
    <n v="3"/>
    <n v="19.420000000000002"/>
    <n v="0.1"/>
    <n v="52.43"/>
    <n v="29.79"/>
    <n v="22.64"/>
    <s v="PayPal"/>
  </r>
  <r>
    <s v="ORD-01310"/>
    <x v="172"/>
    <x v="0"/>
    <s v="California"/>
    <s v="San Jose"/>
    <s v="Cameron Clark"/>
    <x v="2"/>
    <x v="1"/>
    <s v="Headsets"/>
    <s v="Noise-Canceling Headset"/>
    <n v="9"/>
    <n v="56.78"/>
    <n v="0.05"/>
    <n v="485.47"/>
    <n v="331.93"/>
    <n v="153.54"/>
    <s v="Credit Card"/>
  </r>
  <r>
    <s v="ORD-01245"/>
    <x v="172"/>
    <x v="3"/>
    <s v="Michigan"/>
    <s v="Grand Rapids"/>
    <s v="Riley Wilson"/>
    <x v="0"/>
    <x v="2"/>
    <s v="Bookcases"/>
    <s v="Storage Bookcase"/>
    <n v="6"/>
    <n v="142.68"/>
    <n v="0.15"/>
    <n v="727.67"/>
    <n v="481.49"/>
    <n v="246.18"/>
    <s v="Credit Card"/>
  </r>
  <r>
    <s v="ORD-00781"/>
    <x v="173"/>
    <x v="2"/>
    <s v="Pennsylvania"/>
    <s v="Pittsburgh"/>
    <s v="Morgan Davis"/>
    <x v="2"/>
    <x v="2"/>
    <s v="Tables"/>
    <s v="Training Table"/>
    <n v="8"/>
    <n v="414.77"/>
    <n v="0.15"/>
    <n v="2820.44"/>
    <n v="1899.97"/>
    <n v="920.47"/>
    <s v="Bank Transfer"/>
  </r>
  <r>
    <s v="ORD-01985"/>
    <x v="173"/>
    <x v="1"/>
    <s v="Texas"/>
    <s v="Houston"/>
    <s v="Drew Anderson"/>
    <x v="0"/>
    <x v="2"/>
    <s v="Tables"/>
    <s v="Side Table"/>
    <n v="3"/>
    <n v="650.28"/>
    <n v="0.05"/>
    <n v="1853.3"/>
    <n v="1464.94"/>
    <n v="388.36"/>
    <s v="Bank Transfer"/>
  </r>
  <r>
    <s v="ORD-01902"/>
    <x v="173"/>
    <x v="2"/>
    <s v="Massachusetts"/>
    <s v="Boston"/>
    <s v="Riley Wilson"/>
    <x v="0"/>
    <x v="0"/>
    <s v="Pens"/>
    <s v="Ballpoint Pens"/>
    <n v="4"/>
    <n v="8.06"/>
    <n v="0.1"/>
    <n v="29.02"/>
    <n v="16.82"/>
    <n v="12.2"/>
    <s v="Credit Card"/>
  </r>
  <r>
    <s v="ORD-00392"/>
    <x v="173"/>
    <x v="3"/>
    <s v="Michigan"/>
    <s v="Grand Rapids"/>
    <s v="Morgan Davis"/>
    <x v="0"/>
    <x v="0"/>
    <s v="Binders"/>
    <s v="Heavy-Duty Binder"/>
    <n v="5"/>
    <n v="28.17"/>
    <n v="0.1"/>
    <n v="126.77"/>
    <n v="70.47"/>
    <n v="56.3"/>
    <s v="Bank Transfer"/>
  </r>
  <r>
    <s v="ORD-02889"/>
    <x v="173"/>
    <x v="2"/>
    <s v="Pennsylvania"/>
    <s v="Philadelphia"/>
    <s v="Drew Anderson"/>
    <x v="0"/>
    <x v="0"/>
    <s v="Printers"/>
    <s v="All-in-One Printer"/>
    <n v="5"/>
    <n v="266.43"/>
    <n v="0.15"/>
    <n v="1132.33"/>
    <n v="889.04"/>
    <n v="243.29"/>
    <s v="Credit Card"/>
  </r>
  <r>
    <s v="ORD-02332"/>
    <x v="173"/>
    <x v="1"/>
    <s v="Virginia"/>
    <s v="Arlington"/>
    <s v="Jamie Miller"/>
    <x v="2"/>
    <x v="2"/>
    <s v="Chairs"/>
    <s v="Executive Chair"/>
    <n v="9"/>
    <n v="577.33000000000004"/>
    <n v="0.05"/>
    <n v="4936.17"/>
    <n v="2994.2"/>
    <n v="1941.97"/>
    <s v="Bank Transfer"/>
  </r>
  <r>
    <s v="ORD-00680"/>
    <x v="174"/>
    <x v="1"/>
    <s v="Florida"/>
    <s v="Orlando"/>
    <s v="Riley Wilson"/>
    <x v="2"/>
    <x v="2"/>
    <s v="Tables"/>
    <s v="Conference Table"/>
    <n v="4"/>
    <n v="555.64"/>
    <n v="0.1"/>
    <n v="2000.3"/>
    <n v="1133.57"/>
    <n v="866.73"/>
    <s v="Credit Card"/>
  </r>
  <r>
    <s v="ORD-00213"/>
    <x v="174"/>
    <x v="2"/>
    <s v="Massachusetts"/>
    <s v="Worcester"/>
    <s v="Riley Wilson"/>
    <x v="2"/>
    <x v="0"/>
    <s v="Printers"/>
    <s v="Color Printer"/>
    <n v="10"/>
    <n v="127.56"/>
    <n v="0.2"/>
    <n v="1020.48"/>
    <n v="787.42"/>
    <n v="233.06"/>
    <s v="Bank Transfer"/>
  </r>
  <r>
    <s v="ORD-01121"/>
    <x v="174"/>
    <x v="1"/>
    <s v="Virginia"/>
    <s v="Richmond"/>
    <s v="Avery Johnson"/>
    <x v="2"/>
    <x v="2"/>
    <s v="Tables"/>
    <s v="Training Table"/>
    <n v="8"/>
    <n v="578.71"/>
    <n v="0.05"/>
    <n v="4398.2"/>
    <n v="2916.18"/>
    <n v="1482.02"/>
    <s v="Debit Card"/>
  </r>
  <r>
    <s v="ORD-02181"/>
    <x v="174"/>
    <x v="0"/>
    <s v="Colorado"/>
    <s v="Colorado Springs"/>
    <s v="Cameron Clark"/>
    <x v="2"/>
    <x v="1"/>
    <s v="Monitors"/>
    <s v="24in Monitor"/>
    <n v="2"/>
    <n v="422.42"/>
    <n v="0.1"/>
    <n v="760.36"/>
    <n v="425.03"/>
    <n v="335.33"/>
    <s v="Bank Transfer"/>
  </r>
  <r>
    <s v="ORD-02486"/>
    <x v="174"/>
    <x v="3"/>
    <s v="Illinois"/>
    <s v="Peoria"/>
    <s v="Taylor Smith"/>
    <x v="2"/>
    <x v="0"/>
    <s v="Printers"/>
    <s v="Color Printer"/>
    <n v="10"/>
    <n v="326.77999999999997"/>
    <n v="0.05"/>
    <n v="3104.41"/>
    <n v="1727.69"/>
    <n v="1376.72"/>
    <s v="PayPal"/>
  </r>
  <r>
    <s v="ORD-01070"/>
    <x v="174"/>
    <x v="2"/>
    <s v="Pennsylvania"/>
    <s v="Philadelphia"/>
    <s v="Casey Brown"/>
    <x v="2"/>
    <x v="0"/>
    <s v="Pens"/>
    <s v="Fine Tip Pens"/>
    <n v="3"/>
    <n v="11.25"/>
    <n v="0"/>
    <n v="33.75"/>
    <n v="19.16"/>
    <n v="14.59"/>
    <s v="PayPal"/>
  </r>
  <r>
    <s v="ORD-02352"/>
    <x v="174"/>
    <x v="2"/>
    <s v="Pennsylvania"/>
    <s v="Pittsburgh"/>
    <s v="Morgan Davis"/>
    <x v="0"/>
    <x v="1"/>
    <s v="Laptops"/>
    <s v="Workstation Laptop"/>
    <n v="9"/>
    <n v="652.27"/>
    <n v="0"/>
    <n v="5870.43"/>
    <n v="3844.57"/>
    <n v="2025.86"/>
    <s v="PayPal"/>
  </r>
  <r>
    <s v="ORD-02072"/>
    <x v="174"/>
    <x v="3"/>
    <s v="Minnesota"/>
    <s v="Minneapolis"/>
    <s v="Cameron Clark"/>
    <x v="1"/>
    <x v="2"/>
    <s v="Tables"/>
    <s v="Side Table"/>
    <n v="4"/>
    <n v="201.63"/>
    <n v="0.15"/>
    <n v="685.54"/>
    <n v="425.75"/>
    <n v="259.79000000000002"/>
    <s v="Credit Card"/>
  </r>
  <r>
    <s v="ORD-02672"/>
    <x v="175"/>
    <x v="0"/>
    <s v="California"/>
    <s v="Los Angeles"/>
    <s v="Alex Morgan"/>
    <x v="2"/>
    <x v="1"/>
    <s v="Headsets"/>
    <s v="Wireless Headset"/>
    <n v="5"/>
    <n v="94.35"/>
    <n v="0"/>
    <n v="471.75"/>
    <n v="343.89"/>
    <n v="127.86"/>
    <s v="Debit Card"/>
  </r>
  <r>
    <s v="ORD-01205"/>
    <x v="175"/>
    <x v="2"/>
    <s v="New York"/>
    <s v="New York City"/>
    <s v="Alex Morgan"/>
    <x v="1"/>
    <x v="0"/>
    <s v="Paper"/>
    <s v="Recycled Paper"/>
    <n v="4"/>
    <n v="21.6"/>
    <n v="0.15"/>
    <n v="73.44"/>
    <n v="54.34"/>
    <n v="19.100000000000001"/>
    <s v="PayPal"/>
  </r>
  <r>
    <s v="ORD-01824"/>
    <x v="175"/>
    <x v="0"/>
    <s v="Washington"/>
    <s v="Seattle"/>
    <s v="Drew Anderson"/>
    <x v="2"/>
    <x v="1"/>
    <s v="Keyboards"/>
    <s v="Mechanical Keyboard"/>
    <n v="3"/>
    <n v="41.85"/>
    <n v="0.15"/>
    <n v="106.72"/>
    <n v="76.23"/>
    <n v="30.49"/>
    <s v="Bank Transfer"/>
  </r>
  <r>
    <s v="ORD-00620"/>
    <x v="175"/>
    <x v="3"/>
    <s v="Indiana"/>
    <s v="Fort Wayne"/>
    <s v="Alex Morgan"/>
    <x v="2"/>
    <x v="1"/>
    <s v="Headsets"/>
    <s v="Noise-Canceling Headset"/>
    <n v="9"/>
    <n v="60.33"/>
    <n v="0.1"/>
    <n v="488.67"/>
    <n v="363.13"/>
    <n v="125.54"/>
    <s v="Bank Transfer"/>
  </r>
  <r>
    <s v="ORD-02222"/>
    <x v="176"/>
    <x v="3"/>
    <s v="Minnesota"/>
    <s v="Minneapolis"/>
    <s v="Cameron Clark"/>
    <x v="2"/>
    <x v="1"/>
    <s v="Monitors"/>
    <s v="24in Monitor"/>
    <n v="3"/>
    <n v="680.75"/>
    <n v="0.1"/>
    <n v="1838.02"/>
    <n v="1068.27"/>
    <n v="769.75"/>
    <s v="Credit Card"/>
  </r>
  <r>
    <s v="ORD-00374"/>
    <x v="176"/>
    <x v="0"/>
    <s v="Colorado"/>
    <s v="Denver"/>
    <s v="Avery Johnson"/>
    <x v="0"/>
    <x v="2"/>
    <s v="Desks"/>
    <s v="Executive Desk"/>
    <n v="6"/>
    <n v="195.91"/>
    <n v="0.05"/>
    <n v="1116.69"/>
    <n v="750.43"/>
    <n v="366.26"/>
    <s v="PayPal"/>
  </r>
  <r>
    <s v="ORD-02630"/>
    <x v="176"/>
    <x v="3"/>
    <s v="Minnesota"/>
    <s v="St. Paul"/>
    <s v="Alex Morgan"/>
    <x v="1"/>
    <x v="0"/>
    <s v="Pens"/>
    <s v="Gel Pens"/>
    <n v="7"/>
    <n v="18.100000000000001"/>
    <n v="0.05"/>
    <n v="120.36"/>
    <n v="84.99"/>
    <n v="35.369999999999997"/>
    <s v="PayPal"/>
  </r>
  <r>
    <s v="ORD-02089"/>
    <x v="176"/>
    <x v="0"/>
    <s v="Colorado"/>
    <s v="Denver"/>
    <s v="Riley Wilson"/>
    <x v="2"/>
    <x v="2"/>
    <s v="Chairs"/>
    <s v="Executive Chair"/>
    <n v="6"/>
    <n v="690.82"/>
    <n v="0"/>
    <n v="4144.92"/>
    <n v="3364.88"/>
    <n v="780.04"/>
    <s v="PayPal"/>
  </r>
  <r>
    <s v="ORD-01366"/>
    <x v="176"/>
    <x v="1"/>
    <s v="Florida"/>
    <s v="Tampa"/>
    <s v="Casey Brown"/>
    <x v="2"/>
    <x v="2"/>
    <s v="Bookcases"/>
    <s v="Storage Bookcase"/>
    <n v="6"/>
    <n v="272.14999999999998"/>
    <n v="0"/>
    <n v="1632.9"/>
    <n v="1109.43"/>
    <n v="523.47"/>
    <s v="Debit Card"/>
  </r>
  <r>
    <s v="ORD-01913"/>
    <x v="176"/>
    <x v="1"/>
    <s v="Georgia"/>
    <s v="Atlanta"/>
    <s v="Casey Brown"/>
    <x v="2"/>
    <x v="1"/>
    <s v="Monitors"/>
    <s v="27in Monitor"/>
    <n v="4"/>
    <n v="455.52"/>
    <n v="0.2"/>
    <n v="1457.66"/>
    <n v="1104.3699999999999"/>
    <n v="353.29"/>
    <s v="Debit Card"/>
  </r>
  <r>
    <s v="ORD-01634"/>
    <x v="176"/>
    <x v="3"/>
    <s v="Michigan"/>
    <s v="Lansing"/>
    <s v="Alex Morgan"/>
    <x v="0"/>
    <x v="1"/>
    <s v="Keyboards"/>
    <s v="Mechanical Keyboard"/>
    <n v="10"/>
    <n v="163.51"/>
    <n v="0"/>
    <n v="1635.1"/>
    <n v="915.11"/>
    <n v="719.99"/>
    <s v="Bank Transfer"/>
  </r>
  <r>
    <s v="ORD-01582"/>
    <x v="177"/>
    <x v="1"/>
    <s v="Georgia"/>
    <s v="Savannah"/>
    <s v="Riley Wilson"/>
    <x v="0"/>
    <x v="2"/>
    <s v="Desks"/>
    <s v="Executive Desk"/>
    <n v="8"/>
    <n v="222.15"/>
    <n v="0.1"/>
    <n v="1599.48"/>
    <n v="1257.22"/>
    <n v="342.26"/>
    <s v="Debit Card"/>
  </r>
  <r>
    <s v="ORD-01733"/>
    <x v="177"/>
    <x v="3"/>
    <s v="Minnesota"/>
    <s v="Minneapolis"/>
    <s v="Morgan Davis"/>
    <x v="2"/>
    <x v="2"/>
    <s v="Desks"/>
    <s v="Standing Desk"/>
    <n v="4"/>
    <n v="464.54"/>
    <n v="0.15"/>
    <n v="1579.44"/>
    <n v="933.02"/>
    <n v="646.41999999999996"/>
    <s v="Bank Transfer"/>
  </r>
  <r>
    <s v="ORD-00812"/>
    <x v="177"/>
    <x v="3"/>
    <s v="Indiana"/>
    <s v="Fort Wayne"/>
    <s v="Jordan Lee"/>
    <x v="2"/>
    <x v="0"/>
    <s v="Binders"/>
    <s v="3-Ring Binder"/>
    <n v="9"/>
    <n v="23.5"/>
    <n v="0.05"/>
    <n v="200.92"/>
    <n v="154.61000000000001"/>
    <n v="46.31"/>
    <s v="Bank Transfer"/>
  </r>
  <r>
    <s v="ORD-01725"/>
    <x v="177"/>
    <x v="1"/>
    <s v="North Carolina"/>
    <s v="Charlotte"/>
    <s v="Drew Anderson"/>
    <x v="0"/>
    <x v="1"/>
    <s v="Laptops"/>
    <s v="Ultrabook"/>
    <n v="3"/>
    <n v="1607.53"/>
    <n v="0"/>
    <n v="4822.59"/>
    <n v="3578"/>
    <n v="1244.5899999999999"/>
    <s v="Bank Transfer"/>
  </r>
  <r>
    <s v="ORD-00785"/>
    <x v="177"/>
    <x v="1"/>
    <s v="Virginia"/>
    <s v="Arlington"/>
    <s v="Drew Anderson"/>
    <x v="0"/>
    <x v="0"/>
    <s v="Printers"/>
    <s v="Color Printer"/>
    <n v="7"/>
    <n v="238.87"/>
    <n v="0.05"/>
    <n v="1588.49"/>
    <n v="988.37"/>
    <n v="600.12"/>
    <s v="Credit Card"/>
  </r>
  <r>
    <s v="ORD-02160"/>
    <x v="177"/>
    <x v="2"/>
    <s v="New York"/>
    <s v="New York City"/>
    <s v="Casey Brown"/>
    <x v="2"/>
    <x v="2"/>
    <s v="Chairs"/>
    <s v="Ergonomic Chair"/>
    <n v="8"/>
    <n v="500.74"/>
    <n v="0.05"/>
    <n v="3805.62"/>
    <n v="2292.56"/>
    <n v="1513.06"/>
    <s v="PayPal"/>
  </r>
  <r>
    <s v="ORD-02186"/>
    <x v="177"/>
    <x v="3"/>
    <s v="Minnesota"/>
    <s v="Rochester"/>
    <s v="Alex Morgan"/>
    <x v="0"/>
    <x v="0"/>
    <s v="Pens"/>
    <s v="Fine Tip Pens"/>
    <n v="10"/>
    <n v="18.95"/>
    <n v="0"/>
    <n v="189.5"/>
    <n v="133.37"/>
    <n v="56.13"/>
    <s v="Debit Card"/>
  </r>
  <r>
    <s v="ORD-01689"/>
    <x v="177"/>
    <x v="2"/>
    <s v="Pennsylvania"/>
    <s v="Pittsburgh"/>
    <s v="Drew Anderson"/>
    <x v="2"/>
    <x v="0"/>
    <s v="Pens"/>
    <s v="Fine Tip Pens"/>
    <n v="7"/>
    <n v="9.49"/>
    <n v="0.15"/>
    <n v="56.47"/>
    <n v="41.49"/>
    <n v="14.98"/>
    <s v="Credit Card"/>
  </r>
  <r>
    <s v="ORD-01460"/>
    <x v="177"/>
    <x v="3"/>
    <s v="Minnesota"/>
    <s v="St. Paul"/>
    <s v="Riley Wilson"/>
    <x v="2"/>
    <x v="1"/>
    <s v="Monitors"/>
    <s v="27in Monitor"/>
    <n v="1"/>
    <n v="450.8"/>
    <n v="0.05"/>
    <n v="428.26"/>
    <n v="280.45999999999998"/>
    <n v="147.80000000000001"/>
    <s v="PayPal"/>
  </r>
  <r>
    <s v="ORD-00113"/>
    <x v="177"/>
    <x v="0"/>
    <s v="Oregon"/>
    <s v="Portland"/>
    <s v="Jamie Miller"/>
    <x v="0"/>
    <x v="1"/>
    <s v="Monitors"/>
    <s v="24in Monitor"/>
    <n v="6"/>
    <n v="217.79"/>
    <n v="0.15"/>
    <n v="1110.73"/>
    <n v="663.1"/>
    <n v="447.63"/>
    <s v="PayPal"/>
  </r>
  <r>
    <s v="ORD-00993"/>
    <x v="178"/>
    <x v="1"/>
    <s v="North Carolina"/>
    <s v="Durham"/>
    <s v="Cameron Clark"/>
    <x v="0"/>
    <x v="0"/>
    <s v="Pens"/>
    <s v="Gel Pens"/>
    <n v="9"/>
    <n v="24.53"/>
    <n v="0"/>
    <n v="220.77"/>
    <n v="180.39"/>
    <n v="40.380000000000003"/>
    <s v="Debit Card"/>
  </r>
  <r>
    <s v="ORD-02950"/>
    <x v="178"/>
    <x v="0"/>
    <s v="Oregon"/>
    <s v="Portland"/>
    <s v="Cameron Clark"/>
    <x v="0"/>
    <x v="1"/>
    <s v="Headsets"/>
    <s v="USB Headset"/>
    <n v="2"/>
    <n v="245.47"/>
    <n v="0"/>
    <n v="490.94"/>
    <n v="321.83"/>
    <n v="169.11"/>
    <s v="PayPal"/>
  </r>
  <r>
    <s v="ORD-01368"/>
    <x v="178"/>
    <x v="1"/>
    <s v="Virginia"/>
    <s v="Arlington"/>
    <s v="Casey Brown"/>
    <x v="2"/>
    <x v="0"/>
    <s v="Binders"/>
    <s v="Presentation Binder"/>
    <n v="10"/>
    <n v="13.98"/>
    <n v="0.15"/>
    <n v="118.83"/>
    <n v="84.96"/>
    <n v="33.869999999999997"/>
    <s v="PayPal"/>
  </r>
  <r>
    <s v="ORD-01350"/>
    <x v="178"/>
    <x v="2"/>
    <s v="Vermont"/>
    <s v="Montpelier"/>
    <s v="Drew Anderson"/>
    <x v="0"/>
    <x v="1"/>
    <s v="Headsets"/>
    <s v="Noise-Canceling Headset"/>
    <n v="7"/>
    <n v="186.4"/>
    <n v="0.1"/>
    <n v="1174.32"/>
    <n v="921.69"/>
    <n v="252.63"/>
    <s v="Credit Card"/>
  </r>
  <r>
    <s v="ORD-01335"/>
    <x v="178"/>
    <x v="0"/>
    <s v="Oregon"/>
    <s v="Portland"/>
    <s v="Avery Johnson"/>
    <x v="2"/>
    <x v="2"/>
    <s v="Desks"/>
    <s v="Executive Desk"/>
    <n v="3"/>
    <n v="663.5"/>
    <n v="0"/>
    <n v="1990.5"/>
    <n v="1117.69"/>
    <n v="872.81"/>
    <s v="PayPal"/>
  </r>
  <r>
    <s v="ORD-02375"/>
    <x v="178"/>
    <x v="1"/>
    <s v="North Carolina"/>
    <s v="Charlotte"/>
    <s v="Morgan Davis"/>
    <x v="0"/>
    <x v="0"/>
    <s v="Printers"/>
    <s v="Laser Printer"/>
    <n v="9"/>
    <n v="449.39"/>
    <n v="0"/>
    <n v="4044.51"/>
    <n v="3143.03"/>
    <n v="901.48"/>
    <s v="Bank Transfer"/>
  </r>
  <r>
    <s v="ORD-01834"/>
    <x v="178"/>
    <x v="3"/>
    <s v="Indiana"/>
    <s v="Fort Wayne"/>
    <s v="Casey Brown"/>
    <x v="2"/>
    <x v="1"/>
    <s v="Monitors"/>
    <s v="27in Monitor"/>
    <n v="4"/>
    <n v="586.27"/>
    <n v="0.05"/>
    <n v="2227.83"/>
    <n v="1369.88"/>
    <n v="857.95"/>
    <s v="Credit Card"/>
  </r>
  <r>
    <s v="ORD-00235"/>
    <x v="178"/>
    <x v="0"/>
    <s v="Washington"/>
    <s v="Spokane"/>
    <s v="Taylor Smith"/>
    <x v="2"/>
    <x v="1"/>
    <s v="Keyboards"/>
    <s v="Wireless Keyboard"/>
    <n v="6"/>
    <n v="175.52"/>
    <n v="0.1"/>
    <n v="947.81"/>
    <n v="601.23"/>
    <n v="346.58"/>
    <s v="Debit Card"/>
  </r>
  <r>
    <s v="ORD-02170"/>
    <x v="178"/>
    <x v="0"/>
    <s v="Oregon"/>
    <s v="Salem"/>
    <s v="Riley Wilson"/>
    <x v="0"/>
    <x v="1"/>
    <s v="Keyboards"/>
    <s v="Mechanical Keyboard"/>
    <n v="4"/>
    <n v="167.15"/>
    <n v="0.1"/>
    <n v="601.74"/>
    <n v="387.16"/>
    <n v="214.58"/>
    <s v="Debit Card"/>
  </r>
  <r>
    <s v="ORD-02164"/>
    <x v="178"/>
    <x v="0"/>
    <s v="Washington"/>
    <s v="Tacoma"/>
    <s v="Riley Wilson"/>
    <x v="2"/>
    <x v="0"/>
    <s v="Paper"/>
    <s v="Premium Paper"/>
    <n v="3"/>
    <n v="15.99"/>
    <n v="0"/>
    <n v="47.97"/>
    <n v="30.09"/>
    <n v="17.88"/>
    <s v="Bank Transfer"/>
  </r>
  <r>
    <s v="ORD-01619"/>
    <x v="178"/>
    <x v="1"/>
    <s v="North Carolina"/>
    <s v="Raleigh"/>
    <s v="Avery Johnson"/>
    <x v="0"/>
    <x v="1"/>
    <s v="Keyboards"/>
    <s v="Wireless Keyboard"/>
    <n v="5"/>
    <n v="86.98"/>
    <n v="0.1"/>
    <n v="391.41"/>
    <n v="312.94"/>
    <n v="78.47"/>
    <s v="Debit Card"/>
  </r>
  <r>
    <s v="ORD-02612"/>
    <x v="178"/>
    <x v="0"/>
    <s v="Oregon"/>
    <s v="Portland"/>
    <s v="Casey Brown"/>
    <x v="2"/>
    <x v="1"/>
    <s v="Headsets"/>
    <s v="USB Headset"/>
    <n v="3"/>
    <n v="202.18"/>
    <n v="0.05"/>
    <n v="576.21"/>
    <n v="353.06"/>
    <n v="223.15"/>
    <s v="PayPal"/>
  </r>
  <r>
    <s v="ORD-00344"/>
    <x v="178"/>
    <x v="1"/>
    <s v="North Carolina"/>
    <s v="Charlotte"/>
    <s v="Alex Morgan"/>
    <x v="0"/>
    <x v="0"/>
    <s v="Binders"/>
    <s v="3-Ring Binder"/>
    <n v="10"/>
    <n v="11.52"/>
    <n v="0.05"/>
    <n v="109.44"/>
    <n v="69.22"/>
    <n v="40.22"/>
    <s v="Debit Card"/>
  </r>
  <r>
    <s v="ORD-02230"/>
    <x v="178"/>
    <x v="0"/>
    <s v="Oregon"/>
    <s v="Salem"/>
    <s v="Avery Johnson"/>
    <x v="0"/>
    <x v="0"/>
    <s v="Printers"/>
    <s v="Laser Printer"/>
    <n v="10"/>
    <n v="295.94"/>
    <n v="0.1"/>
    <n v="2663.46"/>
    <n v="1547.47"/>
    <n v="1115.99"/>
    <s v="Debit Card"/>
  </r>
  <r>
    <s v="ORD-00500"/>
    <x v="179"/>
    <x v="0"/>
    <s v="California"/>
    <s v="San Diego"/>
    <s v="Casey Brown"/>
    <x v="1"/>
    <x v="0"/>
    <s v="Binders"/>
    <s v="Heavy-Duty Binder"/>
    <n v="3"/>
    <n v="21.32"/>
    <n v="0.1"/>
    <n v="57.56"/>
    <n v="38.11"/>
    <n v="19.45"/>
    <s v="PayPal"/>
  </r>
  <r>
    <s v="ORD-00318"/>
    <x v="179"/>
    <x v="2"/>
    <s v="Pennsylvania"/>
    <s v="Philadelphia"/>
    <s v="Morgan Davis"/>
    <x v="0"/>
    <x v="1"/>
    <s v="Keyboards"/>
    <s v="Mechanical Keyboard"/>
    <n v="10"/>
    <n v="145.27000000000001"/>
    <n v="0.05"/>
    <n v="1380.06"/>
    <n v="1108.3499999999999"/>
    <n v="271.70999999999998"/>
    <s v="Debit Card"/>
  </r>
  <r>
    <s v="ORD-02387"/>
    <x v="179"/>
    <x v="1"/>
    <s v="Virginia"/>
    <s v="Norfolk"/>
    <s v="Avery Johnson"/>
    <x v="2"/>
    <x v="1"/>
    <s v="Monitors"/>
    <s v="34in Monitor"/>
    <n v="8"/>
    <n v="374.79"/>
    <n v="0.05"/>
    <n v="2848.4"/>
    <n v="2055.0300000000002"/>
    <n v="793.37"/>
    <s v="Bank Transfer"/>
  </r>
  <r>
    <s v="ORD-01160"/>
    <x v="179"/>
    <x v="0"/>
    <s v="Colorado"/>
    <s v="Boulder"/>
    <s v="Cameron Clark"/>
    <x v="0"/>
    <x v="0"/>
    <s v="Pens"/>
    <s v="Fine Tip Pens"/>
    <n v="6"/>
    <n v="20.09"/>
    <n v="0.15"/>
    <n v="102.46"/>
    <n v="81.58"/>
    <n v="20.88"/>
    <s v="PayPal"/>
  </r>
  <r>
    <s v="ORD-02666"/>
    <x v="179"/>
    <x v="2"/>
    <s v="Massachusetts"/>
    <s v="Worcester"/>
    <s v="Jamie Miller"/>
    <x v="0"/>
    <x v="1"/>
    <s v="Monitors"/>
    <s v="27in Monitor"/>
    <n v="3"/>
    <n v="198.91"/>
    <n v="0.15"/>
    <n v="507.22"/>
    <n v="393.34"/>
    <n v="113.88"/>
    <s v="Credit Card"/>
  </r>
  <r>
    <s v="ORD-01966"/>
    <x v="179"/>
    <x v="2"/>
    <s v="New York"/>
    <s v="Rochester"/>
    <s v="Cameron Clark"/>
    <x v="2"/>
    <x v="1"/>
    <s v="Headsets"/>
    <s v="Noise-Canceling Headset"/>
    <n v="5"/>
    <n v="248.66"/>
    <n v="0"/>
    <n v="1243.3"/>
    <n v="718"/>
    <n v="525.29999999999995"/>
    <s v="PayPal"/>
  </r>
  <r>
    <s v="ORD-00346"/>
    <x v="179"/>
    <x v="3"/>
    <s v="Minnesota"/>
    <s v="Rochester"/>
    <s v="Jordan Lee"/>
    <x v="1"/>
    <x v="1"/>
    <s v="Keyboards"/>
    <s v="Wireless Keyboard"/>
    <n v="2"/>
    <n v="113.93"/>
    <n v="0"/>
    <n v="227.86"/>
    <n v="159.91999999999999"/>
    <n v="67.94"/>
    <s v="Credit Card"/>
  </r>
  <r>
    <s v="ORD-02998"/>
    <x v="180"/>
    <x v="2"/>
    <s v="Massachusetts"/>
    <s v="Boston"/>
    <s v="Cameron Clark"/>
    <x v="1"/>
    <x v="0"/>
    <s v="Pens"/>
    <s v="Ballpoint Pens"/>
    <n v="6"/>
    <n v="21.38"/>
    <n v="0"/>
    <n v="128.28"/>
    <n v="99.61"/>
    <n v="28.67"/>
    <s v="Debit Card"/>
  </r>
  <r>
    <s v="ORD-00658"/>
    <x v="180"/>
    <x v="3"/>
    <s v="Illinois"/>
    <s v="Peoria"/>
    <s v="Drew Anderson"/>
    <x v="1"/>
    <x v="0"/>
    <s v="Printers"/>
    <s v="Laser Printer"/>
    <n v="9"/>
    <n v="449.37"/>
    <n v="0"/>
    <n v="4044.33"/>
    <n v="2562.38"/>
    <n v="1481.95"/>
    <s v="Credit Card"/>
  </r>
  <r>
    <s v="ORD-00310"/>
    <x v="180"/>
    <x v="1"/>
    <s v="Georgia"/>
    <s v="Savannah"/>
    <s v="Alex Morgan"/>
    <x v="0"/>
    <x v="1"/>
    <s v="Headsets"/>
    <s v="USB Headset"/>
    <n v="2"/>
    <n v="83.42"/>
    <n v="0.05"/>
    <n v="158.5"/>
    <n v="106.15"/>
    <n v="52.35"/>
    <s v="Bank Transfer"/>
  </r>
  <r>
    <s v="ORD-02585"/>
    <x v="181"/>
    <x v="3"/>
    <s v="Ohio"/>
    <s v="Cleveland"/>
    <s v="Drew Anderson"/>
    <x v="0"/>
    <x v="1"/>
    <s v="Monitors"/>
    <s v="27in Monitor"/>
    <n v="3"/>
    <n v="264.06"/>
    <n v="0.15"/>
    <n v="673.35"/>
    <n v="439.7"/>
    <n v="233.65"/>
    <s v="PayPal"/>
  </r>
  <r>
    <s v="ORD-02604"/>
    <x v="181"/>
    <x v="2"/>
    <s v="Pennsylvania"/>
    <s v="Allentown"/>
    <s v="Morgan Davis"/>
    <x v="0"/>
    <x v="1"/>
    <s v="Keyboards"/>
    <s v="Mechanical Keyboard"/>
    <n v="1"/>
    <n v="41.6"/>
    <n v="0.05"/>
    <n v="39.520000000000003"/>
    <n v="24.52"/>
    <n v="15"/>
    <s v="PayPal"/>
  </r>
  <r>
    <s v="ORD-00302"/>
    <x v="181"/>
    <x v="2"/>
    <s v="Pennsylvania"/>
    <s v="Pittsburgh"/>
    <s v="Avery Johnson"/>
    <x v="0"/>
    <x v="1"/>
    <s v="Laptops"/>
    <s v="Workstation Laptop"/>
    <n v="10"/>
    <n v="968.71"/>
    <n v="0"/>
    <n v="9687.1"/>
    <n v="7653.73"/>
    <n v="2033.37"/>
    <s v="Bank Transfer"/>
  </r>
  <r>
    <s v="ORD-02482"/>
    <x v="181"/>
    <x v="2"/>
    <s v="Vermont"/>
    <s v="Burlington"/>
    <s v="Casey Brown"/>
    <x v="0"/>
    <x v="2"/>
    <s v="Desks"/>
    <s v="Work Desk"/>
    <n v="9"/>
    <n v="270.02"/>
    <n v="0.15"/>
    <n v="2065.65"/>
    <n v="1510.35"/>
    <n v="555.29999999999995"/>
    <s v="PayPal"/>
  </r>
  <r>
    <s v="ORD-01440"/>
    <x v="182"/>
    <x v="3"/>
    <s v="Illinois"/>
    <s v="Peoria"/>
    <s v="Riley Wilson"/>
    <x v="0"/>
    <x v="0"/>
    <s v="Binders"/>
    <s v="3-Ring Binder"/>
    <n v="2"/>
    <n v="11.49"/>
    <n v="0.15"/>
    <n v="19.53"/>
    <n v="13"/>
    <n v="6.53"/>
    <s v="Bank Transfer"/>
  </r>
  <r>
    <s v="ORD-00627"/>
    <x v="182"/>
    <x v="2"/>
    <s v="New Jersey"/>
    <s v="Trenton"/>
    <s v="Jordan Lee"/>
    <x v="0"/>
    <x v="1"/>
    <s v="Monitors"/>
    <s v="34in Monitor"/>
    <n v="2"/>
    <n v="524.70000000000005"/>
    <n v="0"/>
    <n v="1049.4000000000001"/>
    <n v="804.46"/>
    <n v="244.94"/>
    <s v="PayPal"/>
  </r>
  <r>
    <s v="ORD-01181"/>
    <x v="182"/>
    <x v="1"/>
    <s v="Texas"/>
    <s v="Houston"/>
    <s v="Cameron Clark"/>
    <x v="0"/>
    <x v="1"/>
    <s v="Keyboards"/>
    <s v="Mechanical Keyboard"/>
    <n v="8"/>
    <n v="79.13"/>
    <n v="0.15"/>
    <n v="538.08000000000004"/>
    <n v="300.83"/>
    <n v="237.25"/>
    <s v="Debit Card"/>
  </r>
  <r>
    <s v="ORD-00237"/>
    <x v="182"/>
    <x v="1"/>
    <s v="North Carolina"/>
    <s v="Durham"/>
    <s v="Avery Johnson"/>
    <x v="1"/>
    <x v="1"/>
    <s v="Monitors"/>
    <s v="24in Monitor"/>
    <n v="7"/>
    <n v="280.49"/>
    <n v="0.1"/>
    <n v="1767.09"/>
    <n v="1168.68"/>
    <n v="598.41"/>
    <s v="Credit Card"/>
  </r>
  <r>
    <s v="ORD-00093"/>
    <x v="182"/>
    <x v="1"/>
    <s v="North Carolina"/>
    <s v="Durham"/>
    <s v="Jordan Lee"/>
    <x v="0"/>
    <x v="2"/>
    <s v="Desks"/>
    <s v="Standing Desk"/>
    <n v="10"/>
    <n v="309.27"/>
    <n v="0"/>
    <n v="3092.7"/>
    <n v="2249.1"/>
    <n v="843.6"/>
    <s v="PayPal"/>
  </r>
  <r>
    <s v="ORD-02711"/>
    <x v="182"/>
    <x v="1"/>
    <s v="Texas"/>
    <s v="Dallas"/>
    <s v="Taylor Smith"/>
    <x v="0"/>
    <x v="1"/>
    <s v="Keyboards"/>
    <s v="Wireless Keyboard"/>
    <n v="4"/>
    <n v="61.63"/>
    <n v="0.05"/>
    <n v="234.19"/>
    <n v="155.56"/>
    <n v="78.63"/>
    <s v="PayPal"/>
  </r>
  <r>
    <s v="ORD-01497"/>
    <x v="182"/>
    <x v="0"/>
    <s v="Washington"/>
    <s v="Seattle"/>
    <s v="Jamie Miller"/>
    <x v="0"/>
    <x v="2"/>
    <s v="Desks"/>
    <s v="Standing Desk"/>
    <n v="4"/>
    <n v="846.44"/>
    <n v="0.15"/>
    <n v="2877.9"/>
    <n v="2327.62"/>
    <n v="550.28"/>
    <s v="Credit Card"/>
  </r>
  <r>
    <s v="ORD-00999"/>
    <x v="182"/>
    <x v="0"/>
    <s v="California"/>
    <s v="Los Angeles"/>
    <s v="Jamie Miller"/>
    <x v="0"/>
    <x v="1"/>
    <s v="Keyboards"/>
    <s v="Ergonomic Keyboard"/>
    <n v="7"/>
    <n v="75.17"/>
    <n v="0.05"/>
    <n v="499.88"/>
    <n v="406.78"/>
    <n v="93.1"/>
    <s v="PayPal"/>
  </r>
  <r>
    <s v="ORD-02381"/>
    <x v="182"/>
    <x v="1"/>
    <s v="North Carolina"/>
    <s v="Charlotte"/>
    <s v="Morgan Davis"/>
    <x v="0"/>
    <x v="0"/>
    <s v="Binders"/>
    <s v="Heavy-Duty Binder"/>
    <n v="10"/>
    <n v="21.62"/>
    <n v="0"/>
    <n v="216.2"/>
    <n v="143.74"/>
    <n v="72.459999999999994"/>
    <s v="Credit Card"/>
  </r>
  <r>
    <s v="ORD-00489"/>
    <x v="183"/>
    <x v="2"/>
    <s v="New Jersey"/>
    <s v="Trenton"/>
    <s v="Jordan Lee"/>
    <x v="0"/>
    <x v="0"/>
    <s v="Printers"/>
    <s v="Laser Printer"/>
    <n v="10"/>
    <n v="436.93"/>
    <n v="0.2"/>
    <n v="3495.44"/>
    <n v="2162.31"/>
    <n v="1333.13"/>
    <s v="PayPal"/>
  </r>
  <r>
    <s v="ORD-02077"/>
    <x v="183"/>
    <x v="0"/>
    <s v="Colorado"/>
    <s v="Colorado Springs"/>
    <s v="Riley Wilson"/>
    <x v="0"/>
    <x v="2"/>
    <s v="Bookcases"/>
    <s v="5-Shelf Bookcase"/>
    <n v="5"/>
    <n v="345.9"/>
    <n v="0.15"/>
    <n v="1470.08"/>
    <n v="842.96"/>
    <n v="627.12"/>
    <s v="Debit Card"/>
  </r>
  <r>
    <s v="ORD-00445"/>
    <x v="183"/>
    <x v="0"/>
    <s v="Oregon"/>
    <s v="Salem"/>
    <s v="Taylor Smith"/>
    <x v="2"/>
    <x v="2"/>
    <s v="Chairs"/>
    <s v="Executive Chair"/>
    <n v="7"/>
    <n v="126.99"/>
    <n v="0.1"/>
    <n v="800.04"/>
    <n v="556.5"/>
    <n v="243.54"/>
    <s v="Credit Card"/>
  </r>
  <r>
    <s v="ORD-00675"/>
    <x v="183"/>
    <x v="0"/>
    <s v="California"/>
    <s v="Los Angeles"/>
    <s v="Cameron Clark"/>
    <x v="2"/>
    <x v="0"/>
    <s v="Printers"/>
    <s v="Laser Printer"/>
    <n v="7"/>
    <n v="548.29"/>
    <n v="0.1"/>
    <n v="3454.23"/>
    <n v="2601.63"/>
    <n v="852.6"/>
    <s v="Credit Card"/>
  </r>
  <r>
    <s v="ORD-00799"/>
    <x v="183"/>
    <x v="2"/>
    <s v="Vermont"/>
    <s v="Montpelier"/>
    <s v="Taylor Smith"/>
    <x v="0"/>
    <x v="0"/>
    <s v="Paper"/>
    <s v="Copy Paper"/>
    <n v="8"/>
    <n v="25.76"/>
    <n v="0"/>
    <n v="206.08"/>
    <n v="146.12"/>
    <n v="59.96"/>
    <s v="Credit Card"/>
  </r>
  <r>
    <s v="ORD-02939"/>
    <x v="184"/>
    <x v="2"/>
    <s v="Vermont"/>
    <s v="Rutland"/>
    <s v="Casey Brown"/>
    <x v="0"/>
    <x v="1"/>
    <s v="Laptops"/>
    <s v="Workstation Laptop"/>
    <n v="7"/>
    <n v="1404.21"/>
    <n v="0.15"/>
    <n v="8355.0499999999993"/>
    <n v="5578.04"/>
    <n v="2777.01"/>
    <s v="PayPal"/>
  </r>
  <r>
    <s v="ORD-02111"/>
    <x v="184"/>
    <x v="0"/>
    <s v="Washington"/>
    <s v="Tacoma"/>
    <s v="Casey Brown"/>
    <x v="1"/>
    <x v="1"/>
    <s v="Headsets"/>
    <s v="Noise-Canceling Headset"/>
    <n v="7"/>
    <n v="163.04"/>
    <n v="0"/>
    <n v="1141.28"/>
    <n v="723.07"/>
    <n v="418.21"/>
    <s v="PayPal"/>
  </r>
  <r>
    <s v="ORD-02447"/>
    <x v="184"/>
    <x v="2"/>
    <s v="Vermont"/>
    <s v="Rutland"/>
    <s v="Jordan Lee"/>
    <x v="2"/>
    <x v="1"/>
    <s v="Monitors"/>
    <s v="27in Monitor"/>
    <n v="4"/>
    <n v="407.83"/>
    <n v="0.1"/>
    <n v="1468.19"/>
    <n v="888.7"/>
    <n v="579.49"/>
    <s v="Bank Transfer"/>
  </r>
  <r>
    <s v="ORD-02462"/>
    <x v="184"/>
    <x v="1"/>
    <s v="Florida"/>
    <s v="Miami"/>
    <s v="Jamie Miller"/>
    <x v="2"/>
    <x v="2"/>
    <s v="Desks"/>
    <s v="Executive Desk"/>
    <n v="1"/>
    <n v="484.25"/>
    <n v="0.1"/>
    <n v="435.82"/>
    <n v="328.51"/>
    <n v="107.31"/>
    <s v="Debit Card"/>
  </r>
  <r>
    <s v="ORD-00925"/>
    <x v="184"/>
    <x v="2"/>
    <s v="Pennsylvania"/>
    <s v="Philadelphia"/>
    <s v="Jamie Miller"/>
    <x v="0"/>
    <x v="1"/>
    <s v="Monitors"/>
    <s v="27in Monitor"/>
    <n v="9"/>
    <n v="604.84"/>
    <n v="0"/>
    <n v="5443.56"/>
    <n v="3024.3"/>
    <n v="2419.2600000000002"/>
    <s v="Debit Card"/>
  </r>
  <r>
    <s v="ORD-00276"/>
    <x v="185"/>
    <x v="0"/>
    <s v="Colorado"/>
    <s v="Boulder"/>
    <s v="Taylor Smith"/>
    <x v="0"/>
    <x v="1"/>
    <s v="Monitors"/>
    <s v="24in Monitor"/>
    <n v="3"/>
    <n v="600.84"/>
    <n v="0.05"/>
    <n v="1712.39"/>
    <n v="1076.5"/>
    <n v="635.89"/>
    <s v="Debit Card"/>
  </r>
  <r>
    <s v="ORD-01852"/>
    <x v="185"/>
    <x v="2"/>
    <s v="New York"/>
    <s v="Buffalo"/>
    <s v="Drew Anderson"/>
    <x v="2"/>
    <x v="0"/>
    <s v="Printers"/>
    <s v="All-in-One Printer"/>
    <n v="6"/>
    <n v="130.68"/>
    <n v="0.1"/>
    <n v="705.67"/>
    <n v="531.54999999999995"/>
    <n v="174.12"/>
    <s v="Bank Transfer"/>
  </r>
  <r>
    <s v="ORD-02613"/>
    <x v="185"/>
    <x v="1"/>
    <s v="Texas"/>
    <s v="Dallas"/>
    <s v="Casey Brown"/>
    <x v="0"/>
    <x v="1"/>
    <s v="Monitors"/>
    <s v="34in Monitor"/>
    <n v="5"/>
    <n v="290.3"/>
    <n v="0.05"/>
    <n v="1378.92"/>
    <n v="1063.24"/>
    <n v="315.68"/>
    <s v="PayPal"/>
  </r>
  <r>
    <s v="ORD-00701"/>
    <x v="185"/>
    <x v="1"/>
    <s v="Florida"/>
    <s v="Miami"/>
    <s v="Avery Johnson"/>
    <x v="2"/>
    <x v="0"/>
    <s v="Printers"/>
    <s v="All-in-One Printer"/>
    <n v="4"/>
    <n v="150.25"/>
    <n v="0.1"/>
    <n v="540.9"/>
    <n v="367.55"/>
    <n v="173.35"/>
    <s v="Credit Card"/>
  </r>
  <r>
    <s v="ORD-02745"/>
    <x v="185"/>
    <x v="2"/>
    <s v="New York"/>
    <s v="Rochester"/>
    <s v="Alex Morgan"/>
    <x v="1"/>
    <x v="1"/>
    <s v="Keyboards"/>
    <s v="Mechanical Keyboard"/>
    <n v="8"/>
    <n v="117.79"/>
    <n v="0.15"/>
    <n v="800.97"/>
    <n v="618.72"/>
    <n v="182.25"/>
    <s v="Credit Card"/>
  </r>
  <r>
    <s v="ORD-01501"/>
    <x v="185"/>
    <x v="3"/>
    <s v="Illinois"/>
    <s v="Chicago"/>
    <s v="Jamie Miller"/>
    <x v="0"/>
    <x v="2"/>
    <s v="Desks"/>
    <s v="Executive Desk"/>
    <n v="8"/>
    <n v="434.56"/>
    <n v="0.05"/>
    <n v="3302.66"/>
    <n v="2199.29"/>
    <n v="1103.3699999999999"/>
    <s v="Credit Card"/>
  </r>
  <r>
    <s v="ORD-01503"/>
    <x v="185"/>
    <x v="1"/>
    <s v="Florida"/>
    <s v="Miami"/>
    <s v="Morgan Davis"/>
    <x v="0"/>
    <x v="1"/>
    <s v="Monitors"/>
    <s v="34in Monitor"/>
    <n v="5"/>
    <n v="583.12"/>
    <n v="0"/>
    <n v="2915.6"/>
    <n v="1625.89"/>
    <n v="1289.71"/>
    <s v="PayPal"/>
  </r>
  <r>
    <s v="ORD-00005"/>
    <x v="186"/>
    <x v="3"/>
    <s v="Ohio"/>
    <s v="Cincinnati"/>
    <s v="Jordan Lee"/>
    <x v="0"/>
    <x v="0"/>
    <s v="Printers"/>
    <s v="Laser Printer"/>
    <n v="6"/>
    <n v="552.41999999999996"/>
    <n v="0"/>
    <n v="3314.52"/>
    <n v="2637.54"/>
    <n v="676.98"/>
    <s v="Bank Transfer"/>
  </r>
  <r>
    <s v="ORD-01267"/>
    <x v="186"/>
    <x v="3"/>
    <s v="Michigan"/>
    <s v="Grand Rapids"/>
    <s v="Drew Anderson"/>
    <x v="1"/>
    <x v="1"/>
    <s v="Headsets"/>
    <s v="USB Headset"/>
    <n v="7"/>
    <n v="99.34"/>
    <n v="0.1"/>
    <n v="625.84"/>
    <n v="355.52"/>
    <n v="270.32"/>
    <s v="Credit Card"/>
  </r>
  <r>
    <s v="ORD-00847"/>
    <x v="186"/>
    <x v="1"/>
    <s v="Virginia"/>
    <s v="Arlington"/>
    <s v="Riley Wilson"/>
    <x v="1"/>
    <x v="0"/>
    <s v="Printers"/>
    <s v="Color Printer"/>
    <n v="8"/>
    <n v="414.97"/>
    <n v="0.05"/>
    <n v="3153.77"/>
    <n v="2277.5100000000002"/>
    <n v="876.26"/>
    <s v="Debit Card"/>
  </r>
  <r>
    <s v="ORD-02620"/>
    <x v="186"/>
    <x v="3"/>
    <s v="Ohio"/>
    <s v="Cincinnati"/>
    <s v="Avery Johnson"/>
    <x v="0"/>
    <x v="2"/>
    <s v="Chairs"/>
    <s v="Executive Chair"/>
    <n v="10"/>
    <n v="420.63"/>
    <n v="0.1"/>
    <n v="3785.67"/>
    <n v="2427.5"/>
    <n v="1358.17"/>
    <s v="PayPal"/>
  </r>
  <r>
    <s v="ORD-00443"/>
    <x v="186"/>
    <x v="2"/>
    <s v="Vermont"/>
    <s v="Rutland"/>
    <s v="Avery Johnson"/>
    <x v="1"/>
    <x v="2"/>
    <s v="Desks"/>
    <s v="Work Desk"/>
    <n v="4"/>
    <n v="222.34"/>
    <n v="0.05"/>
    <n v="844.89"/>
    <n v="601.07000000000005"/>
    <n v="243.82"/>
    <s v="Debit Card"/>
  </r>
  <r>
    <s v="ORD-02027"/>
    <x v="186"/>
    <x v="3"/>
    <s v="Illinois"/>
    <s v="Chicago"/>
    <s v="Taylor Smith"/>
    <x v="0"/>
    <x v="0"/>
    <s v="Paper"/>
    <s v="Premium Paper"/>
    <n v="4"/>
    <n v="28.48"/>
    <n v="0.1"/>
    <n v="102.53"/>
    <n v="64.209999999999994"/>
    <n v="38.32"/>
    <s v="Bank Transfer"/>
  </r>
  <r>
    <s v="ORD-01774"/>
    <x v="186"/>
    <x v="0"/>
    <s v="Colorado"/>
    <s v="Colorado Springs"/>
    <s v="Taylor Smith"/>
    <x v="1"/>
    <x v="2"/>
    <s v="Bookcases"/>
    <s v="Storage Bookcase"/>
    <n v="10"/>
    <n v="295.93"/>
    <n v="0"/>
    <n v="2959.3"/>
    <n v="2078.0100000000002"/>
    <n v="881.29"/>
    <s v="Credit Card"/>
  </r>
  <r>
    <s v="ORD-02125"/>
    <x v="186"/>
    <x v="1"/>
    <s v="North Carolina"/>
    <s v="Charlotte"/>
    <s v="Avery Johnson"/>
    <x v="2"/>
    <x v="0"/>
    <s v="Binders"/>
    <s v="3-Ring Binder"/>
    <n v="6"/>
    <n v="5.05"/>
    <n v="0.1"/>
    <n v="27.27"/>
    <n v="15.49"/>
    <n v="11.78"/>
    <s v="Debit Card"/>
  </r>
  <r>
    <s v="ORD-00106"/>
    <x v="186"/>
    <x v="1"/>
    <s v="Texas"/>
    <s v="Austin"/>
    <s v="Drew Anderson"/>
    <x v="1"/>
    <x v="2"/>
    <s v="Desks"/>
    <s v="Standing Desk"/>
    <n v="1"/>
    <n v="777.65"/>
    <n v="0.1"/>
    <n v="699.88"/>
    <n v="391.27"/>
    <n v="308.61"/>
    <s v="PayPal"/>
  </r>
  <r>
    <s v="ORD-02596"/>
    <x v="187"/>
    <x v="0"/>
    <s v="California"/>
    <s v="Los Angeles"/>
    <s v="Alex Morgan"/>
    <x v="2"/>
    <x v="1"/>
    <s v="Headsets"/>
    <s v="Wireless Headset"/>
    <n v="10"/>
    <n v="138.19"/>
    <n v="0.05"/>
    <n v="1312.8"/>
    <n v="823.95"/>
    <n v="488.85"/>
    <s v="Bank Transfer"/>
  </r>
  <r>
    <s v="ORD-01876"/>
    <x v="187"/>
    <x v="0"/>
    <s v="Colorado"/>
    <s v="Denver"/>
    <s v="Drew Anderson"/>
    <x v="2"/>
    <x v="0"/>
    <s v="Pens"/>
    <s v="Ballpoint Pens"/>
    <n v="3"/>
    <n v="11.64"/>
    <n v="0.05"/>
    <n v="33.17"/>
    <n v="21.49"/>
    <n v="11.68"/>
    <s v="PayPal"/>
  </r>
  <r>
    <s v="ORD-02842"/>
    <x v="187"/>
    <x v="2"/>
    <s v="Massachusetts"/>
    <s v="Worcester"/>
    <s v="Jamie Miller"/>
    <x v="0"/>
    <x v="1"/>
    <s v="Headsets"/>
    <s v="Noise-Canceling Headset"/>
    <n v="9"/>
    <n v="199.96"/>
    <n v="0.1"/>
    <n v="1619.68"/>
    <n v="1315.81"/>
    <n v="303.87"/>
    <s v="Bank Transfer"/>
  </r>
  <r>
    <s v="ORD-02566"/>
    <x v="187"/>
    <x v="0"/>
    <s v="Arizona"/>
    <s v="Mesa"/>
    <s v="Jamie Miller"/>
    <x v="2"/>
    <x v="0"/>
    <s v="Binders"/>
    <s v="Presentation Binder"/>
    <n v="2"/>
    <n v="18.34"/>
    <n v="0.1"/>
    <n v="33.01"/>
    <n v="23.8"/>
    <n v="9.2100000000000009"/>
    <s v="PayPal"/>
  </r>
  <r>
    <s v="ORD-00628"/>
    <x v="188"/>
    <x v="1"/>
    <s v="Florida"/>
    <s v="Miami"/>
    <s v="Jordan Lee"/>
    <x v="2"/>
    <x v="1"/>
    <s v="Keyboards"/>
    <s v="Mechanical Keyboard"/>
    <n v="1"/>
    <n v="177.87"/>
    <n v="0"/>
    <n v="177.87"/>
    <n v="125.49"/>
    <n v="52.38"/>
    <s v="PayPal"/>
  </r>
  <r>
    <s v="ORD-01572"/>
    <x v="188"/>
    <x v="0"/>
    <s v="Colorado"/>
    <s v="Colorado Springs"/>
    <s v="Jamie Miller"/>
    <x v="1"/>
    <x v="2"/>
    <s v="Chairs"/>
    <s v="Executive Chair"/>
    <n v="6"/>
    <n v="265.74"/>
    <n v="0.15"/>
    <n v="1355.27"/>
    <n v="1048.67"/>
    <n v="306.60000000000002"/>
    <s v="Credit Card"/>
  </r>
  <r>
    <s v="ORD-01448"/>
    <x v="188"/>
    <x v="0"/>
    <s v="Washington"/>
    <s v="Tacoma"/>
    <s v="Taylor Smith"/>
    <x v="1"/>
    <x v="1"/>
    <s v="Laptops"/>
    <s v="Workstation Laptop"/>
    <n v="1"/>
    <n v="1330.22"/>
    <n v="0"/>
    <n v="1330.22"/>
    <n v="1035.95"/>
    <n v="294.27"/>
    <s v="Debit Card"/>
  </r>
  <r>
    <s v="ORD-01903"/>
    <x v="188"/>
    <x v="2"/>
    <s v="New York"/>
    <s v="Rochester"/>
    <s v="Jamie Miller"/>
    <x v="0"/>
    <x v="0"/>
    <s v="Paper"/>
    <s v="Premium Paper"/>
    <n v="5"/>
    <n v="20.85"/>
    <n v="0"/>
    <n v="104.25"/>
    <n v="70.959999999999994"/>
    <n v="33.29"/>
    <s v="Credit Card"/>
  </r>
  <r>
    <s v="ORD-02876"/>
    <x v="188"/>
    <x v="1"/>
    <s v="Georgia"/>
    <s v="Savannah"/>
    <s v="Jamie Miller"/>
    <x v="2"/>
    <x v="2"/>
    <s v="Desks"/>
    <s v="Executive Desk"/>
    <n v="10"/>
    <n v="600.72"/>
    <n v="0.15"/>
    <n v="5106.12"/>
    <n v="3712.85"/>
    <n v="1393.27"/>
    <s v="Debit Card"/>
  </r>
  <r>
    <s v="ORD-01196"/>
    <x v="188"/>
    <x v="2"/>
    <s v="Pennsylvania"/>
    <s v="Pittsburgh"/>
    <s v="Jordan Lee"/>
    <x v="2"/>
    <x v="0"/>
    <s v="Pens"/>
    <s v="Gel Pens"/>
    <n v="2"/>
    <n v="24.93"/>
    <n v="0.1"/>
    <n v="44.87"/>
    <n v="31.66"/>
    <n v="13.21"/>
    <s v="Credit Card"/>
  </r>
  <r>
    <s v="ORD-01080"/>
    <x v="188"/>
    <x v="2"/>
    <s v="Pennsylvania"/>
    <s v="Philadelphia"/>
    <s v="Alex Morgan"/>
    <x v="0"/>
    <x v="0"/>
    <s v="Pens"/>
    <s v="Ballpoint Pens"/>
    <n v="9"/>
    <n v="18"/>
    <n v="0"/>
    <n v="162"/>
    <n v="116.2"/>
    <n v="45.8"/>
    <s v="PayPal"/>
  </r>
  <r>
    <s v="ORD-01016"/>
    <x v="189"/>
    <x v="1"/>
    <s v="North Carolina"/>
    <s v="Durham"/>
    <s v="Alex Morgan"/>
    <x v="0"/>
    <x v="2"/>
    <s v="Desks"/>
    <s v="Standing Desk"/>
    <n v="4"/>
    <n v="856.54"/>
    <n v="0"/>
    <n v="3426.16"/>
    <n v="2446.35"/>
    <n v="979.81"/>
    <s v="Debit Card"/>
  </r>
  <r>
    <s v="ORD-01340"/>
    <x v="189"/>
    <x v="1"/>
    <s v="Florida"/>
    <s v="Orlando"/>
    <s v="Jordan Lee"/>
    <x v="1"/>
    <x v="2"/>
    <s v="Desks"/>
    <s v="Work Desk"/>
    <n v="4"/>
    <n v="481.87"/>
    <n v="0"/>
    <n v="1927.48"/>
    <n v="1534.34"/>
    <n v="393.14"/>
    <s v="PayPal"/>
  </r>
  <r>
    <s v="ORD-01203"/>
    <x v="189"/>
    <x v="0"/>
    <s v="Colorado"/>
    <s v="Denver"/>
    <s v="Drew Anderson"/>
    <x v="2"/>
    <x v="1"/>
    <s v="Headsets"/>
    <s v="Noise-Canceling Headset"/>
    <n v="4"/>
    <n v="163.55000000000001"/>
    <n v="0"/>
    <n v="654.20000000000005"/>
    <n v="441.97"/>
    <n v="212.23"/>
    <s v="Debit Card"/>
  </r>
  <r>
    <s v="ORD-00654"/>
    <x v="189"/>
    <x v="2"/>
    <s v="Pennsylvania"/>
    <s v="Pittsburgh"/>
    <s v="Drew Anderson"/>
    <x v="1"/>
    <x v="0"/>
    <s v="Pens"/>
    <s v="Fine Tip Pens"/>
    <n v="9"/>
    <n v="16.739999999999998"/>
    <n v="0.1"/>
    <n v="135.59"/>
    <n v="80.75"/>
    <n v="54.84"/>
    <s v="Debit Card"/>
  </r>
  <r>
    <s v="ORD-01632"/>
    <x v="189"/>
    <x v="3"/>
    <s v="Michigan"/>
    <s v="Grand Rapids"/>
    <s v="Drew Anderson"/>
    <x v="1"/>
    <x v="0"/>
    <s v="Printers"/>
    <s v="Laser Printer"/>
    <n v="6"/>
    <n v="395.65"/>
    <n v="0.05"/>
    <n v="2255.1999999999998"/>
    <n v="1363.91"/>
    <n v="891.29"/>
    <s v="PayPal"/>
  </r>
  <r>
    <s v="ORD-00058"/>
    <x v="189"/>
    <x v="2"/>
    <s v="New Jersey"/>
    <s v="Trenton"/>
    <s v="Alex Morgan"/>
    <x v="2"/>
    <x v="1"/>
    <s v="Keyboards"/>
    <s v="Mechanical Keyboard"/>
    <n v="8"/>
    <n v="116.26"/>
    <n v="0.05"/>
    <n v="883.58"/>
    <n v="546.77"/>
    <n v="336.81"/>
    <s v="PayPal"/>
  </r>
  <r>
    <s v="ORD-01459"/>
    <x v="190"/>
    <x v="1"/>
    <s v="Texas"/>
    <s v="Dallas"/>
    <s v="Casey Brown"/>
    <x v="0"/>
    <x v="1"/>
    <s v="Laptops"/>
    <s v="Ultrabook"/>
    <n v="5"/>
    <n v="729.76"/>
    <n v="0.15"/>
    <n v="3101.48"/>
    <n v="1748.22"/>
    <n v="1353.26"/>
    <s v="Bank Transfer"/>
  </r>
  <r>
    <s v="ORD-00194"/>
    <x v="190"/>
    <x v="3"/>
    <s v="Ohio"/>
    <s v="Cincinnati"/>
    <s v="Morgan Davis"/>
    <x v="0"/>
    <x v="1"/>
    <s v="Keyboards"/>
    <s v="Ergonomic Keyboard"/>
    <n v="8"/>
    <n v="145.85"/>
    <n v="0.05"/>
    <n v="1108.46"/>
    <n v="717.9"/>
    <n v="390.56"/>
    <s v="PayPal"/>
  </r>
  <r>
    <s v="ORD-00298"/>
    <x v="190"/>
    <x v="3"/>
    <s v="Indiana"/>
    <s v="Indianapolis"/>
    <s v="Riley Wilson"/>
    <x v="0"/>
    <x v="1"/>
    <s v="Laptops"/>
    <s v="Business Laptop"/>
    <n v="3"/>
    <n v="1035.8399999999999"/>
    <n v="0"/>
    <n v="3107.52"/>
    <n v="2455.96"/>
    <n v="651.55999999999995"/>
    <s v="Credit Card"/>
  </r>
  <r>
    <s v="ORD-01303"/>
    <x v="190"/>
    <x v="3"/>
    <s v="Illinois"/>
    <s v="Chicago"/>
    <s v="Casey Brown"/>
    <x v="0"/>
    <x v="1"/>
    <s v="Laptops"/>
    <s v="Business Laptop"/>
    <n v="5"/>
    <n v="835.22"/>
    <n v="0.15"/>
    <n v="3549.69"/>
    <n v="2620.08"/>
    <n v="929.61"/>
    <s v="PayPal"/>
  </r>
  <r>
    <s v="ORD-02654"/>
    <x v="191"/>
    <x v="2"/>
    <s v="Vermont"/>
    <s v="Burlington"/>
    <s v="Taylor Smith"/>
    <x v="2"/>
    <x v="0"/>
    <s v="Binders"/>
    <s v="Heavy-Duty Binder"/>
    <n v="1"/>
    <n v="6.55"/>
    <n v="0"/>
    <n v="6.55"/>
    <n v="4.79"/>
    <n v="1.76"/>
    <s v="Bank Transfer"/>
  </r>
  <r>
    <s v="ORD-01277"/>
    <x v="191"/>
    <x v="2"/>
    <s v="Pennsylvania"/>
    <s v="Philadelphia"/>
    <s v="Riley Wilson"/>
    <x v="0"/>
    <x v="0"/>
    <s v="Binders"/>
    <s v="3-Ring Binder"/>
    <n v="10"/>
    <n v="25.57"/>
    <n v="0.1"/>
    <n v="230.13"/>
    <n v="135"/>
    <n v="95.13"/>
    <s v="Bank Transfer"/>
  </r>
  <r>
    <s v="ORD-02583"/>
    <x v="191"/>
    <x v="1"/>
    <s v="Virginia"/>
    <s v="Arlington"/>
    <s v="Taylor Smith"/>
    <x v="0"/>
    <x v="2"/>
    <s v="Bookcases"/>
    <s v="5-Shelf Bookcase"/>
    <n v="6"/>
    <n v="250.94"/>
    <n v="0"/>
    <n v="1505.64"/>
    <n v="859.27"/>
    <n v="646.37"/>
    <s v="Credit Card"/>
  </r>
  <r>
    <s v="ORD-01125"/>
    <x v="192"/>
    <x v="1"/>
    <s v="North Carolina"/>
    <s v="Durham"/>
    <s v="Taylor Smith"/>
    <x v="0"/>
    <x v="1"/>
    <s v="Monitors"/>
    <s v="34in Monitor"/>
    <n v="7"/>
    <n v="247.99"/>
    <n v="0.1"/>
    <n v="1562.34"/>
    <n v="1123.1099999999999"/>
    <n v="439.23"/>
    <s v="PayPal"/>
  </r>
  <r>
    <s v="ORD-01078"/>
    <x v="192"/>
    <x v="2"/>
    <s v="New Jersey"/>
    <s v="Trenton"/>
    <s v="Avery Johnson"/>
    <x v="1"/>
    <x v="2"/>
    <s v="Chairs"/>
    <s v="Executive Chair"/>
    <n v="5"/>
    <n v="122.1"/>
    <n v="0.15"/>
    <n v="518.91999999999996"/>
    <n v="425.49"/>
    <n v="93.43"/>
    <s v="Credit Card"/>
  </r>
  <r>
    <s v="ORD-01008"/>
    <x v="192"/>
    <x v="2"/>
    <s v="Massachusetts"/>
    <s v="Springfield"/>
    <s v="Riley Wilson"/>
    <x v="2"/>
    <x v="2"/>
    <s v="Chairs"/>
    <s v="Executive Chair"/>
    <n v="9"/>
    <n v="446.98"/>
    <n v="0.05"/>
    <n v="3821.68"/>
    <n v="2602.94"/>
    <n v="1218.74"/>
    <s v="PayPal"/>
  </r>
  <r>
    <s v="ORD-02470"/>
    <x v="192"/>
    <x v="0"/>
    <s v="Washington"/>
    <s v="Tacoma"/>
    <s v="Jordan Lee"/>
    <x v="2"/>
    <x v="1"/>
    <s v="Laptops"/>
    <s v="Ultrabook"/>
    <n v="9"/>
    <n v="1282.3800000000001"/>
    <n v="0.05"/>
    <n v="10964.35"/>
    <n v="8546.23"/>
    <n v="2418.12"/>
    <s v="Bank Transfer"/>
  </r>
  <r>
    <s v="ORD-01782"/>
    <x v="192"/>
    <x v="0"/>
    <s v="Washington"/>
    <s v="Spokane"/>
    <s v="Drew Anderson"/>
    <x v="0"/>
    <x v="2"/>
    <s v="Bookcases"/>
    <s v="3-Shelf Bookcase"/>
    <n v="6"/>
    <n v="127.92"/>
    <n v="0.05"/>
    <n v="729.14"/>
    <n v="487.73"/>
    <n v="241.41"/>
    <s v="Credit Card"/>
  </r>
  <r>
    <s v="ORD-02602"/>
    <x v="192"/>
    <x v="2"/>
    <s v="New York"/>
    <s v="New York City"/>
    <s v="Casey Brown"/>
    <x v="2"/>
    <x v="1"/>
    <s v="Headsets"/>
    <s v="Wireless Headset"/>
    <n v="2"/>
    <n v="134.56"/>
    <n v="0"/>
    <n v="269.12"/>
    <n v="157.44999999999999"/>
    <n v="111.67"/>
    <s v="Credit Card"/>
  </r>
  <r>
    <s v="ORD-00241"/>
    <x v="192"/>
    <x v="1"/>
    <s v="North Carolina"/>
    <s v="Durham"/>
    <s v="Taylor Smith"/>
    <x v="2"/>
    <x v="0"/>
    <s v="Paper"/>
    <s v="Recycled Paper"/>
    <n v="4"/>
    <n v="30.88"/>
    <n v="0.15"/>
    <n v="104.99"/>
    <n v="73.95"/>
    <n v="31.04"/>
    <s v="Credit Card"/>
  </r>
  <r>
    <s v="ORD-02334"/>
    <x v="192"/>
    <x v="2"/>
    <s v="Vermont"/>
    <s v="Montpelier"/>
    <s v="Riley Wilson"/>
    <x v="0"/>
    <x v="2"/>
    <s v="Chairs"/>
    <s v="Executive Chair"/>
    <n v="4"/>
    <n v="592.91"/>
    <n v="0.15"/>
    <n v="2015.89"/>
    <n v="1477.25"/>
    <n v="538.64"/>
    <s v="Bank Transfer"/>
  </r>
  <r>
    <s v="ORD-00248"/>
    <x v="193"/>
    <x v="2"/>
    <s v="Pennsylvania"/>
    <s v="Philadelphia"/>
    <s v="Casey Brown"/>
    <x v="0"/>
    <x v="1"/>
    <s v="Monitors"/>
    <s v="34in Monitor"/>
    <n v="1"/>
    <n v="270.33"/>
    <n v="0.15"/>
    <n v="229.78"/>
    <n v="154.36000000000001"/>
    <n v="75.42"/>
    <s v="PayPal"/>
  </r>
  <r>
    <s v="ORD-02107"/>
    <x v="193"/>
    <x v="3"/>
    <s v="Ohio"/>
    <s v="Cincinnati"/>
    <s v="Jamie Miller"/>
    <x v="0"/>
    <x v="0"/>
    <s v="Binders"/>
    <s v="3-Ring Binder"/>
    <n v="5"/>
    <n v="17.47"/>
    <n v="0"/>
    <n v="87.35"/>
    <n v="70.31"/>
    <n v="17.04"/>
    <s v="Credit Card"/>
  </r>
  <r>
    <s v="ORD-01320"/>
    <x v="193"/>
    <x v="3"/>
    <s v="Illinois"/>
    <s v="Peoria"/>
    <s v="Jordan Lee"/>
    <x v="2"/>
    <x v="0"/>
    <s v="Pens"/>
    <s v="Gel Pens"/>
    <n v="8"/>
    <n v="21.53"/>
    <n v="0.1"/>
    <n v="155.02000000000001"/>
    <n v="114.76"/>
    <n v="40.26"/>
    <s v="Debit Card"/>
  </r>
  <r>
    <s v="ORD-01040"/>
    <x v="193"/>
    <x v="3"/>
    <s v="Minnesota"/>
    <s v="St. Paul"/>
    <s v="Cameron Clark"/>
    <x v="0"/>
    <x v="0"/>
    <s v="Binders"/>
    <s v="Presentation Binder"/>
    <n v="7"/>
    <n v="10.88"/>
    <n v="0"/>
    <n v="76.16"/>
    <n v="46.37"/>
    <n v="29.79"/>
    <s v="PayPal"/>
  </r>
  <r>
    <s v="ORD-00427"/>
    <x v="193"/>
    <x v="2"/>
    <s v="Massachusetts"/>
    <s v="Springfield"/>
    <s v="Drew Anderson"/>
    <x v="1"/>
    <x v="0"/>
    <s v="Binders"/>
    <s v="Heavy-Duty Binder"/>
    <n v="10"/>
    <n v="14.07"/>
    <n v="0.05"/>
    <n v="133.66"/>
    <n v="75.98"/>
    <n v="57.68"/>
    <s v="Credit Card"/>
  </r>
  <r>
    <s v="ORD-00147"/>
    <x v="193"/>
    <x v="3"/>
    <s v="Michigan"/>
    <s v="Detroit"/>
    <s v="Jamie Miller"/>
    <x v="0"/>
    <x v="0"/>
    <s v="Binders"/>
    <s v="3-Ring Binder"/>
    <n v="1"/>
    <n v="19.22"/>
    <n v="0.1"/>
    <n v="17.3"/>
    <n v="12.69"/>
    <n v="4.6100000000000003"/>
    <s v="Credit Card"/>
  </r>
  <r>
    <s v="ORD-02649"/>
    <x v="193"/>
    <x v="3"/>
    <s v="Ohio"/>
    <s v="Cincinnati"/>
    <s v="Cameron Clark"/>
    <x v="1"/>
    <x v="1"/>
    <s v="Laptops"/>
    <s v="Business Laptop"/>
    <n v="7"/>
    <n v="784.49"/>
    <n v="0"/>
    <n v="5491.43"/>
    <n v="4119.8599999999997"/>
    <n v="1371.57"/>
    <s v="Credit Card"/>
  </r>
  <r>
    <s v="ORD-00677"/>
    <x v="193"/>
    <x v="0"/>
    <s v="Washington"/>
    <s v="Seattle"/>
    <s v="Taylor Smith"/>
    <x v="2"/>
    <x v="0"/>
    <s v="Pens"/>
    <s v="Gel Pens"/>
    <n v="4"/>
    <n v="15.55"/>
    <n v="0"/>
    <n v="62.2"/>
    <n v="46.44"/>
    <n v="15.76"/>
    <s v="Bank Transfer"/>
  </r>
  <r>
    <s v="ORD-02648"/>
    <x v="193"/>
    <x v="3"/>
    <s v="Michigan"/>
    <s v="Detroit"/>
    <s v="Taylor Smith"/>
    <x v="2"/>
    <x v="0"/>
    <s v="Pens"/>
    <s v="Gel Pens"/>
    <n v="8"/>
    <n v="6.17"/>
    <n v="0"/>
    <n v="49.36"/>
    <n v="33.5"/>
    <n v="15.86"/>
    <s v="Bank Transfer"/>
  </r>
  <r>
    <s v="ORD-00657"/>
    <x v="193"/>
    <x v="3"/>
    <s v="Indiana"/>
    <s v="Fort Wayne"/>
    <s v="Jamie Miller"/>
    <x v="0"/>
    <x v="1"/>
    <s v="Keyboards"/>
    <s v="Mechanical Keyboard"/>
    <n v="7"/>
    <n v="63.49"/>
    <n v="0"/>
    <n v="444.43"/>
    <n v="295.24"/>
    <n v="149.19"/>
    <s v="Credit Card"/>
  </r>
  <r>
    <s v="ORD-02687"/>
    <x v="194"/>
    <x v="3"/>
    <s v="Illinois"/>
    <s v="Chicago"/>
    <s v="Riley Wilson"/>
    <x v="2"/>
    <x v="1"/>
    <s v="Headsets"/>
    <s v="Noise-Canceling Headset"/>
    <n v="6"/>
    <n v="95.71"/>
    <n v="0.05"/>
    <n v="545.54999999999995"/>
    <n v="342.55"/>
    <n v="203"/>
    <s v="Credit Card"/>
  </r>
  <r>
    <s v="ORD-01285"/>
    <x v="194"/>
    <x v="3"/>
    <s v="Illinois"/>
    <s v="Springfield"/>
    <s v="Jamie Miller"/>
    <x v="0"/>
    <x v="2"/>
    <s v="Chairs"/>
    <s v="Task Chair"/>
    <n v="8"/>
    <n v="557.6"/>
    <n v="0.1"/>
    <n v="4014.72"/>
    <n v="2450.94"/>
    <n v="1563.78"/>
    <s v="PayPal"/>
  </r>
  <r>
    <s v="ORD-00900"/>
    <x v="194"/>
    <x v="3"/>
    <s v="Indiana"/>
    <s v="Fort Wayne"/>
    <s v="Morgan Davis"/>
    <x v="2"/>
    <x v="2"/>
    <s v="Tables"/>
    <s v="Conference Table"/>
    <n v="8"/>
    <n v="375.64"/>
    <n v="0.05"/>
    <n v="2854.86"/>
    <n v="1990.41"/>
    <n v="864.45"/>
    <s v="Debit Card"/>
  </r>
  <r>
    <s v="ORD-02081"/>
    <x v="194"/>
    <x v="2"/>
    <s v="Vermont"/>
    <s v="Burlington"/>
    <s v="Casey Brown"/>
    <x v="2"/>
    <x v="0"/>
    <s v="Binders"/>
    <s v="Heavy-Duty Binder"/>
    <n v="4"/>
    <n v="16.010000000000002"/>
    <n v="0.05"/>
    <n v="60.84"/>
    <n v="46.9"/>
    <n v="13.94"/>
    <s v="Credit Card"/>
  </r>
  <r>
    <s v="ORD-02822"/>
    <x v="194"/>
    <x v="3"/>
    <s v="Illinois"/>
    <s v="Peoria"/>
    <s v="Drew Anderson"/>
    <x v="2"/>
    <x v="0"/>
    <s v="Printers"/>
    <s v="Laser Printer"/>
    <n v="9"/>
    <n v="448.38"/>
    <n v="0.15"/>
    <n v="3430.11"/>
    <n v="2246.15"/>
    <n v="1183.96"/>
    <s v="Bank Transfer"/>
  </r>
  <r>
    <s v="ORD-02213"/>
    <x v="195"/>
    <x v="1"/>
    <s v="North Carolina"/>
    <s v="Durham"/>
    <s v="Taylor Smith"/>
    <x v="2"/>
    <x v="1"/>
    <s v="Keyboards"/>
    <s v="Ergonomic Keyboard"/>
    <n v="10"/>
    <n v="99.17"/>
    <n v="0"/>
    <n v="991.7"/>
    <n v="803.41"/>
    <n v="188.29"/>
    <s v="Debit Card"/>
  </r>
  <r>
    <s v="ORD-00912"/>
    <x v="195"/>
    <x v="2"/>
    <s v="Pennsylvania"/>
    <s v="Pittsburgh"/>
    <s v="Drew Anderson"/>
    <x v="1"/>
    <x v="1"/>
    <s v="Laptops"/>
    <s v="Business Laptop"/>
    <n v="7"/>
    <n v="1121.97"/>
    <n v="0.1"/>
    <n v="7068.41"/>
    <n v="5793.41"/>
    <n v="1275"/>
    <s v="Debit Card"/>
  </r>
  <r>
    <s v="ORD-00126"/>
    <x v="195"/>
    <x v="0"/>
    <s v="Oregon"/>
    <s v="Portland"/>
    <s v="Riley Wilson"/>
    <x v="2"/>
    <x v="0"/>
    <s v="Printers"/>
    <s v="All-in-One Printer"/>
    <n v="3"/>
    <n v="196.56"/>
    <n v="0"/>
    <n v="589.67999999999995"/>
    <n v="435.06"/>
    <n v="154.62"/>
    <s v="Debit Card"/>
  </r>
  <r>
    <s v="ORD-00644"/>
    <x v="195"/>
    <x v="2"/>
    <s v="Vermont"/>
    <s v="Burlington"/>
    <s v="Drew Anderson"/>
    <x v="2"/>
    <x v="2"/>
    <s v="Bookcases"/>
    <s v="5-Shelf Bookcase"/>
    <n v="8"/>
    <n v="148.88999999999999"/>
    <n v="0.2"/>
    <n v="952.9"/>
    <n v="713.01"/>
    <n v="239.89"/>
    <s v="PayPal"/>
  </r>
  <r>
    <s v="ORD-00172"/>
    <x v="195"/>
    <x v="2"/>
    <s v="Vermont"/>
    <s v="Montpelier"/>
    <s v="Jamie Miller"/>
    <x v="0"/>
    <x v="1"/>
    <s v="Laptops"/>
    <s v="Business Laptop"/>
    <n v="4"/>
    <n v="1115.99"/>
    <n v="0.05"/>
    <n v="4240.76"/>
    <n v="2529.4299999999998"/>
    <n v="1711.33"/>
    <s v="Credit Card"/>
  </r>
  <r>
    <s v="ORD-02010"/>
    <x v="195"/>
    <x v="2"/>
    <s v="New York"/>
    <s v="Rochester"/>
    <s v="Casey Brown"/>
    <x v="2"/>
    <x v="2"/>
    <s v="Desks"/>
    <s v="Standing Desk"/>
    <n v="10"/>
    <n v="685.69"/>
    <n v="0.1"/>
    <n v="6171.21"/>
    <n v="5026.87"/>
    <n v="1144.3399999999999"/>
    <s v="Debit Card"/>
  </r>
  <r>
    <s v="ORD-00882"/>
    <x v="195"/>
    <x v="1"/>
    <s v="Virginia"/>
    <s v="Richmond"/>
    <s v="Drew Anderson"/>
    <x v="0"/>
    <x v="0"/>
    <s v="Pens"/>
    <s v="Ballpoint Pens"/>
    <n v="3"/>
    <n v="19.440000000000001"/>
    <n v="0.15"/>
    <n v="49.57"/>
    <n v="37.78"/>
    <n v="11.79"/>
    <s v="PayPal"/>
  </r>
  <r>
    <s v="ORD-01481"/>
    <x v="195"/>
    <x v="3"/>
    <s v="Indiana"/>
    <s v="Indianapolis"/>
    <s v="Alex Morgan"/>
    <x v="0"/>
    <x v="2"/>
    <s v="Tables"/>
    <s v="Conference Table"/>
    <n v="2"/>
    <n v="548.13"/>
    <n v="0.2"/>
    <n v="877.01"/>
    <n v="642.73"/>
    <n v="234.28"/>
    <s v="Credit Card"/>
  </r>
  <r>
    <s v="ORD-01248"/>
    <x v="196"/>
    <x v="1"/>
    <s v="Texas"/>
    <s v="Austin"/>
    <s v="Jamie Miller"/>
    <x v="0"/>
    <x v="2"/>
    <s v="Bookcases"/>
    <s v="5-Shelf Bookcase"/>
    <n v="8"/>
    <n v="444.78"/>
    <n v="0.1"/>
    <n v="3202.42"/>
    <n v="2068.1999999999998"/>
    <n v="1134.22"/>
    <s v="Debit Card"/>
  </r>
  <r>
    <s v="ORD-00586"/>
    <x v="196"/>
    <x v="3"/>
    <s v="Ohio"/>
    <s v="Cleveland"/>
    <s v="Morgan Davis"/>
    <x v="0"/>
    <x v="0"/>
    <s v="Printers"/>
    <s v="All-in-One Printer"/>
    <n v="7"/>
    <n v="303.5"/>
    <n v="0.1"/>
    <n v="1912.05"/>
    <n v="1543.29"/>
    <n v="368.76"/>
    <s v="Bank Transfer"/>
  </r>
  <r>
    <s v="ORD-01182"/>
    <x v="196"/>
    <x v="0"/>
    <s v="Oregon"/>
    <s v="Portland"/>
    <s v="Jordan Lee"/>
    <x v="1"/>
    <x v="1"/>
    <s v="Keyboards"/>
    <s v="Ergonomic Keyboard"/>
    <n v="7"/>
    <n v="91.41"/>
    <n v="0.05"/>
    <n v="607.88"/>
    <n v="440.23"/>
    <n v="167.65"/>
    <s v="Credit Card"/>
  </r>
  <r>
    <s v="ORD-02377"/>
    <x v="196"/>
    <x v="3"/>
    <s v="Minnesota"/>
    <s v="Rochester"/>
    <s v="Avery Johnson"/>
    <x v="2"/>
    <x v="2"/>
    <s v="Bookcases"/>
    <s v="3-Shelf Bookcase"/>
    <n v="4"/>
    <n v="437.66"/>
    <n v="0"/>
    <n v="1750.64"/>
    <n v="1432.23"/>
    <n v="318.41000000000003"/>
    <s v="PayPal"/>
  </r>
  <r>
    <s v="ORD-01998"/>
    <x v="196"/>
    <x v="2"/>
    <s v="New York"/>
    <s v="Buffalo"/>
    <s v="Taylor Smith"/>
    <x v="2"/>
    <x v="0"/>
    <s v="Printers"/>
    <s v="All-in-One Printer"/>
    <n v="3"/>
    <n v="513.54999999999995"/>
    <n v="0"/>
    <n v="1540.65"/>
    <n v="984.61"/>
    <n v="556.04"/>
    <s v="Credit Card"/>
  </r>
  <r>
    <s v="ORD-00267"/>
    <x v="196"/>
    <x v="0"/>
    <s v="Arizona"/>
    <s v="Tucson"/>
    <s v="Taylor Smith"/>
    <x v="0"/>
    <x v="0"/>
    <s v="Binders"/>
    <s v="Heavy-Duty Binder"/>
    <n v="9"/>
    <n v="21.72"/>
    <n v="0.15"/>
    <n v="166.16"/>
    <n v="116.98"/>
    <n v="49.18"/>
    <s v="Debit Card"/>
  </r>
  <r>
    <s v="ORD-00419"/>
    <x v="196"/>
    <x v="0"/>
    <s v="Oregon"/>
    <s v="Eugene"/>
    <s v="Cameron Clark"/>
    <x v="0"/>
    <x v="0"/>
    <s v="Printers"/>
    <s v="Laser Printer"/>
    <n v="7"/>
    <n v="262.07"/>
    <n v="0.1"/>
    <n v="1651.04"/>
    <n v="1159.82"/>
    <n v="491.22"/>
    <s v="Bank Transfer"/>
  </r>
  <r>
    <s v="ORD-02322"/>
    <x v="196"/>
    <x v="1"/>
    <s v="Florida"/>
    <s v="Miami"/>
    <s v="Jordan Lee"/>
    <x v="2"/>
    <x v="0"/>
    <s v="Pens"/>
    <s v="Gel Pens"/>
    <n v="10"/>
    <n v="6.48"/>
    <n v="0.05"/>
    <n v="61.56"/>
    <n v="39.479999999999997"/>
    <n v="22.08"/>
    <s v="Debit Card"/>
  </r>
  <r>
    <s v="ORD-00814"/>
    <x v="196"/>
    <x v="0"/>
    <s v="California"/>
    <s v="San Jose"/>
    <s v="Alex Morgan"/>
    <x v="0"/>
    <x v="1"/>
    <s v="Laptops"/>
    <s v="Ultrabook"/>
    <n v="10"/>
    <n v="1736.53"/>
    <n v="0"/>
    <n v="17365.3"/>
    <n v="10392.469999999999"/>
    <n v="6972.83"/>
    <s v="PayPal"/>
  </r>
  <r>
    <s v="ORD-02458"/>
    <x v="196"/>
    <x v="3"/>
    <s v="Illinois"/>
    <s v="Springfield"/>
    <s v="Riley Wilson"/>
    <x v="2"/>
    <x v="1"/>
    <s v="Keyboards"/>
    <s v="Mechanical Keyboard"/>
    <n v="7"/>
    <n v="56.71"/>
    <n v="0.1"/>
    <n v="357.27"/>
    <n v="235.55"/>
    <n v="121.72"/>
    <s v="Credit Card"/>
  </r>
  <r>
    <s v="ORD-02960"/>
    <x v="197"/>
    <x v="2"/>
    <s v="Pennsylvania"/>
    <s v="Pittsburgh"/>
    <s v="Alex Morgan"/>
    <x v="0"/>
    <x v="1"/>
    <s v="Laptops"/>
    <s v="Ultrabook"/>
    <n v="10"/>
    <n v="648.29"/>
    <n v="0.1"/>
    <n v="5834.61"/>
    <n v="4429.71"/>
    <n v="1404.9"/>
    <s v="Credit Card"/>
  </r>
  <r>
    <s v="ORD-00543"/>
    <x v="197"/>
    <x v="3"/>
    <s v="Indiana"/>
    <s v="Indianapolis"/>
    <s v="Avery Johnson"/>
    <x v="2"/>
    <x v="0"/>
    <s v="Paper"/>
    <s v="Copy Paper"/>
    <n v="6"/>
    <n v="24.75"/>
    <n v="0.15"/>
    <n v="126.22"/>
    <n v="98"/>
    <n v="28.22"/>
    <s v="PayPal"/>
  </r>
  <r>
    <s v="ORD-02526"/>
    <x v="197"/>
    <x v="0"/>
    <s v="Arizona"/>
    <s v="Mesa"/>
    <s v="Morgan Davis"/>
    <x v="2"/>
    <x v="2"/>
    <s v="Tables"/>
    <s v="Conference Table"/>
    <n v="10"/>
    <n v="339.99"/>
    <n v="0.15"/>
    <n v="2889.92"/>
    <n v="2144.64"/>
    <n v="745.28"/>
    <s v="Bank Transfer"/>
  </r>
  <r>
    <s v="ORD-02048"/>
    <x v="197"/>
    <x v="3"/>
    <s v="Minnesota"/>
    <s v="St. Paul"/>
    <s v="Drew Anderson"/>
    <x v="0"/>
    <x v="1"/>
    <s v="Headsets"/>
    <s v="Wireless Headset"/>
    <n v="8"/>
    <n v="245.13"/>
    <n v="0.1"/>
    <n v="1764.94"/>
    <n v="1269.92"/>
    <n v="495.02"/>
    <s v="Debit Card"/>
  </r>
  <r>
    <s v="ORD-01479"/>
    <x v="197"/>
    <x v="1"/>
    <s v="Virginia"/>
    <s v="Norfolk"/>
    <s v="Avery Johnson"/>
    <x v="2"/>
    <x v="0"/>
    <s v="Pens"/>
    <s v="Ballpoint Pens"/>
    <n v="6"/>
    <n v="24.94"/>
    <n v="0.05"/>
    <n v="142.16"/>
    <n v="109.78"/>
    <n v="32.380000000000003"/>
    <s v="Bank Transfer"/>
  </r>
  <r>
    <s v="ORD-01259"/>
    <x v="198"/>
    <x v="0"/>
    <s v="Arizona"/>
    <s v="Tucson"/>
    <s v="Jamie Miller"/>
    <x v="0"/>
    <x v="0"/>
    <s v="Printers"/>
    <s v="Laser Printer"/>
    <n v="10"/>
    <n v="527.96"/>
    <n v="0"/>
    <n v="5279.6"/>
    <n v="3687.29"/>
    <n v="1592.31"/>
    <s v="PayPal"/>
  </r>
  <r>
    <s v="ORD-00214"/>
    <x v="198"/>
    <x v="3"/>
    <s v="Indiana"/>
    <s v="Evansville"/>
    <s v="Drew Anderson"/>
    <x v="0"/>
    <x v="1"/>
    <s v="Keyboards"/>
    <s v="Ergonomic Keyboard"/>
    <n v="8"/>
    <n v="101.55"/>
    <n v="0.05"/>
    <n v="771.78"/>
    <n v="510.47"/>
    <n v="261.31"/>
    <s v="Debit Card"/>
  </r>
  <r>
    <s v="ORD-01053"/>
    <x v="198"/>
    <x v="3"/>
    <s v="Minnesota"/>
    <s v="Minneapolis"/>
    <s v="Avery Johnson"/>
    <x v="0"/>
    <x v="2"/>
    <s v="Chairs"/>
    <s v="Task Chair"/>
    <n v="4"/>
    <n v="491.99"/>
    <n v="0.15"/>
    <n v="1672.77"/>
    <n v="1015.26"/>
    <n v="657.51"/>
    <s v="Credit Card"/>
  </r>
  <r>
    <s v="ORD-00863"/>
    <x v="198"/>
    <x v="1"/>
    <s v="Virginia"/>
    <s v="Arlington"/>
    <s v="Avery Johnson"/>
    <x v="0"/>
    <x v="2"/>
    <s v="Tables"/>
    <s v="Training Table"/>
    <n v="10"/>
    <n v="432.25"/>
    <n v="0"/>
    <n v="4322.5"/>
    <n v="3356.52"/>
    <n v="965.98"/>
    <s v="Bank Transfer"/>
  </r>
  <r>
    <s v="ORD-00200"/>
    <x v="198"/>
    <x v="3"/>
    <s v="Illinois"/>
    <s v="Chicago"/>
    <s v="Drew Anderson"/>
    <x v="0"/>
    <x v="1"/>
    <s v="Monitors"/>
    <s v="27in Monitor"/>
    <n v="6"/>
    <n v="610.67999999999995"/>
    <n v="0"/>
    <n v="3664.08"/>
    <n v="2680.76"/>
    <n v="983.32"/>
    <s v="Bank Transfer"/>
  </r>
  <r>
    <s v="ORD-01997"/>
    <x v="198"/>
    <x v="1"/>
    <s v="Texas"/>
    <s v="Austin"/>
    <s v="Jamie Miller"/>
    <x v="2"/>
    <x v="0"/>
    <s v="Pens"/>
    <s v="Ballpoint Pens"/>
    <n v="2"/>
    <n v="15.63"/>
    <n v="0"/>
    <n v="31.26"/>
    <n v="17.760000000000002"/>
    <n v="13.5"/>
    <s v="PayPal"/>
  </r>
  <r>
    <s v="ORD-01098"/>
    <x v="198"/>
    <x v="1"/>
    <s v="Virginia"/>
    <s v="Norfolk"/>
    <s v="Jamie Miller"/>
    <x v="2"/>
    <x v="1"/>
    <s v="Laptops"/>
    <s v="Ultrabook"/>
    <n v="4"/>
    <n v="1658.91"/>
    <n v="0"/>
    <n v="6635.64"/>
    <n v="4753.5"/>
    <n v="1882.14"/>
    <s v="Bank Transfer"/>
  </r>
  <r>
    <s v="ORD-02693"/>
    <x v="198"/>
    <x v="0"/>
    <s v="California"/>
    <s v="San Jose"/>
    <s v="Morgan Davis"/>
    <x v="0"/>
    <x v="1"/>
    <s v="Keyboards"/>
    <s v="Ergonomic Keyboard"/>
    <n v="6"/>
    <n v="69.569999999999993"/>
    <n v="0.1"/>
    <n v="375.68"/>
    <n v="231"/>
    <n v="144.68"/>
    <s v="PayPal"/>
  </r>
  <r>
    <s v="ORD-00576"/>
    <x v="198"/>
    <x v="1"/>
    <s v="Georgia"/>
    <s v="Augusta"/>
    <s v="Riley Wilson"/>
    <x v="2"/>
    <x v="2"/>
    <s v="Chairs"/>
    <s v="Task Chair"/>
    <n v="9"/>
    <n v="352.33"/>
    <n v="0.15"/>
    <n v="2695.32"/>
    <n v="1931.65"/>
    <n v="763.67"/>
    <s v="PayPal"/>
  </r>
  <r>
    <s v="ORD-02283"/>
    <x v="198"/>
    <x v="0"/>
    <s v="California"/>
    <s v="San Jose"/>
    <s v="Alex Morgan"/>
    <x v="0"/>
    <x v="2"/>
    <s v="Tables"/>
    <s v="Training Table"/>
    <n v="2"/>
    <n v="187.26"/>
    <n v="0.15"/>
    <n v="318.33999999999997"/>
    <n v="184.21"/>
    <n v="134.13"/>
    <s v="Credit Card"/>
  </r>
  <r>
    <s v="ORD-02045"/>
    <x v="199"/>
    <x v="0"/>
    <s v="California"/>
    <s v="Los Angeles"/>
    <s v="Taylor Smith"/>
    <x v="0"/>
    <x v="0"/>
    <s v="Binders"/>
    <s v="3-Ring Binder"/>
    <n v="8"/>
    <n v="6.41"/>
    <n v="0"/>
    <n v="51.28"/>
    <n v="33.85"/>
    <n v="17.43"/>
    <s v="PayPal"/>
  </r>
  <r>
    <s v="ORD-01650"/>
    <x v="199"/>
    <x v="1"/>
    <s v="North Carolina"/>
    <s v="Raleigh"/>
    <s v="Drew Anderson"/>
    <x v="1"/>
    <x v="1"/>
    <s v="Laptops"/>
    <s v="Ultrabook"/>
    <n v="5"/>
    <n v="1030.1099999999999"/>
    <n v="0"/>
    <n v="5150.55"/>
    <n v="3911.24"/>
    <n v="1239.31"/>
    <s v="Debit Card"/>
  </r>
  <r>
    <s v="ORD-00459"/>
    <x v="199"/>
    <x v="3"/>
    <s v="Indiana"/>
    <s v="Fort Wayne"/>
    <s v="Morgan Davis"/>
    <x v="2"/>
    <x v="2"/>
    <s v="Tables"/>
    <s v="Training Table"/>
    <n v="1"/>
    <n v="488.7"/>
    <n v="0"/>
    <n v="488.7"/>
    <n v="318.37"/>
    <n v="170.33"/>
    <s v="Debit Card"/>
  </r>
  <r>
    <s v="ORD-00052"/>
    <x v="199"/>
    <x v="1"/>
    <s v="North Carolina"/>
    <s v="Raleigh"/>
    <s v="Cameron Clark"/>
    <x v="2"/>
    <x v="2"/>
    <s v="Desks"/>
    <s v="Work Desk"/>
    <n v="5"/>
    <n v="637.65"/>
    <n v="0.15"/>
    <n v="2710.01"/>
    <n v="2099.2800000000002"/>
    <n v="610.73"/>
    <s v="Debit Card"/>
  </r>
  <r>
    <s v="ORD-01964"/>
    <x v="199"/>
    <x v="1"/>
    <s v="Virginia"/>
    <s v="Arlington"/>
    <s v="Alex Morgan"/>
    <x v="1"/>
    <x v="1"/>
    <s v="Laptops"/>
    <s v="Workstation Laptop"/>
    <n v="2"/>
    <n v="1334.38"/>
    <n v="0.15"/>
    <n v="2268.4499999999998"/>
    <n v="1815.84"/>
    <n v="452.61"/>
    <s v="Credit Card"/>
  </r>
  <r>
    <s v="ORD-00946"/>
    <x v="199"/>
    <x v="3"/>
    <s v="Illinois"/>
    <s v="Springfield"/>
    <s v="Morgan Davis"/>
    <x v="1"/>
    <x v="1"/>
    <s v="Laptops"/>
    <s v="Ultrabook"/>
    <n v="4"/>
    <n v="1700.96"/>
    <n v="0.15"/>
    <n v="5783.26"/>
    <n v="4196.46"/>
    <n v="1586.8"/>
    <s v="PayPal"/>
  </r>
  <r>
    <s v="ORD-02710"/>
    <x v="199"/>
    <x v="0"/>
    <s v="Arizona"/>
    <s v="Phoenix"/>
    <s v="Jordan Lee"/>
    <x v="1"/>
    <x v="2"/>
    <s v="Chairs"/>
    <s v="Ergonomic Chair"/>
    <n v="6"/>
    <n v="233.89"/>
    <n v="0.15"/>
    <n v="1192.8399999999999"/>
    <n v="870.49"/>
    <n v="322.35000000000002"/>
    <s v="Bank Transfer"/>
  </r>
  <r>
    <s v="ORD-01618"/>
    <x v="200"/>
    <x v="2"/>
    <s v="New Jersey"/>
    <s v="Newark"/>
    <s v="Casey Brown"/>
    <x v="0"/>
    <x v="2"/>
    <s v="Bookcases"/>
    <s v="Storage Bookcase"/>
    <n v="1"/>
    <n v="204.09"/>
    <n v="0.1"/>
    <n v="183.68"/>
    <n v="146.1"/>
    <n v="37.58"/>
    <s v="Debit Card"/>
  </r>
  <r>
    <s v="ORD-02972"/>
    <x v="200"/>
    <x v="1"/>
    <s v="Texas"/>
    <s v="Austin"/>
    <s v="Casey Brown"/>
    <x v="2"/>
    <x v="0"/>
    <s v="Paper"/>
    <s v="Premium Paper"/>
    <n v="3"/>
    <n v="14.21"/>
    <n v="0.15"/>
    <n v="36.24"/>
    <n v="23.23"/>
    <n v="13.01"/>
    <s v="Bank Transfer"/>
  </r>
  <r>
    <s v="ORD-01064"/>
    <x v="200"/>
    <x v="2"/>
    <s v="Pennsylvania"/>
    <s v="Pittsburgh"/>
    <s v="Taylor Smith"/>
    <x v="0"/>
    <x v="2"/>
    <s v="Desks"/>
    <s v="Executive Desk"/>
    <n v="5"/>
    <n v="646.64"/>
    <n v="0.05"/>
    <n v="3071.54"/>
    <n v="1719.53"/>
    <n v="1352.01"/>
    <s v="Bank Transfer"/>
  </r>
  <r>
    <s v="ORD-02637"/>
    <x v="200"/>
    <x v="3"/>
    <s v="Minnesota"/>
    <s v="Minneapolis"/>
    <s v="Cameron Clark"/>
    <x v="2"/>
    <x v="0"/>
    <s v="Printers"/>
    <s v="Color Printer"/>
    <n v="1"/>
    <n v="599.02"/>
    <n v="0"/>
    <n v="599.02"/>
    <n v="400.54"/>
    <n v="198.48"/>
    <s v="Bank Transfer"/>
  </r>
  <r>
    <s v="ORD-00876"/>
    <x v="200"/>
    <x v="3"/>
    <s v="Ohio"/>
    <s v="Columbus"/>
    <s v="Taylor Smith"/>
    <x v="2"/>
    <x v="0"/>
    <s v="Pens"/>
    <s v="Gel Pens"/>
    <n v="7"/>
    <n v="13.32"/>
    <n v="0.15"/>
    <n v="79.25"/>
    <n v="46.31"/>
    <n v="32.94"/>
    <s v="Debit Card"/>
  </r>
  <r>
    <s v="ORD-00053"/>
    <x v="200"/>
    <x v="3"/>
    <s v="Illinois"/>
    <s v="Springfield"/>
    <s v="Avery Johnson"/>
    <x v="1"/>
    <x v="0"/>
    <s v="Binders"/>
    <s v="Presentation Binder"/>
    <n v="2"/>
    <n v="21.57"/>
    <n v="0"/>
    <n v="43.14"/>
    <n v="29.56"/>
    <n v="13.58"/>
    <s v="Credit Card"/>
  </r>
  <r>
    <s v="ORD-00088"/>
    <x v="200"/>
    <x v="2"/>
    <s v="Vermont"/>
    <s v="Burlington"/>
    <s v="Morgan Davis"/>
    <x v="0"/>
    <x v="1"/>
    <s v="Headsets"/>
    <s v="USB Headset"/>
    <n v="5"/>
    <n v="239.9"/>
    <n v="0.1"/>
    <n v="1079.55"/>
    <n v="624.58000000000004"/>
    <n v="454.97"/>
    <s v="Debit Card"/>
  </r>
  <r>
    <s v="ORD-00661"/>
    <x v="201"/>
    <x v="0"/>
    <s v="Oregon"/>
    <s v="Portland"/>
    <s v="Jamie Miller"/>
    <x v="0"/>
    <x v="0"/>
    <s v="Pens"/>
    <s v="Fine Tip Pens"/>
    <n v="10"/>
    <n v="20.78"/>
    <n v="0.05"/>
    <n v="197.41"/>
    <n v="158.76"/>
    <n v="38.65"/>
    <s v="Bank Transfer"/>
  </r>
  <r>
    <s v="ORD-02993"/>
    <x v="201"/>
    <x v="1"/>
    <s v="North Carolina"/>
    <s v="Raleigh"/>
    <s v="Riley Wilson"/>
    <x v="2"/>
    <x v="1"/>
    <s v="Monitors"/>
    <s v="27in Monitor"/>
    <n v="7"/>
    <n v="230.6"/>
    <n v="0"/>
    <n v="1614.2"/>
    <n v="911.12"/>
    <n v="703.08"/>
    <s v="Bank Transfer"/>
  </r>
  <r>
    <s v="ORD-02147"/>
    <x v="201"/>
    <x v="2"/>
    <s v="New Jersey"/>
    <s v="Trenton"/>
    <s v="Jordan Lee"/>
    <x v="0"/>
    <x v="2"/>
    <s v="Bookcases"/>
    <s v="Storage Bookcase"/>
    <n v="5"/>
    <n v="261.29000000000002"/>
    <n v="0"/>
    <n v="1306.45"/>
    <n v="1064.56"/>
    <n v="241.89"/>
    <s v="PayPal"/>
  </r>
  <r>
    <s v="ORD-00401"/>
    <x v="201"/>
    <x v="0"/>
    <s v="Oregon"/>
    <s v="Portland"/>
    <s v="Avery Johnson"/>
    <x v="1"/>
    <x v="1"/>
    <s v="Monitors"/>
    <s v="27in Monitor"/>
    <n v="7"/>
    <n v="151.5"/>
    <n v="0"/>
    <n v="1060.5"/>
    <n v="724.84"/>
    <n v="335.66"/>
    <s v="Debit Card"/>
  </r>
  <r>
    <s v="ORD-02025"/>
    <x v="201"/>
    <x v="2"/>
    <s v="New Jersey"/>
    <s v="Trenton"/>
    <s v="Jamie Miller"/>
    <x v="2"/>
    <x v="0"/>
    <s v="Paper"/>
    <s v="Copy Paper"/>
    <n v="3"/>
    <n v="32.31"/>
    <n v="0"/>
    <n v="96.93"/>
    <n v="55.14"/>
    <n v="41.79"/>
    <s v="PayPal"/>
  </r>
  <r>
    <s v="ORD-00169"/>
    <x v="202"/>
    <x v="3"/>
    <s v="Illinois"/>
    <s v="Peoria"/>
    <s v="Casey Brown"/>
    <x v="0"/>
    <x v="2"/>
    <s v="Tables"/>
    <s v="Side Table"/>
    <n v="10"/>
    <n v="786.96"/>
    <n v="0.05"/>
    <n v="7476.12"/>
    <n v="4318.67"/>
    <n v="3157.45"/>
    <s v="PayPal"/>
  </r>
  <r>
    <s v="ORD-01083"/>
    <x v="202"/>
    <x v="2"/>
    <s v="Vermont"/>
    <s v="Rutland"/>
    <s v="Alex Morgan"/>
    <x v="0"/>
    <x v="0"/>
    <s v="Printers"/>
    <s v="Laser Printer"/>
    <n v="4"/>
    <n v="502.22"/>
    <n v="0.05"/>
    <n v="1908.44"/>
    <n v="1143.6600000000001"/>
    <n v="764.78"/>
    <s v="Credit Card"/>
  </r>
  <r>
    <s v="ORD-02402"/>
    <x v="202"/>
    <x v="0"/>
    <s v="California"/>
    <s v="San Jose"/>
    <s v="Drew Anderson"/>
    <x v="0"/>
    <x v="0"/>
    <s v="Binders"/>
    <s v="Presentation Binder"/>
    <n v="4"/>
    <n v="8.64"/>
    <n v="0.1"/>
    <n v="31.1"/>
    <n v="22.3"/>
    <n v="8.8000000000000007"/>
    <s v="Credit Card"/>
  </r>
  <r>
    <s v="ORD-00660"/>
    <x v="202"/>
    <x v="1"/>
    <s v="Florida"/>
    <s v="Orlando"/>
    <s v="Cameron Clark"/>
    <x v="2"/>
    <x v="0"/>
    <s v="Printers"/>
    <s v="Color Printer"/>
    <n v="8"/>
    <n v="251.94"/>
    <n v="0.1"/>
    <n v="1813.97"/>
    <n v="1455.93"/>
    <n v="358.04"/>
    <s v="Debit Card"/>
  </r>
  <r>
    <s v="ORD-01938"/>
    <x v="202"/>
    <x v="1"/>
    <s v="Georgia"/>
    <s v="Augusta"/>
    <s v="Jordan Lee"/>
    <x v="2"/>
    <x v="0"/>
    <s v="Binders"/>
    <s v="Presentation Binder"/>
    <n v="10"/>
    <n v="24.5"/>
    <n v="0"/>
    <n v="245"/>
    <n v="149.62"/>
    <n v="95.38"/>
    <s v="Credit Card"/>
  </r>
  <r>
    <s v="ORD-02749"/>
    <x v="202"/>
    <x v="1"/>
    <s v="Texas"/>
    <s v="Dallas"/>
    <s v="Avery Johnson"/>
    <x v="0"/>
    <x v="2"/>
    <s v="Chairs"/>
    <s v="Ergonomic Chair"/>
    <n v="2"/>
    <n v="556.79"/>
    <n v="0.05"/>
    <n v="1057.9000000000001"/>
    <n v="767.83"/>
    <n v="290.07"/>
    <s v="PayPal"/>
  </r>
  <r>
    <s v="ORD-00609"/>
    <x v="202"/>
    <x v="0"/>
    <s v="Oregon"/>
    <s v="Portland"/>
    <s v="Taylor Smith"/>
    <x v="2"/>
    <x v="0"/>
    <s v="Printers"/>
    <s v="Color Printer"/>
    <n v="6"/>
    <n v="299.75"/>
    <n v="0.1"/>
    <n v="1618.65"/>
    <n v="1089.0999999999999"/>
    <n v="529.54999999999995"/>
    <s v="PayPal"/>
  </r>
  <r>
    <s v="ORD-02608"/>
    <x v="202"/>
    <x v="2"/>
    <s v="Massachusetts"/>
    <s v="Boston"/>
    <s v="Jordan Lee"/>
    <x v="1"/>
    <x v="2"/>
    <s v="Desks"/>
    <s v="Work Desk"/>
    <n v="6"/>
    <n v="599.12"/>
    <n v="0.05"/>
    <n v="3414.98"/>
    <n v="2456.9299999999998"/>
    <n v="958.05"/>
    <s v="PayPal"/>
  </r>
  <r>
    <s v="ORD-00141"/>
    <x v="203"/>
    <x v="0"/>
    <s v="Arizona"/>
    <s v="Phoenix"/>
    <s v="Avery Johnson"/>
    <x v="1"/>
    <x v="0"/>
    <s v="Binders"/>
    <s v="3-Ring Binder"/>
    <n v="8"/>
    <n v="22.71"/>
    <n v="0.15"/>
    <n v="154.43"/>
    <n v="88.05"/>
    <n v="66.38"/>
    <s v="PayPal"/>
  </r>
  <r>
    <s v="ORD-00517"/>
    <x v="203"/>
    <x v="0"/>
    <s v="Colorado"/>
    <s v="Boulder"/>
    <s v="Jordan Lee"/>
    <x v="0"/>
    <x v="0"/>
    <s v="Binders"/>
    <s v="3-Ring Binder"/>
    <n v="5"/>
    <n v="16.52"/>
    <n v="0"/>
    <n v="82.6"/>
    <n v="50.03"/>
    <n v="32.57"/>
    <s v="Debit Card"/>
  </r>
  <r>
    <s v="ORD-01298"/>
    <x v="203"/>
    <x v="2"/>
    <s v="Pennsylvania"/>
    <s v="Pittsburgh"/>
    <s v="Taylor Smith"/>
    <x v="1"/>
    <x v="0"/>
    <s v="Pens"/>
    <s v="Fine Tip Pens"/>
    <n v="1"/>
    <n v="24.94"/>
    <n v="0"/>
    <n v="24.94"/>
    <n v="14.65"/>
    <n v="10.29"/>
    <s v="Debit Card"/>
  </r>
  <r>
    <s v="ORD-01312"/>
    <x v="203"/>
    <x v="1"/>
    <s v="Texas"/>
    <s v="Dallas"/>
    <s v="Casey Brown"/>
    <x v="2"/>
    <x v="0"/>
    <s v="Pens"/>
    <s v="Fine Tip Pens"/>
    <n v="5"/>
    <n v="10.1"/>
    <n v="0"/>
    <n v="50.5"/>
    <n v="39.11"/>
    <n v="11.39"/>
    <s v="Credit Card"/>
  </r>
  <r>
    <s v="ORD-00929"/>
    <x v="204"/>
    <x v="1"/>
    <s v="Georgia"/>
    <s v="Augusta"/>
    <s v="Cameron Clark"/>
    <x v="0"/>
    <x v="0"/>
    <s v="Pens"/>
    <s v="Fine Tip Pens"/>
    <n v="6"/>
    <n v="24.6"/>
    <n v="0.05"/>
    <n v="140.22"/>
    <n v="112.34"/>
    <n v="27.88"/>
    <s v="PayPal"/>
  </r>
  <r>
    <s v="ORD-02875"/>
    <x v="204"/>
    <x v="0"/>
    <s v="Colorado"/>
    <s v="Boulder"/>
    <s v="Jordan Lee"/>
    <x v="0"/>
    <x v="1"/>
    <s v="Monitors"/>
    <s v="24in Monitor"/>
    <n v="1"/>
    <n v="188.26"/>
    <n v="0.05"/>
    <n v="178.85"/>
    <n v="145.32"/>
    <n v="33.53"/>
    <s v="Credit Card"/>
  </r>
  <r>
    <s v="ORD-02678"/>
    <x v="204"/>
    <x v="1"/>
    <s v="Florida"/>
    <s v="Miami"/>
    <s v="Morgan Davis"/>
    <x v="0"/>
    <x v="2"/>
    <s v="Chairs"/>
    <s v="Executive Chair"/>
    <n v="7"/>
    <n v="337.03"/>
    <n v="0.05"/>
    <n v="2241.25"/>
    <n v="1510.93"/>
    <n v="730.32"/>
    <s v="Credit Card"/>
  </r>
  <r>
    <s v="ORD-00228"/>
    <x v="204"/>
    <x v="1"/>
    <s v="Florida"/>
    <s v="Miami"/>
    <s v="Casey Brown"/>
    <x v="0"/>
    <x v="1"/>
    <s v="Laptops"/>
    <s v="Workstation Laptop"/>
    <n v="7"/>
    <n v="726.47"/>
    <n v="0"/>
    <n v="5085.29"/>
    <n v="3665.6"/>
    <n v="1419.69"/>
    <s v="Debit Card"/>
  </r>
  <r>
    <s v="ORD-00881"/>
    <x v="204"/>
    <x v="2"/>
    <s v="Vermont"/>
    <s v="Montpelier"/>
    <s v="Taylor Smith"/>
    <x v="2"/>
    <x v="0"/>
    <s v="Pens"/>
    <s v="Gel Pens"/>
    <n v="9"/>
    <n v="21.49"/>
    <n v="0.2"/>
    <n v="154.72999999999999"/>
    <n v="113.2"/>
    <n v="41.53"/>
    <s v="Credit Card"/>
  </r>
  <r>
    <s v="ORD-01711"/>
    <x v="205"/>
    <x v="2"/>
    <s v="Massachusetts"/>
    <s v="Worcester"/>
    <s v="Drew Anderson"/>
    <x v="0"/>
    <x v="1"/>
    <s v="Headsets"/>
    <s v="Noise-Canceling Headset"/>
    <n v="10"/>
    <n v="152.72999999999999"/>
    <n v="0.1"/>
    <n v="1374.57"/>
    <n v="1119.9000000000001"/>
    <n v="254.67"/>
    <s v="Bank Transfer"/>
  </r>
  <r>
    <s v="ORD-00673"/>
    <x v="205"/>
    <x v="1"/>
    <s v="Texas"/>
    <s v="Houston"/>
    <s v="Drew Anderson"/>
    <x v="1"/>
    <x v="1"/>
    <s v="Laptops"/>
    <s v="Ultrabook"/>
    <n v="5"/>
    <n v="1617.93"/>
    <n v="0.15"/>
    <n v="6876.2"/>
    <n v="4344.59"/>
    <n v="2531.61"/>
    <s v="Debit Card"/>
  </r>
  <r>
    <s v="ORD-02272"/>
    <x v="205"/>
    <x v="2"/>
    <s v="Massachusetts"/>
    <s v="Springfield"/>
    <s v="Morgan Davis"/>
    <x v="0"/>
    <x v="1"/>
    <s v="Headsets"/>
    <s v="Wireless Headset"/>
    <n v="9"/>
    <n v="140.13999999999999"/>
    <n v="0.05"/>
    <n v="1198.2"/>
    <n v="850.51"/>
    <n v="347.69"/>
    <s v="Credit Card"/>
  </r>
  <r>
    <s v="ORD-02384"/>
    <x v="205"/>
    <x v="1"/>
    <s v="Florida"/>
    <s v="Orlando"/>
    <s v="Jamie Miller"/>
    <x v="2"/>
    <x v="1"/>
    <s v="Keyboards"/>
    <s v="Wireless Keyboard"/>
    <n v="5"/>
    <n v="109.98"/>
    <n v="0.05"/>
    <n v="522.4"/>
    <n v="386.33"/>
    <n v="136.07"/>
    <s v="Credit Card"/>
  </r>
  <r>
    <s v="ORD-02828"/>
    <x v="205"/>
    <x v="2"/>
    <s v="New Jersey"/>
    <s v="Jersey City"/>
    <s v="Drew Anderson"/>
    <x v="0"/>
    <x v="0"/>
    <s v="Printers"/>
    <s v="Laser Printer"/>
    <n v="7"/>
    <n v="213.13"/>
    <n v="0.1"/>
    <n v="1342.72"/>
    <n v="758.61"/>
    <n v="584.11"/>
    <s v="Bank Transfer"/>
  </r>
  <r>
    <s v="ORD-00185"/>
    <x v="205"/>
    <x v="2"/>
    <s v="Pennsylvania"/>
    <s v="Pittsburgh"/>
    <s v="Morgan Davis"/>
    <x v="0"/>
    <x v="1"/>
    <s v="Headsets"/>
    <s v="Noise-Canceling Headset"/>
    <n v="5"/>
    <n v="166.72"/>
    <n v="0.05"/>
    <n v="791.92"/>
    <n v="636.37"/>
    <n v="155.55000000000001"/>
    <s v="PayPal"/>
  </r>
  <r>
    <s v="ORD-01223"/>
    <x v="205"/>
    <x v="2"/>
    <s v="New York"/>
    <s v="Rochester"/>
    <s v="Jordan Lee"/>
    <x v="0"/>
    <x v="2"/>
    <s v="Bookcases"/>
    <s v="Storage Bookcase"/>
    <n v="10"/>
    <n v="382.3"/>
    <n v="0"/>
    <n v="3823"/>
    <n v="2789.37"/>
    <n v="1033.6300000000001"/>
    <s v="PayPal"/>
  </r>
  <r>
    <s v="ORD-00529"/>
    <x v="205"/>
    <x v="1"/>
    <s v="North Carolina"/>
    <s v="Raleigh"/>
    <s v="Alex Morgan"/>
    <x v="0"/>
    <x v="1"/>
    <s v="Monitors"/>
    <s v="27in Monitor"/>
    <n v="8"/>
    <n v="571.86"/>
    <n v="0.1"/>
    <n v="4117.3900000000003"/>
    <n v="2275.84"/>
    <n v="1841.55"/>
    <s v="PayPal"/>
  </r>
  <r>
    <s v="ORD-02735"/>
    <x v="205"/>
    <x v="0"/>
    <s v="California"/>
    <s v="Los Angeles"/>
    <s v="Cameron Clark"/>
    <x v="1"/>
    <x v="2"/>
    <s v="Desks"/>
    <s v="Executive Desk"/>
    <n v="1"/>
    <n v="607.4"/>
    <n v="0"/>
    <n v="607.4"/>
    <n v="452.73"/>
    <n v="154.66999999999999"/>
    <s v="Credit Card"/>
  </r>
  <r>
    <s v="ORD-02847"/>
    <x v="205"/>
    <x v="1"/>
    <s v="Virginia"/>
    <s v="Richmond"/>
    <s v="Morgan Davis"/>
    <x v="0"/>
    <x v="0"/>
    <s v="Printers"/>
    <s v="All-in-One Printer"/>
    <n v="8"/>
    <n v="304.94"/>
    <n v="0"/>
    <n v="2439.52"/>
    <n v="1768.86"/>
    <n v="670.66"/>
    <s v="PayPal"/>
  </r>
  <r>
    <s v="ORD-02792"/>
    <x v="205"/>
    <x v="2"/>
    <s v="New Jersey"/>
    <s v="Trenton"/>
    <s v="Morgan Davis"/>
    <x v="2"/>
    <x v="1"/>
    <s v="Laptops"/>
    <s v="Workstation Laptop"/>
    <n v="10"/>
    <n v="1237.57"/>
    <n v="0.15"/>
    <n v="10519.34"/>
    <n v="7477.37"/>
    <n v="3041.97"/>
    <s v="PayPal"/>
  </r>
  <r>
    <s v="ORD-01491"/>
    <x v="205"/>
    <x v="2"/>
    <s v="New York"/>
    <s v="Rochester"/>
    <s v="Morgan Davis"/>
    <x v="2"/>
    <x v="1"/>
    <s v="Monitors"/>
    <s v="27in Monitor"/>
    <n v="5"/>
    <n v="526.19000000000005"/>
    <n v="0"/>
    <n v="2630.95"/>
    <n v="1710.54"/>
    <n v="920.41"/>
    <s v="PayPal"/>
  </r>
  <r>
    <s v="ORD-01363"/>
    <x v="206"/>
    <x v="2"/>
    <s v="New York"/>
    <s v="Buffalo"/>
    <s v="Avery Johnson"/>
    <x v="0"/>
    <x v="1"/>
    <s v="Headsets"/>
    <s v="USB Headset"/>
    <n v="2"/>
    <n v="154.37"/>
    <n v="0.05"/>
    <n v="293.3"/>
    <n v="174.71"/>
    <n v="118.59"/>
    <s v="Bank Transfer"/>
  </r>
  <r>
    <s v="ORD-00503"/>
    <x v="206"/>
    <x v="2"/>
    <s v="New Jersey"/>
    <s v="Newark"/>
    <s v="Casey Brown"/>
    <x v="2"/>
    <x v="2"/>
    <s v="Tables"/>
    <s v="Side Table"/>
    <n v="1"/>
    <n v="372.6"/>
    <n v="0.1"/>
    <n v="335.34"/>
    <n v="258.44"/>
    <n v="76.900000000000006"/>
    <s v="Debit Card"/>
  </r>
  <r>
    <s v="ORD-02223"/>
    <x v="206"/>
    <x v="1"/>
    <s v="Florida"/>
    <s v="Miami"/>
    <s v="Taylor Smith"/>
    <x v="2"/>
    <x v="0"/>
    <s v="Paper"/>
    <s v="Premium Paper"/>
    <n v="1"/>
    <n v="20.25"/>
    <n v="0"/>
    <n v="20.25"/>
    <n v="15.38"/>
    <n v="4.87"/>
    <s v="Debit Card"/>
  </r>
  <r>
    <s v="ORD-01732"/>
    <x v="206"/>
    <x v="3"/>
    <s v="Illinois"/>
    <s v="Springfield"/>
    <s v="Alex Morgan"/>
    <x v="1"/>
    <x v="2"/>
    <s v="Bookcases"/>
    <s v="5-Shelf Bookcase"/>
    <n v="8"/>
    <n v="439.48"/>
    <n v="0.15"/>
    <n v="2988.46"/>
    <n v="1944.6"/>
    <n v="1043.8599999999999"/>
    <s v="PayPal"/>
  </r>
  <r>
    <s v="ORD-02539"/>
    <x v="206"/>
    <x v="0"/>
    <s v="California"/>
    <s v="San Diego"/>
    <s v="Alex Morgan"/>
    <x v="0"/>
    <x v="2"/>
    <s v="Tables"/>
    <s v="Training Table"/>
    <n v="4"/>
    <n v="173.77"/>
    <n v="0.1"/>
    <n v="625.57000000000005"/>
    <n v="509.63"/>
    <n v="115.94"/>
    <s v="Credit Card"/>
  </r>
  <r>
    <s v="ORD-00947"/>
    <x v="206"/>
    <x v="2"/>
    <s v="Massachusetts"/>
    <s v="Boston"/>
    <s v="Riley Wilson"/>
    <x v="0"/>
    <x v="1"/>
    <s v="Monitors"/>
    <s v="34in Monitor"/>
    <n v="2"/>
    <n v="642.42999999999995"/>
    <n v="0.15"/>
    <n v="1092.1300000000001"/>
    <n v="805.16"/>
    <n v="286.97000000000003"/>
    <s v="PayPal"/>
  </r>
  <r>
    <s v="ORD-00835"/>
    <x v="206"/>
    <x v="2"/>
    <s v="New York"/>
    <s v="Buffalo"/>
    <s v="Avery Johnson"/>
    <x v="2"/>
    <x v="2"/>
    <s v="Tables"/>
    <s v="Side Table"/>
    <n v="3"/>
    <n v="681.33"/>
    <n v="0"/>
    <n v="2043.99"/>
    <n v="1212.94"/>
    <n v="831.05"/>
    <s v="Bank Transfer"/>
  </r>
  <r>
    <s v="ORD-00124"/>
    <x v="206"/>
    <x v="3"/>
    <s v="Ohio"/>
    <s v="Columbus"/>
    <s v="Jordan Lee"/>
    <x v="2"/>
    <x v="1"/>
    <s v="Headsets"/>
    <s v="Wireless Headset"/>
    <n v="1"/>
    <n v="207.97"/>
    <n v="0.1"/>
    <n v="187.17"/>
    <n v="128.46"/>
    <n v="58.71"/>
    <s v="PayPal"/>
  </r>
  <r>
    <s v="ORD-01872"/>
    <x v="206"/>
    <x v="2"/>
    <s v="New Jersey"/>
    <s v="Newark"/>
    <s v="Riley Wilson"/>
    <x v="2"/>
    <x v="0"/>
    <s v="Binders"/>
    <s v="3-Ring Binder"/>
    <n v="6"/>
    <n v="23.65"/>
    <n v="0.15"/>
    <n v="120.61"/>
    <n v="66.92"/>
    <n v="53.69"/>
    <s v="Debit Card"/>
  </r>
  <r>
    <s v="ORD-01168"/>
    <x v="206"/>
    <x v="1"/>
    <s v="Florida"/>
    <s v="Tampa"/>
    <s v="Jordan Lee"/>
    <x v="2"/>
    <x v="1"/>
    <s v="Monitors"/>
    <s v="34in Monitor"/>
    <n v="9"/>
    <n v="514.33000000000004"/>
    <n v="0"/>
    <n v="4628.97"/>
    <n v="3013.03"/>
    <n v="1615.94"/>
    <s v="Debit Card"/>
  </r>
  <r>
    <s v="ORD-02826"/>
    <x v="207"/>
    <x v="1"/>
    <s v="North Carolina"/>
    <s v="Durham"/>
    <s v="Casey Brown"/>
    <x v="2"/>
    <x v="0"/>
    <s v="Pens"/>
    <s v="Fine Tip Pens"/>
    <n v="5"/>
    <n v="13"/>
    <n v="0"/>
    <n v="65"/>
    <n v="46.14"/>
    <n v="18.86"/>
    <s v="Credit Card"/>
  </r>
  <r>
    <s v="ORD-01740"/>
    <x v="207"/>
    <x v="3"/>
    <s v="Minnesota"/>
    <s v="Minneapolis"/>
    <s v="Avery Johnson"/>
    <x v="1"/>
    <x v="1"/>
    <s v="Monitors"/>
    <s v="34in Monitor"/>
    <n v="10"/>
    <n v="465.9"/>
    <n v="0"/>
    <n v="4659"/>
    <n v="2675.84"/>
    <n v="1983.16"/>
    <s v="Debit Card"/>
  </r>
  <r>
    <s v="ORD-01828"/>
    <x v="207"/>
    <x v="0"/>
    <s v="California"/>
    <s v="Los Angeles"/>
    <s v="Cameron Clark"/>
    <x v="2"/>
    <x v="0"/>
    <s v="Binders"/>
    <s v="3-Ring Binder"/>
    <n v="7"/>
    <n v="14.25"/>
    <n v="0.05"/>
    <n v="94.76"/>
    <n v="56.52"/>
    <n v="38.24"/>
    <s v="Credit Card"/>
  </r>
  <r>
    <s v="ORD-00064"/>
    <x v="207"/>
    <x v="2"/>
    <s v="Vermont"/>
    <s v="Montpelier"/>
    <s v="Jordan Lee"/>
    <x v="0"/>
    <x v="0"/>
    <s v="Paper"/>
    <s v="Recycled Paper"/>
    <n v="9"/>
    <n v="19.53"/>
    <n v="0.05"/>
    <n v="166.98"/>
    <n v="124.31"/>
    <n v="42.67"/>
    <s v="Credit Card"/>
  </r>
  <r>
    <s v="ORD-02516"/>
    <x v="207"/>
    <x v="0"/>
    <s v="Arizona"/>
    <s v="Tucson"/>
    <s v="Avery Johnson"/>
    <x v="1"/>
    <x v="2"/>
    <s v="Chairs"/>
    <s v="Ergonomic Chair"/>
    <n v="2"/>
    <n v="112.59"/>
    <n v="0.15"/>
    <n v="191.4"/>
    <n v="152.21"/>
    <n v="39.19"/>
    <s v="Bank Transfer"/>
  </r>
  <r>
    <s v="ORD-00272"/>
    <x v="207"/>
    <x v="0"/>
    <s v="Washington"/>
    <s v="Tacoma"/>
    <s v="Morgan Davis"/>
    <x v="1"/>
    <x v="2"/>
    <s v="Bookcases"/>
    <s v="3-Shelf Bookcase"/>
    <n v="10"/>
    <n v="297.18"/>
    <n v="0.1"/>
    <n v="2674.62"/>
    <n v="1817.77"/>
    <n v="856.85"/>
    <s v="Credit Card"/>
  </r>
  <r>
    <s v="ORD-00994"/>
    <x v="207"/>
    <x v="0"/>
    <s v="Arizona"/>
    <s v="Mesa"/>
    <s v="Avery Johnson"/>
    <x v="2"/>
    <x v="1"/>
    <s v="Laptops"/>
    <s v="Workstation Laptop"/>
    <n v="7"/>
    <n v="1349.27"/>
    <n v="0.15"/>
    <n v="8028.16"/>
    <n v="4838.42"/>
    <n v="3189.74"/>
    <s v="Credit Card"/>
  </r>
  <r>
    <s v="ORD-02314"/>
    <x v="207"/>
    <x v="2"/>
    <s v="New York"/>
    <s v="Buffalo"/>
    <s v="Alex Morgan"/>
    <x v="0"/>
    <x v="0"/>
    <s v="Binders"/>
    <s v="3-Ring Binder"/>
    <n v="8"/>
    <n v="7.44"/>
    <n v="0.05"/>
    <n v="56.54"/>
    <n v="44.06"/>
    <n v="12.48"/>
    <s v="Debit Card"/>
  </r>
  <r>
    <s v="ORD-02497"/>
    <x v="208"/>
    <x v="0"/>
    <s v="California"/>
    <s v="San Diego"/>
    <s v="Casey Brown"/>
    <x v="0"/>
    <x v="1"/>
    <s v="Headsets"/>
    <s v="Wireless Headset"/>
    <n v="8"/>
    <n v="64.77"/>
    <n v="0"/>
    <n v="518.16"/>
    <n v="316.98"/>
    <n v="201.18"/>
    <s v="Bank Transfer"/>
  </r>
  <r>
    <s v="ORD-02635"/>
    <x v="208"/>
    <x v="1"/>
    <s v="Virginia"/>
    <s v="Arlington"/>
    <s v="Taylor Smith"/>
    <x v="2"/>
    <x v="0"/>
    <s v="Printers"/>
    <s v="Color Printer"/>
    <n v="5"/>
    <n v="324.86"/>
    <n v="0"/>
    <n v="1624.3"/>
    <n v="1140.99"/>
    <n v="483.31"/>
    <s v="Bank Transfer"/>
  </r>
  <r>
    <s v="ORD-00132"/>
    <x v="208"/>
    <x v="2"/>
    <s v="New York"/>
    <s v="New York City"/>
    <s v="Avery Johnson"/>
    <x v="2"/>
    <x v="0"/>
    <s v="Printers"/>
    <s v="Color Printer"/>
    <n v="7"/>
    <n v="138.75"/>
    <n v="0.15"/>
    <n v="825.56"/>
    <n v="601.9"/>
    <n v="223.66"/>
    <s v="PayPal"/>
  </r>
  <r>
    <s v="ORD-00062"/>
    <x v="208"/>
    <x v="3"/>
    <s v="Minnesota"/>
    <s v="St. Paul"/>
    <s v="Avery Johnson"/>
    <x v="2"/>
    <x v="2"/>
    <s v="Tables"/>
    <s v="Conference Table"/>
    <n v="2"/>
    <n v="388.27"/>
    <n v="0.05"/>
    <n v="737.71"/>
    <n v="524.05999999999995"/>
    <n v="213.65"/>
    <s v="Bank Transfer"/>
  </r>
  <r>
    <s v="ORD-01738"/>
    <x v="208"/>
    <x v="3"/>
    <s v="Minnesota"/>
    <s v="St. Paul"/>
    <s v="Jordan Lee"/>
    <x v="0"/>
    <x v="1"/>
    <s v="Headsets"/>
    <s v="USB Headset"/>
    <n v="1"/>
    <n v="227.45"/>
    <n v="0.05"/>
    <n v="216.08"/>
    <n v="124.21"/>
    <n v="91.87"/>
    <s v="PayPal"/>
  </r>
  <r>
    <s v="ORD-00140"/>
    <x v="208"/>
    <x v="2"/>
    <s v="Massachusetts"/>
    <s v="Springfield"/>
    <s v="Taylor Smith"/>
    <x v="0"/>
    <x v="1"/>
    <s v="Monitors"/>
    <s v="34in Monitor"/>
    <n v="10"/>
    <n v="615.54"/>
    <n v="0"/>
    <n v="6155.4"/>
    <n v="4064.64"/>
    <n v="2090.7600000000002"/>
    <s v="Credit Card"/>
  </r>
  <r>
    <s v="ORD-00958"/>
    <x v="208"/>
    <x v="2"/>
    <s v="Vermont"/>
    <s v="Montpelier"/>
    <s v="Cameron Clark"/>
    <x v="0"/>
    <x v="0"/>
    <s v="Pens"/>
    <s v="Gel Pens"/>
    <n v="9"/>
    <n v="20.11"/>
    <n v="0"/>
    <n v="180.99"/>
    <n v="138.13"/>
    <n v="42.86"/>
    <s v="Credit Card"/>
  </r>
  <r>
    <s v="ORD-01058"/>
    <x v="208"/>
    <x v="3"/>
    <s v="Illinois"/>
    <s v="Peoria"/>
    <s v="Cameron Clark"/>
    <x v="2"/>
    <x v="1"/>
    <s v="Laptops"/>
    <s v="Workstation Laptop"/>
    <n v="8"/>
    <n v="1004.79"/>
    <n v="0.05"/>
    <n v="7636.4"/>
    <n v="4656.37"/>
    <n v="2980.03"/>
    <s v="PayPal"/>
  </r>
  <r>
    <s v="ORD-02550"/>
    <x v="208"/>
    <x v="3"/>
    <s v="Michigan"/>
    <s v="Detroit"/>
    <s v="Jamie Miller"/>
    <x v="0"/>
    <x v="1"/>
    <s v="Keyboards"/>
    <s v="Mechanical Keyboard"/>
    <n v="2"/>
    <n v="105.31"/>
    <n v="0.15"/>
    <n v="179.03"/>
    <n v="141.47999999999999"/>
    <n v="37.549999999999997"/>
    <s v="Debit Card"/>
  </r>
  <r>
    <s v="ORD-00842"/>
    <x v="209"/>
    <x v="0"/>
    <s v="Arizona"/>
    <s v="Phoenix"/>
    <s v="Casey Brown"/>
    <x v="1"/>
    <x v="0"/>
    <s v="Printers"/>
    <s v="All-in-One Printer"/>
    <n v="10"/>
    <n v="514.15"/>
    <n v="0.05"/>
    <n v="4884.42"/>
    <n v="2927.68"/>
    <n v="1956.74"/>
    <s v="Credit Card"/>
  </r>
  <r>
    <s v="ORD-01012"/>
    <x v="209"/>
    <x v="2"/>
    <s v="Pennsylvania"/>
    <s v="Pittsburgh"/>
    <s v="Riley Wilson"/>
    <x v="0"/>
    <x v="2"/>
    <s v="Bookcases"/>
    <s v="5-Shelf Bookcase"/>
    <n v="8"/>
    <n v="364.82"/>
    <n v="0"/>
    <n v="2918.56"/>
    <n v="1715.99"/>
    <n v="1202.57"/>
    <s v="Bank Transfer"/>
  </r>
  <r>
    <s v="ORD-02833"/>
    <x v="209"/>
    <x v="2"/>
    <s v="New York"/>
    <s v="Rochester"/>
    <s v="Avery Johnson"/>
    <x v="2"/>
    <x v="2"/>
    <s v="Desks"/>
    <s v="Work Desk"/>
    <n v="3"/>
    <n v="865.15"/>
    <n v="0.1"/>
    <n v="2335.9"/>
    <n v="1741.55"/>
    <n v="594.35"/>
    <s v="Bank Transfer"/>
  </r>
  <r>
    <s v="ORD-02117"/>
    <x v="209"/>
    <x v="2"/>
    <s v="New Jersey"/>
    <s v="Trenton"/>
    <s v="Morgan Davis"/>
    <x v="2"/>
    <x v="2"/>
    <s v="Tables"/>
    <s v="Training Table"/>
    <n v="2"/>
    <n v="752.73"/>
    <n v="0.15"/>
    <n v="1279.6400000000001"/>
    <n v="708.23"/>
    <n v="571.41"/>
    <s v="Bank Transfer"/>
  </r>
  <r>
    <s v="ORD-02762"/>
    <x v="209"/>
    <x v="2"/>
    <s v="New Jersey"/>
    <s v="Trenton"/>
    <s v="Cameron Clark"/>
    <x v="0"/>
    <x v="0"/>
    <s v="Paper"/>
    <s v="Premium Paper"/>
    <n v="5"/>
    <n v="29.32"/>
    <n v="0.05"/>
    <n v="139.27000000000001"/>
    <n v="108.36"/>
    <n v="30.91"/>
    <s v="Credit Card"/>
  </r>
  <r>
    <s v="ORD-01194"/>
    <x v="210"/>
    <x v="0"/>
    <s v="Washington"/>
    <s v="Tacoma"/>
    <s v="Cameron Clark"/>
    <x v="0"/>
    <x v="1"/>
    <s v="Laptops"/>
    <s v="Workstation Laptop"/>
    <n v="6"/>
    <n v="1331.79"/>
    <n v="0"/>
    <n v="7990.74"/>
    <n v="5039.9399999999996"/>
    <n v="2950.8"/>
    <s v="Debit Card"/>
  </r>
  <r>
    <s v="ORD-02813"/>
    <x v="210"/>
    <x v="2"/>
    <s v="Pennsylvania"/>
    <s v="Pittsburgh"/>
    <s v="Jamie Miller"/>
    <x v="2"/>
    <x v="0"/>
    <s v="Pens"/>
    <s v="Ballpoint Pens"/>
    <n v="6"/>
    <n v="22.16"/>
    <n v="0.1"/>
    <n v="119.66"/>
    <n v="86.49"/>
    <n v="33.17"/>
    <s v="Bank Transfer"/>
  </r>
  <r>
    <s v="ORD-00735"/>
    <x v="210"/>
    <x v="1"/>
    <s v="Georgia"/>
    <s v="Savannah"/>
    <s v="Jamie Miller"/>
    <x v="0"/>
    <x v="0"/>
    <s v="Paper"/>
    <s v="Premium Paper"/>
    <n v="7"/>
    <n v="21.74"/>
    <n v="0.15"/>
    <n v="129.35"/>
    <n v="85.49"/>
    <n v="43.86"/>
    <s v="Credit Card"/>
  </r>
  <r>
    <s v="ORD-02208"/>
    <x v="211"/>
    <x v="0"/>
    <s v="Arizona"/>
    <s v="Mesa"/>
    <s v="Casey Brown"/>
    <x v="2"/>
    <x v="1"/>
    <s v="Laptops"/>
    <s v="Business Laptop"/>
    <n v="3"/>
    <n v="732.51"/>
    <n v="0.05"/>
    <n v="2087.65"/>
    <n v="1582.68"/>
    <n v="504.97"/>
    <s v="Bank Transfer"/>
  </r>
  <r>
    <s v="ORD-01532"/>
    <x v="211"/>
    <x v="1"/>
    <s v="Texas"/>
    <s v="Dallas"/>
    <s v="Morgan Davis"/>
    <x v="0"/>
    <x v="1"/>
    <s v="Monitors"/>
    <s v="27in Monitor"/>
    <n v="6"/>
    <n v="588.6"/>
    <n v="0"/>
    <n v="3531.6"/>
    <n v="2194.06"/>
    <n v="1337.54"/>
    <s v="PayPal"/>
  </r>
  <r>
    <s v="ORD-02030"/>
    <x v="211"/>
    <x v="0"/>
    <s v="California"/>
    <s v="Los Angeles"/>
    <s v="Drew Anderson"/>
    <x v="2"/>
    <x v="2"/>
    <s v="Bookcases"/>
    <s v="3-Shelf Bookcase"/>
    <n v="6"/>
    <n v="376.21"/>
    <n v="0.05"/>
    <n v="2144.4"/>
    <n v="1515.87"/>
    <n v="628.53"/>
    <s v="Debit Card"/>
  </r>
  <r>
    <s v="ORD-02144"/>
    <x v="211"/>
    <x v="2"/>
    <s v="New Jersey"/>
    <s v="Newark"/>
    <s v="Alex Morgan"/>
    <x v="0"/>
    <x v="1"/>
    <s v="Laptops"/>
    <s v="Workstation Laptop"/>
    <n v="8"/>
    <n v="1139.79"/>
    <n v="0"/>
    <n v="9118.32"/>
    <n v="5039.6000000000004"/>
    <n v="4078.72"/>
    <s v="PayPal"/>
  </r>
  <r>
    <s v="ORD-01551"/>
    <x v="211"/>
    <x v="2"/>
    <s v="Vermont"/>
    <s v="Burlington"/>
    <s v="Taylor Smith"/>
    <x v="0"/>
    <x v="2"/>
    <s v="Tables"/>
    <s v="Conference Table"/>
    <n v="2"/>
    <n v="289.67"/>
    <n v="0.15"/>
    <n v="492.44"/>
    <n v="401"/>
    <n v="91.44"/>
    <s v="Debit Card"/>
  </r>
  <r>
    <s v="ORD-02867"/>
    <x v="211"/>
    <x v="0"/>
    <s v="Oregon"/>
    <s v="Eugene"/>
    <s v="Alex Morgan"/>
    <x v="0"/>
    <x v="2"/>
    <s v="Chairs"/>
    <s v="Executive Chair"/>
    <n v="3"/>
    <n v="388.2"/>
    <n v="0"/>
    <n v="1164.5999999999999"/>
    <n v="838.18"/>
    <n v="326.42"/>
    <s v="Credit Card"/>
  </r>
  <r>
    <s v="ORD-02492"/>
    <x v="211"/>
    <x v="2"/>
    <s v="New York"/>
    <s v="Buffalo"/>
    <s v="Cameron Clark"/>
    <x v="2"/>
    <x v="0"/>
    <s v="Paper"/>
    <s v="Premium Paper"/>
    <n v="6"/>
    <n v="25.74"/>
    <n v="0.15"/>
    <n v="131.27000000000001"/>
    <n v="98.78"/>
    <n v="32.49"/>
    <s v="Credit Card"/>
  </r>
  <r>
    <s v="ORD-02627"/>
    <x v="211"/>
    <x v="1"/>
    <s v="Texas"/>
    <s v="Austin"/>
    <s v="Jordan Lee"/>
    <x v="2"/>
    <x v="2"/>
    <s v="Desks"/>
    <s v="Work Desk"/>
    <n v="2"/>
    <n v="284.48"/>
    <n v="0"/>
    <n v="568.96"/>
    <n v="464.1"/>
    <n v="104.86"/>
    <s v="Credit Card"/>
  </r>
  <r>
    <s v="ORD-01077"/>
    <x v="212"/>
    <x v="1"/>
    <s v="Georgia"/>
    <s v="Savannah"/>
    <s v="Avery Johnson"/>
    <x v="1"/>
    <x v="2"/>
    <s v="Chairs"/>
    <s v="Ergonomic Chair"/>
    <n v="6"/>
    <n v="577.35"/>
    <n v="0"/>
    <n v="3464.1"/>
    <n v="2741.4"/>
    <n v="722.7"/>
    <s v="Bank Transfer"/>
  </r>
  <r>
    <s v="ORD-02226"/>
    <x v="212"/>
    <x v="2"/>
    <s v="Pennsylvania"/>
    <s v="Allentown"/>
    <s v="Drew Anderson"/>
    <x v="1"/>
    <x v="2"/>
    <s v="Tables"/>
    <s v="Side Table"/>
    <n v="7"/>
    <n v="247.9"/>
    <n v="0"/>
    <n v="1735.3"/>
    <n v="1226.95"/>
    <n v="508.35"/>
    <s v="Bank Transfer"/>
  </r>
  <r>
    <s v="ORD-02914"/>
    <x v="212"/>
    <x v="0"/>
    <s v="Oregon"/>
    <s v="Portland"/>
    <s v="Avery Johnson"/>
    <x v="2"/>
    <x v="2"/>
    <s v="Desks"/>
    <s v="Standing Desk"/>
    <n v="4"/>
    <n v="655.21"/>
    <n v="0.05"/>
    <n v="2489.8000000000002"/>
    <n v="1388.04"/>
    <n v="1101.76"/>
    <s v="Credit Card"/>
  </r>
  <r>
    <s v="ORD-02999"/>
    <x v="212"/>
    <x v="1"/>
    <s v="Florida"/>
    <s v="Miami"/>
    <s v="Morgan Davis"/>
    <x v="0"/>
    <x v="1"/>
    <s v="Headsets"/>
    <s v="Noise-Canceling Headset"/>
    <n v="9"/>
    <n v="208.64"/>
    <n v="0.05"/>
    <n v="1783.87"/>
    <n v="1289.26"/>
    <n v="494.61"/>
    <s v="Bank Transfer"/>
  </r>
  <r>
    <s v="ORD-01211"/>
    <x v="212"/>
    <x v="2"/>
    <s v="New Jersey"/>
    <s v="Newark"/>
    <s v="Casey Brown"/>
    <x v="2"/>
    <x v="2"/>
    <s v="Bookcases"/>
    <s v="3-Shelf Bookcase"/>
    <n v="5"/>
    <n v="452.47"/>
    <n v="0.2"/>
    <n v="1809.88"/>
    <n v="1163.98"/>
    <n v="645.9"/>
    <s v="Debit Card"/>
  </r>
  <r>
    <s v="ORD-01447"/>
    <x v="212"/>
    <x v="0"/>
    <s v="Oregon"/>
    <s v="Portland"/>
    <s v="Morgan Davis"/>
    <x v="1"/>
    <x v="1"/>
    <s v="Headsets"/>
    <s v="Noise-Canceling Headset"/>
    <n v="8"/>
    <n v="101.01"/>
    <n v="0.05"/>
    <n v="767.68"/>
    <n v="588.48"/>
    <n v="179.2"/>
    <s v="Credit Card"/>
  </r>
  <r>
    <s v="ORD-01193"/>
    <x v="212"/>
    <x v="2"/>
    <s v="Pennsylvania"/>
    <s v="Pittsburgh"/>
    <s v="Taylor Smith"/>
    <x v="0"/>
    <x v="0"/>
    <s v="Paper"/>
    <s v="Premium Paper"/>
    <n v="5"/>
    <n v="27.6"/>
    <n v="0.15"/>
    <n v="117.3"/>
    <n v="68.09"/>
    <n v="49.21"/>
    <s v="Debit Card"/>
  </r>
  <r>
    <s v="ORD-00164"/>
    <x v="213"/>
    <x v="0"/>
    <s v="Oregon"/>
    <s v="Eugene"/>
    <s v="Casey Brown"/>
    <x v="0"/>
    <x v="0"/>
    <s v="Binders"/>
    <s v="Heavy-Duty Binder"/>
    <n v="3"/>
    <n v="26.58"/>
    <n v="0.1"/>
    <n v="71.77"/>
    <n v="46.75"/>
    <n v="25.02"/>
    <s v="Bank Transfer"/>
  </r>
  <r>
    <s v="ORD-02039"/>
    <x v="213"/>
    <x v="1"/>
    <s v="Georgia"/>
    <s v="Augusta"/>
    <s v="Drew Anderson"/>
    <x v="1"/>
    <x v="1"/>
    <s v="Keyboards"/>
    <s v="Wireless Keyboard"/>
    <n v="10"/>
    <n v="158.28"/>
    <n v="0.05"/>
    <n v="1503.66"/>
    <n v="858.25"/>
    <n v="645.41"/>
    <s v="PayPal"/>
  </r>
  <r>
    <s v="ORD-00316"/>
    <x v="213"/>
    <x v="0"/>
    <s v="California"/>
    <s v="Los Angeles"/>
    <s v="Avery Johnson"/>
    <x v="2"/>
    <x v="2"/>
    <s v="Tables"/>
    <s v="Training Table"/>
    <n v="5"/>
    <n v="365.49"/>
    <n v="0.05"/>
    <n v="1736.08"/>
    <n v="1352.15"/>
    <n v="383.93"/>
    <s v="Credit Card"/>
  </r>
  <r>
    <s v="ORD-02305"/>
    <x v="213"/>
    <x v="2"/>
    <s v="New Jersey"/>
    <s v="Jersey City"/>
    <s v="Alex Morgan"/>
    <x v="2"/>
    <x v="1"/>
    <s v="Laptops"/>
    <s v="Workstation Laptop"/>
    <n v="8"/>
    <n v="1133"/>
    <n v="0"/>
    <n v="9064"/>
    <n v="6129.65"/>
    <n v="2934.35"/>
    <s v="Credit Card"/>
  </r>
  <r>
    <s v="ORD-02965"/>
    <x v="213"/>
    <x v="1"/>
    <s v="North Carolina"/>
    <s v="Charlotte"/>
    <s v="Casey Brown"/>
    <x v="2"/>
    <x v="0"/>
    <s v="Printers"/>
    <s v="All-in-One Printer"/>
    <n v="5"/>
    <n v="523.39"/>
    <n v="0.15"/>
    <n v="2224.41"/>
    <n v="1450.94"/>
    <n v="773.47"/>
    <s v="Debit Card"/>
  </r>
  <r>
    <s v="ORD-02018"/>
    <x v="213"/>
    <x v="1"/>
    <s v="Florida"/>
    <s v="Miami"/>
    <s v="Taylor Smith"/>
    <x v="2"/>
    <x v="0"/>
    <s v="Printers"/>
    <s v="Laser Printer"/>
    <n v="7"/>
    <n v="499.5"/>
    <n v="0.15"/>
    <n v="2972.02"/>
    <n v="2422.9499999999998"/>
    <n v="549.07000000000005"/>
    <s v="Debit Card"/>
  </r>
  <r>
    <s v="ORD-02109"/>
    <x v="213"/>
    <x v="3"/>
    <s v="Michigan"/>
    <s v="Grand Rapids"/>
    <s v="Riley Wilson"/>
    <x v="2"/>
    <x v="2"/>
    <s v="Tables"/>
    <s v="Side Table"/>
    <n v="1"/>
    <n v="262.54000000000002"/>
    <n v="0.1"/>
    <n v="236.29"/>
    <n v="155.66999999999999"/>
    <n v="80.62"/>
    <s v="Credit Card"/>
  </r>
  <r>
    <s v="ORD-01219"/>
    <x v="213"/>
    <x v="2"/>
    <s v="Vermont"/>
    <s v="Montpelier"/>
    <s v="Drew Anderson"/>
    <x v="2"/>
    <x v="1"/>
    <s v="Laptops"/>
    <s v="Ultrabook"/>
    <n v="1"/>
    <n v="683.14"/>
    <n v="0.15"/>
    <n v="580.66999999999996"/>
    <n v="336.72"/>
    <n v="243.95"/>
    <s v="Credit Card"/>
  </r>
  <r>
    <s v="ORD-02505"/>
    <x v="213"/>
    <x v="1"/>
    <s v="Virginia"/>
    <s v="Arlington"/>
    <s v="Morgan Davis"/>
    <x v="1"/>
    <x v="2"/>
    <s v="Bookcases"/>
    <s v="5-Shelf Bookcase"/>
    <n v="6"/>
    <n v="489.11"/>
    <n v="0.05"/>
    <n v="2787.93"/>
    <n v="2077.0500000000002"/>
    <n v="710.88"/>
    <s v="Credit Card"/>
  </r>
  <r>
    <s v="ORD-02408"/>
    <x v="214"/>
    <x v="3"/>
    <s v="Michigan"/>
    <s v="Detroit"/>
    <s v="Drew Anderson"/>
    <x v="0"/>
    <x v="0"/>
    <s v="Printers"/>
    <s v="All-in-One Printer"/>
    <n v="5"/>
    <n v="482.17"/>
    <n v="0.05"/>
    <n v="2290.31"/>
    <n v="1512.37"/>
    <n v="777.94"/>
    <s v="PayPal"/>
  </r>
  <r>
    <s v="ORD-00899"/>
    <x v="214"/>
    <x v="3"/>
    <s v="Illinois"/>
    <s v="Chicago"/>
    <s v="Jordan Lee"/>
    <x v="0"/>
    <x v="0"/>
    <s v="Paper"/>
    <s v="Recycled Paper"/>
    <n v="4"/>
    <n v="18.3"/>
    <n v="0.05"/>
    <n v="69.540000000000006"/>
    <n v="42.95"/>
    <n v="26.59"/>
    <s v="Credit Card"/>
  </r>
  <r>
    <s v="ORD-01988"/>
    <x v="214"/>
    <x v="0"/>
    <s v="Colorado"/>
    <s v="Colorado Springs"/>
    <s v="Alex Morgan"/>
    <x v="0"/>
    <x v="0"/>
    <s v="Paper"/>
    <s v="Premium Paper"/>
    <n v="8"/>
    <n v="30.61"/>
    <n v="0.1"/>
    <n v="220.39"/>
    <n v="136.87"/>
    <n v="83.52"/>
    <s v="Credit Card"/>
  </r>
  <r>
    <s v="ORD-01003"/>
    <x v="214"/>
    <x v="2"/>
    <s v="New York"/>
    <s v="Rochester"/>
    <s v="Cameron Clark"/>
    <x v="2"/>
    <x v="0"/>
    <s v="Paper"/>
    <s v="Recycled Paper"/>
    <n v="10"/>
    <n v="10.11"/>
    <n v="0"/>
    <n v="101.1"/>
    <n v="77.75"/>
    <n v="23.35"/>
    <s v="PayPal"/>
  </r>
  <r>
    <s v="ORD-00679"/>
    <x v="214"/>
    <x v="1"/>
    <s v="Virginia"/>
    <s v="Richmond"/>
    <s v="Riley Wilson"/>
    <x v="0"/>
    <x v="1"/>
    <s v="Keyboards"/>
    <s v="Mechanical Keyboard"/>
    <n v="6"/>
    <n v="66.56"/>
    <n v="0.1"/>
    <n v="359.42"/>
    <n v="204.09"/>
    <n v="155.33000000000001"/>
    <s v="Debit Card"/>
  </r>
  <r>
    <s v="ORD-02706"/>
    <x v="214"/>
    <x v="1"/>
    <s v="Virginia"/>
    <s v="Arlington"/>
    <s v="Cameron Clark"/>
    <x v="2"/>
    <x v="0"/>
    <s v="Pens"/>
    <s v="Ballpoint Pens"/>
    <n v="9"/>
    <n v="9.98"/>
    <n v="0.1"/>
    <n v="80.84"/>
    <n v="64.25"/>
    <n v="16.59"/>
    <s v="Debit Card"/>
  </r>
  <r>
    <s v="ORD-00139"/>
    <x v="215"/>
    <x v="3"/>
    <s v="Indiana"/>
    <s v="Fort Wayne"/>
    <s v="Jordan Lee"/>
    <x v="1"/>
    <x v="2"/>
    <s v="Desks"/>
    <s v="Standing Desk"/>
    <n v="4"/>
    <n v="835.16"/>
    <n v="0.15"/>
    <n v="2839.54"/>
    <n v="2163.08"/>
    <n v="676.46"/>
    <s v="Bank Transfer"/>
  </r>
  <r>
    <s v="ORD-01832"/>
    <x v="215"/>
    <x v="2"/>
    <s v="New York"/>
    <s v="Rochester"/>
    <s v="Drew Anderson"/>
    <x v="2"/>
    <x v="1"/>
    <s v="Headsets"/>
    <s v="Noise-Canceling Headset"/>
    <n v="3"/>
    <n v="191.47"/>
    <n v="0.05"/>
    <n v="545.69000000000005"/>
    <n v="413.04"/>
    <n v="132.65"/>
    <s v="Debit Card"/>
  </r>
  <r>
    <s v="ORD-00281"/>
    <x v="215"/>
    <x v="0"/>
    <s v="California"/>
    <s v="Los Angeles"/>
    <s v="Riley Wilson"/>
    <x v="0"/>
    <x v="1"/>
    <s v="Headsets"/>
    <s v="Noise-Canceling Headset"/>
    <n v="3"/>
    <n v="89.07"/>
    <n v="0.05"/>
    <n v="253.85"/>
    <n v="192.55"/>
    <n v="61.3"/>
    <s v="Debit Card"/>
  </r>
  <r>
    <s v="ORD-02712"/>
    <x v="215"/>
    <x v="3"/>
    <s v="Illinois"/>
    <s v="Peoria"/>
    <s v="Casey Brown"/>
    <x v="2"/>
    <x v="1"/>
    <s v="Headsets"/>
    <s v="Noise-Canceling Headset"/>
    <n v="8"/>
    <n v="157.35"/>
    <n v="0.15"/>
    <n v="1069.98"/>
    <n v="606.62"/>
    <n v="463.36"/>
    <s v="Bank Transfer"/>
  </r>
  <r>
    <s v="ORD-02636"/>
    <x v="215"/>
    <x v="1"/>
    <s v="Texas"/>
    <s v="Houston"/>
    <s v="Casey Brown"/>
    <x v="0"/>
    <x v="2"/>
    <s v="Chairs"/>
    <s v="Executive Chair"/>
    <n v="9"/>
    <n v="313.89"/>
    <n v="0.15"/>
    <n v="2401.2600000000002"/>
    <n v="1341.72"/>
    <n v="1059.54"/>
    <s v="Credit Card"/>
  </r>
  <r>
    <s v="ORD-01145"/>
    <x v="215"/>
    <x v="0"/>
    <s v="Arizona"/>
    <s v="Tucson"/>
    <s v="Avery Johnson"/>
    <x v="2"/>
    <x v="2"/>
    <s v="Chairs"/>
    <s v="Task Chair"/>
    <n v="3"/>
    <n v="310.43"/>
    <n v="0.15"/>
    <n v="791.6"/>
    <n v="466.03"/>
    <n v="325.57"/>
    <s v="Credit Card"/>
  </r>
  <r>
    <s v="ORD-02815"/>
    <x v="215"/>
    <x v="0"/>
    <s v="Washington"/>
    <s v="Spokane"/>
    <s v="Alex Morgan"/>
    <x v="1"/>
    <x v="1"/>
    <s v="Monitors"/>
    <s v="27in Monitor"/>
    <n v="2"/>
    <n v="576.24"/>
    <n v="0.15"/>
    <n v="979.61"/>
    <n v="599.65"/>
    <n v="379.96"/>
    <s v="PayPal"/>
  </r>
  <r>
    <s v="ORD-01533"/>
    <x v="215"/>
    <x v="1"/>
    <s v="Texas"/>
    <s v="Houston"/>
    <s v="Riley Wilson"/>
    <x v="2"/>
    <x v="1"/>
    <s v="Headsets"/>
    <s v="USB Headset"/>
    <n v="5"/>
    <n v="65.02"/>
    <n v="0.1"/>
    <n v="292.58999999999997"/>
    <n v="188.53"/>
    <n v="104.06"/>
    <s v="PayPal"/>
  </r>
  <r>
    <s v="ORD-00037"/>
    <x v="215"/>
    <x v="0"/>
    <s v="Oregon"/>
    <s v="Salem"/>
    <s v="Taylor Smith"/>
    <x v="1"/>
    <x v="2"/>
    <s v="Tables"/>
    <s v="Conference Table"/>
    <n v="1"/>
    <n v="605.83000000000004"/>
    <n v="0.15"/>
    <n v="514.96"/>
    <n v="382.5"/>
    <n v="132.46"/>
    <s v="Credit Card"/>
  </r>
  <r>
    <s v="ORD-00866"/>
    <x v="215"/>
    <x v="2"/>
    <s v="Vermont"/>
    <s v="Rutland"/>
    <s v="Avery Johnson"/>
    <x v="0"/>
    <x v="0"/>
    <s v="Pens"/>
    <s v="Gel Pens"/>
    <n v="2"/>
    <n v="15.91"/>
    <n v="0"/>
    <n v="31.82"/>
    <n v="20.68"/>
    <n v="11.14"/>
    <s v="Debit Card"/>
  </r>
  <r>
    <s v="ORD-00568"/>
    <x v="215"/>
    <x v="0"/>
    <s v="Colorado"/>
    <s v="Colorado Springs"/>
    <s v="Riley Wilson"/>
    <x v="2"/>
    <x v="0"/>
    <s v="Pens"/>
    <s v="Ballpoint Pens"/>
    <n v="10"/>
    <n v="24.75"/>
    <n v="0.15"/>
    <n v="210.38"/>
    <n v="146.79"/>
    <n v="63.59"/>
    <s v="Credit Card"/>
  </r>
  <r>
    <s v="ORD-00255"/>
    <x v="216"/>
    <x v="2"/>
    <s v="Pennsylvania"/>
    <s v="Pittsburgh"/>
    <s v="Drew Anderson"/>
    <x v="2"/>
    <x v="0"/>
    <s v="Paper"/>
    <s v="Recycled Paper"/>
    <n v="4"/>
    <n v="12.29"/>
    <n v="0"/>
    <n v="49.16"/>
    <n v="35.69"/>
    <n v="13.47"/>
    <s v="Bank Transfer"/>
  </r>
  <r>
    <s v="ORD-00309"/>
    <x v="216"/>
    <x v="0"/>
    <s v="Washington"/>
    <s v="Spokane"/>
    <s v="Riley Wilson"/>
    <x v="0"/>
    <x v="0"/>
    <s v="Binders"/>
    <s v="Presentation Binder"/>
    <n v="6"/>
    <n v="24.55"/>
    <n v="0.1"/>
    <n v="132.57"/>
    <n v="79.510000000000005"/>
    <n v="53.06"/>
    <s v="Credit Card"/>
  </r>
  <r>
    <s v="ORD-02312"/>
    <x v="216"/>
    <x v="0"/>
    <s v="Washington"/>
    <s v="Spokane"/>
    <s v="Jordan Lee"/>
    <x v="2"/>
    <x v="0"/>
    <s v="Pens"/>
    <s v="Gel Pens"/>
    <n v="5"/>
    <n v="9.48"/>
    <n v="0"/>
    <n v="47.4"/>
    <n v="31.22"/>
    <n v="16.18"/>
    <s v="Bank Transfer"/>
  </r>
  <r>
    <s v="ORD-02309"/>
    <x v="216"/>
    <x v="3"/>
    <s v="Michigan"/>
    <s v="Lansing"/>
    <s v="Cameron Clark"/>
    <x v="0"/>
    <x v="1"/>
    <s v="Laptops"/>
    <s v="Business Laptop"/>
    <n v="6"/>
    <n v="1433.31"/>
    <n v="0.1"/>
    <n v="7739.87"/>
    <n v="5636.34"/>
    <n v="2103.5300000000002"/>
    <s v="Bank Transfer"/>
  </r>
  <r>
    <s v="ORD-01713"/>
    <x v="216"/>
    <x v="2"/>
    <s v="New Jersey"/>
    <s v="Jersey City"/>
    <s v="Alex Morgan"/>
    <x v="2"/>
    <x v="0"/>
    <s v="Pens"/>
    <s v="Ballpoint Pens"/>
    <n v="3"/>
    <n v="19.21"/>
    <n v="0"/>
    <n v="57.63"/>
    <n v="33.909999999999997"/>
    <n v="23.72"/>
    <s v="Bank Transfer"/>
  </r>
  <r>
    <s v="ORD-01375"/>
    <x v="216"/>
    <x v="3"/>
    <s v="Minnesota"/>
    <s v="Minneapolis"/>
    <s v="Jordan Lee"/>
    <x v="0"/>
    <x v="1"/>
    <s v="Headsets"/>
    <s v="Wireless Headset"/>
    <n v="9"/>
    <n v="108.99"/>
    <n v="0"/>
    <n v="980.91"/>
    <n v="582.01"/>
    <n v="398.9"/>
    <s v="Bank Transfer"/>
  </r>
  <r>
    <s v="ORD-00405"/>
    <x v="216"/>
    <x v="0"/>
    <s v="California"/>
    <s v="San Diego"/>
    <s v="Taylor Smith"/>
    <x v="0"/>
    <x v="0"/>
    <s v="Pens"/>
    <s v="Gel Pens"/>
    <n v="6"/>
    <n v="5.22"/>
    <n v="0.15"/>
    <n v="26.62"/>
    <n v="15.08"/>
    <n v="11.54"/>
    <s v="Bank Transfer"/>
  </r>
  <r>
    <s v="ORD-00234"/>
    <x v="217"/>
    <x v="0"/>
    <s v="California"/>
    <s v="San Jose"/>
    <s v="Avery Johnson"/>
    <x v="0"/>
    <x v="0"/>
    <s v="Paper"/>
    <s v="Recycled Paper"/>
    <n v="10"/>
    <n v="14.48"/>
    <n v="0.15"/>
    <n v="123.08"/>
    <n v="77.989999999999995"/>
    <n v="45.09"/>
    <s v="Credit Card"/>
  </r>
  <r>
    <s v="ORD-00283"/>
    <x v="217"/>
    <x v="1"/>
    <s v="North Carolina"/>
    <s v="Charlotte"/>
    <s v="Taylor Smith"/>
    <x v="0"/>
    <x v="0"/>
    <s v="Binders"/>
    <s v="Presentation Binder"/>
    <n v="6"/>
    <n v="21.29"/>
    <n v="0"/>
    <n v="127.74"/>
    <n v="77.06"/>
    <n v="50.68"/>
    <s v="Bank Transfer"/>
  </r>
  <r>
    <s v="ORD-02816"/>
    <x v="217"/>
    <x v="0"/>
    <s v="Washington"/>
    <s v="Seattle"/>
    <s v="Avery Johnson"/>
    <x v="2"/>
    <x v="0"/>
    <s v="Binders"/>
    <s v="Presentation Binder"/>
    <n v="7"/>
    <n v="28.52"/>
    <n v="0.2"/>
    <n v="159.71"/>
    <n v="103.44"/>
    <n v="56.27"/>
    <s v="Bank Transfer"/>
  </r>
  <r>
    <s v="ORD-02804"/>
    <x v="217"/>
    <x v="0"/>
    <s v="Colorado"/>
    <s v="Boulder"/>
    <s v="Casey Brown"/>
    <x v="0"/>
    <x v="0"/>
    <s v="Binders"/>
    <s v="Heavy-Duty Binder"/>
    <n v="5"/>
    <n v="18.62"/>
    <n v="0.15"/>
    <n v="79.14"/>
    <n v="56.01"/>
    <n v="23.13"/>
    <s v="Bank Transfer"/>
  </r>
  <r>
    <s v="ORD-00351"/>
    <x v="217"/>
    <x v="0"/>
    <s v="California"/>
    <s v="San Jose"/>
    <s v="Morgan Davis"/>
    <x v="0"/>
    <x v="1"/>
    <s v="Headsets"/>
    <s v="Noise-Canceling Headset"/>
    <n v="9"/>
    <n v="216.3"/>
    <n v="0.05"/>
    <n v="1849.36"/>
    <n v="1188.5999999999999"/>
    <n v="660.76"/>
    <s v="PayPal"/>
  </r>
  <r>
    <s v="ORD-01886"/>
    <x v="217"/>
    <x v="1"/>
    <s v="North Carolina"/>
    <s v="Durham"/>
    <s v="Drew Anderson"/>
    <x v="0"/>
    <x v="2"/>
    <s v="Tables"/>
    <s v="Training Table"/>
    <n v="10"/>
    <n v="316.68"/>
    <n v="0.1"/>
    <n v="2850.12"/>
    <n v="2091.8000000000002"/>
    <n v="758.32"/>
    <s v="Bank Transfer"/>
  </r>
  <r>
    <s v="ORD-00980"/>
    <x v="218"/>
    <x v="1"/>
    <s v="Virginia"/>
    <s v="Richmond"/>
    <s v="Jamie Miller"/>
    <x v="2"/>
    <x v="0"/>
    <s v="Pens"/>
    <s v="Fine Tip Pens"/>
    <n v="9"/>
    <n v="8.82"/>
    <n v="0"/>
    <n v="79.38"/>
    <n v="45.62"/>
    <n v="33.76"/>
    <s v="Bank Transfer"/>
  </r>
  <r>
    <s v="ORD-02157"/>
    <x v="218"/>
    <x v="0"/>
    <s v="Oregon"/>
    <s v="Portland"/>
    <s v="Drew Anderson"/>
    <x v="2"/>
    <x v="2"/>
    <s v="Tables"/>
    <s v="Side Table"/>
    <n v="10"/>
    <n v="402.18"/>
    <n v="0"/>
    <n v="4021.8"/>
    <n v="2403.5100000000002"/>
    <n v="1618.29"/>
    <s v="Bank Transfer"/>
  </r>
  <r>
    <s v="ORD-01820"/>
    <x v="218"/>
    <x v="3"/>
    <s v="Minnesota"/>
    <s v="St. Paul"/>
    <s v="Jamie Miller"/>
    <x v="2"/>
    <x v="1"/>
    <s v="Laptops"/>
    <s v="Workstation Laptop"/>
    <n v="4"/>
    <n v="1722.44"/>
    <n v="0"/>
    <n v="6889.76"/>
    <n v="5569.43"/>
    <n v="1320.33"/>
    <s v="Credit Card"/>
  </r>
  <r>
    <s v="ORD-00897"/>
    <x v="218"/>
    <x v="1"/>
    <s v="Georgia"/>
    <s v="Augusta"/>
    <s v="Morgan Davis"/>
    <x v="2"/>
    <x v="0"/>
    <s v="Paper"/>
    <s v="Recycled Paper"/>
    <n v="10"/>
    <n v="21.2"/>
    <n v="0.05"/>
    <n v="201.4"/>
    <n v="119.89"/>
    <n v="81.510000000000005"/>
    <s v="Bank Transfer"/>
  </r>
  <r>
    <s v="ORD-00420"/>
    <x v="218"/>
    <x v="1"/>
    <s v="Virginia"/>
    <s v="Arlington"/>
    <s v="Casey Brown"/>
    <x v="1"/>
    <x v="0"/>
    <s v="Printers"/>
    <s v="Color Printer"/>
    <n v="7"/>
    <n v="274.43"/>
    <n v="0.1"/>
    <n v="1728.91"/>
    <n v="1058.5999999999999"/>
    <n v="670.31"/>
    <s v="Credit Card"/>
  </r>
  <r>
    <s v="ORD-02341"/>
    <x v="218"/>
    <x v="1"/>
    <s v="Georgia"/>
    <s v="Augusta"/>
    <s v="Taylor Smith"/>
    <x v="0"/>
    <x v="2"/>
    <s v="Desks"/>
    <s v="Work Desk"/>
    <n v="10"/>
    <n v="225.49"/>
    <n v="0.15"/>
    <n v="1916.66"/>
    <n v="1313.45"/>
    <n v="603.21"/>
    <s v="Debit Card"/>
  </r>
  <r>
    <s v="ORD-00921"/>
    <x v="218"/>
    <x v="2"/>
    <s v="Massachusetts"/>
    <s v="Boston"/>
    <s v="Avery Johnson"/>
    <x v="2"/>
    <x v="2"/>
    <s v="Tables"/>
    <s v="Training Table"/>
    <n v="2"/>
    <n v="549.83000000000004"/>
    <n v="0"/>
    <n v="1099.6600000000001"/>
    <n v="758.73"/>
    <n v="340.93"/>
    <s v="Debit Card"/>
  </r>
  <r>
    <s v="ORD-01374"/>
    <x v="218"/>
    <x v="1"/>
    <s v="Virginia"/>
    <s v="Norfolk"/>
    <s v="Cameron Clark"/>
    <x v="0"/>
    <x v="2"/>
    <s v="Bookcases"/>
    <s v="Storage Bookcase"/>
    <n v="10"/>
    <n v="389.03"/>
    <n v="0"/>
    <n v="3890.3"/>
    <n v="2958.28"/>
    <n v="932.02"/>
    <s v="Bank Transfer"/>
  </r>
  <r>
    <s v="ORD-01201"/>
    <x v="218"/>
    <x v="2"/>
    <s v="Massachusetts"/>
    <s v="Worcester"/>
    <s v="Taylor Smith"/>
    <x v="1"/>
    <x v="0"/>
    <s v="Binders"/>
    <s v="3-Ring Binder"/>
    <n v="3"/>
    <n v="25.7"/>
    <n v="0.15"/>
    <n v="65.540000000000006"/>
    <n v="47.37"/>
    <n v="18.170000000000002"/>
    <s v="PayPal"/>
  </r>
  <r>
    <s v="ORD-02679"/>
    <x v="218"/>
    <x v="3"/>
    <s v="Ohio"/>
    <s v="Cleveland"/>
    <s v="Jordan Lee"/>
    <x v="0"/>
    <x v="1"/>
    <s v="Monitors"/>
    <s v="27in Monitor"/>
    <n v="2"/>
    <n v="688.69"/>
    <n v="0.1"/>
    <n v="1239.6400000000001"/>
    <n v="937.32"/>
    <n v="302.32"/>
    <s v="Debit Card"/>
  </r>
  <r>
    <s v="ORD-00949"/>
    <x v="218"/>
    <x v="1"/>
    <s v="North Carolina"/>
    <s v="Raleigh"/>
    <s v="Taylor Smith"/>
    <x v="2"/>
    <x v="1"/>
    <s v="Keyboards"/>
    <s v="Wireless Keyboard"/>
    <n v="4"/>
    <n v="140.94"/>
    <n v="0.1"/>
    <n v="507.38"/>
    <n v="415.42"/>
    <n v="91.96"/>
    <s v="Debit Card"/>
  </r>
  <r>
    <s v="ORD-00981"/>
    <x v="218"/>
    <x v="0"/>
    <s v="Washington"/>
    <s v="Spokane"/>
    <s v="Taylor Smith"/>
    <x v="1"/>
    <x v="1"/>
    <s v="Keyboards"/>
    <s v="Wireless Keyboard"/>
    <n v="4"/>
    <n v="129.11000000000001"/>
    <n v="0.15"/>
    <n v="438.97"/>
    <n v="354.92"/>
    <n v="84.05"/>
    <s v="Debit Card"/>
  </r>
  <r>
    <s v="ORD-00098"/>
    <x v="218"/>
    <x v="0"/>
    <s v="California"/>
    <s v="San Jose"/>
    <s v="Taylor Smith"/>
    <x v="2"/>
    <x v="0"/>
    <s v="Binders"/>
    <s v="Presentation Binder"/>
    <n v="6"/>
    <n v="5.0599999999999996"/>
    <n v="0.05"/>
    <n v="28.84"/>
    <n v="17.27"/>
    <n v="11.57"/>
    <s v="Debit Card"/>
  </r>
  <r>
    <s v="ORD-01236"/>
    <x v="219"/>
    <x v="0"/>
    <s v="Arizona"/>
    <s v="Mesa"/>
    <s v="Avery Johnson"/>
    <x v="0"/>
    <x v="0"/>
    <s v="Paper"/>
    <s v="Premium Paper"/>
    <n v="1"/>
    <n v="22.9"/>
    <n v="0.05"/>
    <n v="21.76"/>
    <n v="14.28"/>
    <n v="7.48"/>
    <s v="PayPal"/>
  </r>
  <r>
    <s v="ORD-02026"/>
    <x v="219"/>
    <x v="1"/>
    <s v="Texas"/>
    <s v="Dallas"/>
    <s v="Cameron Clark"/>
    <x v="2"/>
    <x v="0"/>
    <s v="Paper"/>
    <s v="Copy Paper"/>
    <n v="10"/>
    <n v="21.41"/>
    <n v="0"/>
    <n v="214.1"/>
    <n v="118.37"/>
    <n v="95.73"/>
    <s v="Bank Transfer"/>
  </r>
  <r>
    <s v="ORD-02461"/>
    <x v="219"/>
    <x v="0"/>
    <s v="Colorado"/>
    <s v="Denver"/>
    <s v="Morgan Davis"/>
    <x v="2"/>
    <x v="0"/>
    <s v="Printers"/>
    <s v="Laser Printer"/>
    <n v="3"/>
    <n v="184.8"/>
    <n v="0.15"/>
    <n v="471.24"/>
    <n v="295.24"/>
    <n v="176"/>
    <s v="PayPal"/>
  </r>
  <r>
    <s v="ORD-02153"/>
    <x v="219"/>
    <x v="2"/>
    <s v="Vermont"/>
    <s v="Montpelier"/>
    <s v="Jamie Miller"/>
    <x v="2"/>
    <x v="0"/>
    <s v="Binders"/>
    <s v="Heavy-Duty Binder"/>
    <n v="1"/>
    <n v="15.07"/>
    <n v="0.15"/>
    <n v="12.81"/>
    <n v="9.2100000000000009"/>
    <n v="3.6"/>
    <s v="PayPal"/>
  </r>
  <r>
    <s v="ORD-00217"/>
    <x v="219"/>
    <x v="0"/>
    <s v="Washington"/>
    <s v="Tacoma"/>
    <s v="Taylor Smith"/>
    <x v="2"/>
    <x v="1"/>
    <s v="Keyboards"/>
    <s v="Wireless Keyboard"/>
    <n v="6"/>
    <n v="157.02000000000001"/>
    <n v="0"/>
    <n v="942.12"/>
    <n v="690.74"/>
    <n v="251.38"/>
    <s v="Credit Card"/>
  </r>
  <r>
    <s v="ORD-00270"/>
    <x v="219"/>
    <x v="3"/>
    <s v="Minnesota"/>
    <s v="Minneapolis"/>
    <s v="Morgan Davis"/>
    <x v="2"/>
    <x v="1"/>
    <s v="Keyboards"/>
    <s v="Wireless Keyboard"/>
    <n v="3"/>
    <n v="163.63999999999999"/>
    <n v="0.15"/>
    <n v="417.28"/>
    <n v="242.5"/>
    <n v="174.78"/>
    <s v="Bank Transfer"/>
  </r>
  <r>
    <s v="ORD-02799"/>
    <x v="219"/>
    <x v="2"/>
    <s v="New York"/>
    <s v="Rochester"/>
    <s v="Alex Morgan"/>
    <x v="1"/>
    <x v="0"/>
    <s v="Printers"/>
    <s v="Laser Printer"/>
    <n v="7"/>
    <n v="346.71"/>
    <n v="0.1"/>
    <n v="2184.27"/>
    <n v="1593.26"/>
    <n v="591.01"/>
    <s v="Bank Transfer"/>
  </r>
  <r>
    <s v="ORD-01965"/>
    <x v="219"/>
    <x v="2"/>
    <s v="New York"/>
    <s v="Buffalo"/>
    <s v="Morgan Davis"/>
    <x v="0"/>
    <x v="0"/>
    <s v="Paper"/>
    <s v="Copy Paper"/>
    <n v="8"/>
    <n v="8.59"/>
    <n v="0"/>
    <n v="68.72"/>
    <n v="45.1"/>
    <n v="23.62"/>
    <s v="Bank Transfer"/>
  </r>
  <r>
    <s v="ORD-01818"/>
    <x v="220"/>
    <x v="3"/>
    <s v="Michigan"/>
    <s v="Grand Rapids"/>
    <s v="Alex Morgan"/>
    <x v="2"/>
    <x v="0"/>
    <s v="Binders"/>
    <s v="Heavy-Duty Binder"/>
    <n v="10"/>
    <n v="10.51"/>
    <n v="0"/>
    <n v="105.1"/>
    <n v="85.65"/>
    <n v="19.45"/>
    <s v="Debit Card"/>
  </r>
  <r>
    <s v="ORD-01669"/>
    <x v="220"/>
    <x v="3"/>
    <s v="Illinois"/>
    <s v="Chicago"/>
    <s v="Alex Morgan"/>
    <x v="2"/>
    <x v="1"/>
    <s v="Laptops"/>
    <s v="Business Laptop"/>
    <n v="5"/>
    <n v="1199.3499999999999"/>
    <n v="0.1"/>
    <n v="5397.08"/>
    <n v="4295.4799999999996"/>
    <n v="1101.5999999999999"/>
    <s v="Bank Transfer"/>
  </r>
  <r>
    <s v="ORD-01674"/>
    <x v="220"/>
    <x v="2"/>
    <s v="New Jersey"/>
    <s v="Newark"/>
    <s v="Jordan Lee"/>
    <x v="2"/>
    <x v="2"/>
    <s v="Chairs"/>
    <s v="Executive Chair"/>
    <n v="7"/>
    <n v="464.39"/>
    <n v="0"/>
    <n v="3250.73"/>
    <n v="2534.3000000000002"/>
    <n v="716.43"/>
    <s v="Bank Transfer"/>
  </r>
  <r>
    <s v="ORD-02052"/>
    <x v="220"/>
    <x v="3"/>
    <s v="Ohio"/>
    <s v="Cleveland"/>
    <s v="Alex Morgan"/>
    <x v="0"/>
    <x v="2"/>
    <s v="Desks"/>
    <s v="Standing Desk"/>
    <n v="8"/>
    <n v="768.87"/>
    <n v="0.05"/>
    <n v="5843.41"/>
    <n v="3332.75"/>
    <n v="2510.66"/>
    <s v="Debit Card"/>
  </r>
  <r>
    <s v="ORD-00383"/>
    <x v="220"/>
    <x v="0"/>
    <s v="Oregon"/>
    <s v="Portland"/>
    <s v="Riley Wilson"/>
    <x v="0"/>
    <x v="2"/>
    <s v="Bookcases"/>
    <s v="5-Shelf Bookcase"/>
    <n v="6"/>
    <n v="388.68"/>
    <n v="0"/>
    <n v="2332.08"/>
    <n v="1693.87"/>
    <n v="638.21"/>
    <s v="Bank Transfer"/>
  </r>
  <r>
    <s v="ORD-02996"/>
    <x v="220"/>
    <x v="2"/>
    <s v="Pennsylvania"/>
    <s v="Philadelphia"/>
    <s v="Casey Brown"/>
    <x v="0"/>
    <x v="2"/>
    <s v="Chairs"/>
    <s v="Executive Chair"/>
    <n v="5"/>
    <n v="142.97"/>
    <n v="0.1"/>
    <n v="643.36"/>
    <n v="444.09"/>
    <n v="199.27"/>
    <s v="PayPal"/>
  </r>
  <r>
    <s v="ORD-01904"/>
    <x v="220"/>
    <x v="2"/>
    <s v="New Jersey"/>
    <s v="Trenton"/>
    <s v="Morgan Davis"/>
    <x v="0"/>
    <x v="1"/>
    <s v="Monitors"/>
    <s v="34in Monitor"/>
    <n v="4"/>
    <n v="505.88"/>
    <n v="0.1"/>
    <n v="1821.17"/>
    <n v="1053.5999999999999"/>
    <n v="767.57"/>
    <s v="Bank Transfer"/>
  </r>
  <r>
    <s v="ORD-00732"/>
    <x v="220"/>
    <x v="2"/>
    <s v="New York"/>
    <s v="Buffalo"/>
    <s v="Jamie Miller"/>
    <x v="2"/>
    <x v="0"/>
    <s v="Pens"/>
    <s v="Ballpoint Pens"/>
    <n v="1"/>
    <n v="8.4600000000000009"/>
    <n v="0"/>
    <n v="8.4600000000000009"/>
    <n v="5.1100000000000003"/>
    <n v="3.35"/>
    <s v="PayPal"/>
  </r>
  <r>
    <s v="ORD-00091"/>
    <x v="220"/>
    <x v="0"/>
    <s v="California"/>
    <s v="San Diego"/>
    <s v="Riley Wilson"/>
    <x v="1"/>
    <x v="0"/>
    <s v="Pens"/>
    <s v="Fine Tip Pens"/>
    <n v="9"/>
    <n v="10.23"/>
    <n v="0.1"/>
    <n v="82.86"/>
    <n v="47.09"/>
    <n v="35.770000000000003"/>
    <s v="PayPal"/>
  </r>
  <r>
    <s v="ORD-00483"/>
    <x v="220"/>
    <x v="2"/>
    <s v="Massachusetts"/>
    <s v="Boston"/>
    <s v="Avery Johnson"/>
    <x v="2"/>
    <x v="1"/>
    <s v="Monitors"/>
    <s v="27in Monitor"/>
    <n v="8"/>
    <n v="624.69000000000005"/>
    <n v="0.05"/>
    <n v="4747.6400000000003"/>
    <n v="3505.03"/>
    <n v="1242.6099999999999"/>
    <s v="PayPal"/>
  </r>
  <r>
    <s v="ORD-00065"/>
    <x v="221"/>
    <x v="3"/>
    <s v="Minnesota"/>
    <s v="St. Paul"/>
    <s v="Casey Brown"/>
    <x v="0"/>
    <x v="2"/>
    <s v="Chairs"/>
    <s v="Task Chair"/>
    <n v="9"/>
    <n v="114.9"/>
    <n v="0.15"/>
    <n v="878.99"/>
    <n v="596.47"/>
    <n v="282.52"/>
    <s v="Bank Transfer"/>
  </r>
  <r>
    <s v="ORD-02991"/>
    <x v="221"/>
    <x v="1"/>
    <s v="North Carolina"/>
    <s v="Charlotte"/>
    <s v="Jordan Lee"/>
    <x v="2"/>
    <x v="2"/>
    <s v="Desks"/>
    <s v="Standing Desk"/>
    <n v="3"/>
    <n v="278.94"/>
    <n v="0"/>
    <n v="836.82"/>
    <n v="460.27"/>
    <n v="376.55"/>
    <s v="Debit Card"/>
  </r>
  <r>
    <s v="ORD-02051"/>
    <x v="222"/>
    <x v="1"/>
    <s v="Georgia"/>
    <s v="Augusta"/>
    <s v="Taylor Smith"/>
    <x v="0"/>
    <x v="1"/>
    <s v="Headsets"/>
    <s v="USB Headset"/>
    <n v="2"/>
    <n v="186.54"/>
    <n v="0.15"/>
    <n v="317.12"/>
    <n v="221.94"/>
    <n v="95.18"/>
    <s v="Credit Card"/>
  </r>
  <r>
    <s v="ORD-01300"/>
    <x v="222"/>
    <x v="1"/>
    <s v="Florida"/>
    <s v="Orlando"/>
    <s v="Casey Brown"/>
    <x v="2"/>
    <x v="0"/>
    <s v="Paper"/>
    <s v="Premium Paper"/>
    <n v="1"/>
    <n v="18.329999999999998"/>
    <n v="0.15"/>
    <n v="15.58"/>
    <n v="8.67"/>
    <n v="6.91"/>
    <s v="PayPal"/>
  </r>
  <r>
    <s v="ORD-00840"/>
    <x v="222"/>
    <x v="2"/>
    <s v="Vermont"/>
    <s v="Montpelier"/>
    <s v="Riley Wilson"/>
    <x v="2"/>
    <x v="2"/>
    <s v="Desks"/>
    <s v="Standing Desk"/>
    <n v="8"/>
    <n v="241.22"/>
    <n v="0.05"/>
    <n v="1833.27"/>
    <n v="1173.04"/>
    <n v="660.23"/>
    <s v="Debit Card"/>
  </r>
  <r>
    <s v="ORD-00484"/>
    <x v="222"/>
    <x v="1"/>
    <s v="Texas"/>
    <s v="Houston"/>
    <s v="Taylor Smith"/>
    <x v="0"/>
    <x v="2"/>
    <s v="Tables"/>
    <s v="Conference Table"/>
    <n v="3"/>
    <n v="267.33"/>
    <n v="0"/>
    <n v="801.99"/>
    <n v="510.68"/>
    <n v="291.31"/>
    <s v="Debit Card"/>
  </r>
  <r>
    <s v="ORD-00733"/>
    <x v="222"/>
    <x v="2"/>
    <s v="Massachusetts"/>
    <s v="Boston"/>
    <s v="Jamie Miller"/>
    <x v="0"/>
    <x v="1"/>
    <s v="Keyboards"/>
    <s v="Ergonomic Keyboard"/>
    <n v="3"/>
    <n v="126.06"/>
    <n v="0"/>
    <n v="378.18"/>
    <n v="268.51"/>
    <n v="109.67"/>
    <s v="Debit Card"/>
  </r>
  <r>
    <s v="ORD-02353"/>
    <x v="222"/>
    <x v="3"/>
    <s v="Michigan"/>
    <s v="Detroit"/>
    <s v="Riley Wilson"/>
    <x v="0"/>
    <x v="1"/>
    <s v="Monitors"/>
    <s v="34in Monitor"/>
    <n v="5"/>
    <n v="320.11"/>
    <n v="0.05"/>
    <n v="1520.52"/>
    <n v="964.07"/>
    <n v="556.45000000000005"/>
    <s v="Credit Card"/>
  </r>
  <r>
    <s v="ORD-01060"/>
    <x v="222"/>
    <x v="0"/>
    <s v="Washington"/>
    <s v="Seattle"/>
    <s v="Taylor Smith"/>
    <x v="0"/>
    <x v="2"/>
    <s v="Bookcases"/>
    <s v="Storage Bookcase"/>
    <n v="2"/>
    <n v="128.34"/>
    <n v="0.15"/>
    <n v="218.18"/>
    <n v="167.48"/>
    <n v="50.7"/>
    <s v="Credit Card"/>
  </r>
  <r>
    <s v="ORD-02304"/>
    <x v="223"/>
    <x v="2"/>
    <s v="Vermont"/>
    <s v="Burlington"/>
    <s v="Alex Morgan"/>
    <x v="2"/>
    <x v="1"/>
    <s v="Monitors"/>
    <s v="34in Monitor"/>
    <n v="9"/>
    <n v="270.20999999999998"/>
    <n v="0.05"/>
    <n v="2310.3000000000002"/>
    <n v="1617.92"/>
    <n v="692.38"/>
    <s v="Bank Transfer"/>
  </r>
  <r>
    <s v="ORD-00238"/>
    <x v="223"/>
    <x v="1"/>
    <s v="Texas"/>
    <s v="Dallas"/>
    <s v="Taylor Smith"/>
    <x v="0"/>
    <x v="2"/>
    <s v="Chairs"/>
    <s v="Executive Chair"/>
    <n v="8"/>
    <n v="398.28"/>
    <n v="0.1"/>
    <n v="2867.62"/>
    <n v="1627.24"/>
    <n v="1240.3800000000001"/>
    <s v="Credit Card"/>
  </r>
  <r>
    <s v="ORD-00166"/>
    <x v="223"/>
    <x v="2"/>
    <s v="Massachusetts"/>
    <s v="Worcester"/>
    <s v="Casey Brown"/>
    <x v="2"/>
    <x v="1"/>
    <s v="Keyboards"/>
    <s v="Mechanical Keyboard"/>
    <n v="7"/>
    <n v="32.880000000000003"/>
    <n v="0.2"/>
    <n v="184.13"/>
    <n v="136.22999999999999"/>
    <n v="47.9"/>
    <s v="Debit Card"/>
  </r>
  <r>
    <s v="ORD-00263"/>
    <x v="223"/>
    <x v="2"/>
    <s v="New Jersey"/>
    <s v="Jersey City"/>
    <s v="Jamie Miller"/>
    <x v="0"/>
    <x v="2"/>
    <s v="Desks"/>
    <s v="Work Desk"/>
    <n v="3"/>
    <n v="333.34"/>
    <n v="0.2"/>
    <n v="800.02"/>
    <n v="648.39"/>
    <n v="151.63"/>
    <s v="Credit Card"/>
  </r>
  <r>
    <s v="ORD-02252"/>
    <x v="223"/>
    <x v="3"/>
    <s v="Michigan"/>
    <s v="Detroit"/>
    <s v="Drew Anderson"/>
    <x v="2"/>
    <x v="0"/>
    <s v="Printers"/>
    <s v="All-in-One Printer"/>
    <n v="2"/>
    <n v="301.14999999999998"/>
    <n v="0"/>
    <n v="602.29999999999995"/>
    <n v="385.02"/>
    <n v="217.28"/>
    <s v="Bank Transfer"/>
  </r>
  <r>
    <s v="ORD-02079"/>
    <x v="223"/>
    <x v="3"/>
    <s v="Ohio"/>
    <s v="Columbus"/>
    <s v="Alex Morgan"/>
    <x v="2"/>
    <x v="1"/>
    <s v="Headsets"/>
    <s v="Noise-Canceling Headset"/>
    <n v="3"/>
    <n v="100.16"/>
    <n v="0.1"/>
    <n v="270.43"/>
    <n v="192.99"/>
    <n v="77.44"/>
    <s v="Credit Card"/>
  </r>
  <r>
    <s v="ORD-01299"/>
    <x v="223"/>
    <x v="2"/>
    <s v="New Jersey"/>
    <s v="Newark"/>
    <s v="Alex Morgan"/>
    <x v="1"/>
    <x v="0"/>
    <s v="Pens"/>
    <s v="Fine Tip Pens"/>
    <n v="1"/>
    <n v="20.38"/>
    <n v="0.1"/>
    <n v="18.34"/>
    <n v="14.28"/>
    <n v="4.0599999999999996"/>
    <s v="Debit Card"/>
  </r>
  <r>
    <s v="ORD-01777"/>
    <x v="223"/>
    <x v="1"/>
    <s v="Florida"/>
    <s v="Orlando"/>
    <s v="Riley Wilson"/>
    <x v="1"/>
    <x v="1"/>
    <s v="Keyboards"/>
    <s v="Ergonomic Keyboard"/>
    <n v="3"/>
    <n v="54.3"/>
    <n v="0.05"/>
    <n v="154.75"/>
    <n v="114.96"/>
    <n v="39.79"/>
    <s v="Bank Transfer"/>
  </r>
  <r>
    <s v="ORD-00922"/>
    <x v="224"/>
    <x v="3"/>
    <s v="Illinois"/>
    <s v="Springfield"/>
    <s v="Jamie Miller"/>
    <x v="2"/>
    <x v="2"/>
    <s v="Chairs"/>
    <s v="Ergonomic Chair"/>
    <n v="9"/>
    <n v="401.34"/>
    <n v="0"/>
    <n v="3612.06"/>
    <n v="2488.7600000000002"/>
    <n v="1123.3"/>
    <s v="Bank Transfer"/>
  </r>
  <r>
    <s v="ORD-01809"/>
    <x v="224"/>
    <x v="0"/>
    <s v="Oregon"/>
    <s v="Eugene"/>
    <s v="Alex Morgan"/>
    <x v="0"/>
    <x v="1"/>
    <s v="Headsets"/>
    <s v="USB Headset"/>
    <n v="7"/>
    <n v="144.94"/>
    <n v="0.1"/>
    <n v="913.12"/>
    <n v="703.68"/>
    <n v="209.44"/>
    <s v="Bank Transfer"/>
  </r>
  <r>
    <s v="ORD-02901"/>
    <x v="224"/>
    <x v="1"/>
    <s v="North Carolina"/>
    <s v="Raleigh"/>
    <s v="Avery Johnson"/>
    <x v="1"/>
    <x v="1"/>
    <s v="Monitors"/>
    <s v="24in Monitor"/>
    <n v="5"/>
    <n v="201.81"/>
    <n v="0.05"/>
    <n v="958.6"/>
    <n v="712.05"/>
    <n v="246.55"/>
    <s v="Debit Card"/>
  </r>
  <r>
    <s v="ORD-02800"/>
    <x v="224"/>
    <x v="2"/>
    <s v="Massachusetts"/>
    <s v="Boston"/>
    <s v="Avery Johnson"/>
    <x v="2"/>
    <x v="0"/>
    <s v="Paper"/>
    <s v="Recycled Paper"/>
    <n v="10"/>
    <n v="24.51"/>
    <n v="0.15"/>
    <n v="208.34"/>
    <n v="118.15"/>
    <n v="90.19"/>
    <s v="Credit Card"/>
  </r>
  <r>
    <s v="ORD-01113"/>
    <x v="225"/>
    <x v="0"/>
    <s v="Arizona"/>
    <s v="Tucson"/>
    <s v="Cameron Clark"/>
    <x v="0"/>
    <x v="2"/>
    <s v="Tables"/>
    <s v="Training Table"/>
    <n v="10"/>
    <n v="295.39"/>
    <n v="0.2"/>
    <n v="2363.12"/>
    <n v="1932.84"/>
    <n v="430.28"/>
    <s v="Credit Card"/>
  </r>
  <r>
    <s v="ORD-02019"/>
    <x v="225"/>
    <x v="2"/>
    <s v="New York"/>
    <s v="Rochester"/>
    <s v="Jordan Lee"/>
    <x v="1"/>
    <x v="1"/>
    <s v="Laptops"/>
    <s v="Ultrabook"/>
    <n v="10"/>
    <n v="1565.86"/>
    <n v="0.05"/>
    <n v="14875.67"/>
    <n v="8223.43"/>
    <n v="6652.24"/>
    <s v="Debit Card"/>
  </r>
  <r>
    <s v="ORD-00501"/>
    <x v="225"/>
    <x v="3"/>
    <s v="Minnesota"/>
    <s v="Rochester"/>
    <s v="Jamie Miller"/>
    <x v="1"/>
    <x v="2"/>
    <s v="Bookcases"/>
    <s v="5-Shelf Bookcase"/>
    <n v="8"/>
    <n v="241.54"/>
    <n v="0.2"/>
    <n v="1545.86"/>
    <n v="1122.3399999999999"/>
    <n v="423.52"/>
    <s v="Credit Card"/>
  </r>
  <r>
    <s v="ORD-02444"/>
    <x v="226"/>
    <x v="0"/>
    <s v="Oregon"/>
    <s v="Portland"/>
    <s v="Riley Wilson"/>
    <x v="0"/>
    <x v="1"/>
    <s v="Keyboards"/>
    <s v="Wireless Keyboard"/>
    <n v="2"/>
    <n v="79.459999999999994"/>
    <n v="0.1"/>
    <n v="143.03"/>
    <n v="94.86"/>
    <n v="48.17"/>
    <s v="Debit Card"/>
  </r>
  <r>
    <s v="ORD-01616"/>
    <x v="226"/>
    <x v="3"/>
    <s v="Michigan"/>
    <s v="Grand Rapids"/>
    <s v="Jamie Miller"/>
    <x v="2"/>
    <x v="2"/>
    <s v="Chairs"/>
    <s v="Task Chair"/>
    <n v="2"/>
    <n v="175.04"/>
    <n v="0.1"/>
    <n v="315.07"/>
    <n v="180.66"/>
    <n v="134.41"/>
    <s v="Bank Transfer"/>
  </r>
  <r>
    <s v="ORD-02431"/>
    <x v="226"/>
    <x v="0"/>
    <s v="Colorado"/>
    <s v="Denver"/>
    <s v="Morgan Davis"/>
    <x v="0"/>
    <x v="1"/>
    <s v="Headsets"/>
    <s v="USB Headset"/>
    <n v="3"/>
    <n v="105.02"/>
    <n v="0.2"/>
    <n v="252.05"/>
    <n v="193.22"/>
    <n v="58.83"/>
    <s v="Bank Transfer"/>
  </r>
  <r>
    <s v="ORD-01496"/>
    <x v="226"/>
    <x v="2"/>
    <s v="Pennsylvania"/>
    <s v="Pittsburgh"/>
    <s v="Drew Anderson"/>
    <x v="2"/>
    <x v="2"/>
    <s v="Bookcases"/>
    <s v="3-Shelf Bookcase"/>
    <n v="7"/>
    <n v="370.53"/>
    <n v="0.1"/>
    <n v="2334.34"/>
    <n v="1849.99"/>
    <n v="484.35"/>
    <s v="Debit Card"/>
  </r>
  <r>
    <s v="ORD-00511"/>
    <x v="226"/>
    <x v="2"/>
    <s v="Massachusetts"/>
    <s v="Worcester"/>
    <s v="Casey Brown"/>
    <x v="1"/>
    <x v="2"/>
    <s v="Desks"/>
    <s v="Executive Desk"/>
    <n v="2"/>
    <n v="706.53"/>
    <n v="0.05"/>
    <n v="1342.41"/>
    <n v="756.82"/>
    <n v="585.59"/>
    <s v="PayPal"/>
  </r>
  <r>
    <s v="ORD-02970"/>
    <x v="226"/>
    <x v="2"/>
    <s v="Vermont"/>
    <s v="Rutland"/>
    <s v="Morgan Davis"/>
    <x v="1"/>
    <x v="2"/>
    <s v="Chairs"/>
    <s v="Task Chair"/>
    <n v="4"/>
    <n v="530.29999999999995"/>
    <n v="0.05"/>
    <n v="2015.14"/>
    <n v="1211.3900000000001"/>
    <n v="803.75"/>
    <s v="PayPal"/>
  </r>
  <r>
    <s v="ORD-00477"/>
    <x v="226"/>
    <x v="2"/>
    <s v="Vermont"/>
    <s v="Burlington"/>
    <s v="Morgan Davis"/>
    <x v="0"/>
    <x v="0"/>
    <s v="Binders"/>
    <s v="Heavy-Duty Binder"/>
    <n v="3"/>
    <n v="28.06"/>
    <n v="0.05"/>
    <n v="79.97"/>
    <n v="55.2"/>
    <n v="24.77"/>
    <s v="PayPal"/>
  </r>
  <r>
    <s v="ORD-01990"/>
    <x v="226"/>
    <x v="2"/>
    <s v="Vermont"/>
    <s v="Montpelier"/>
    <s v="Taylor Smith"/>
    <x v="0"/>
    <x v="1"/>
    <s v="Monitors"/>
    <s v="24in Monitor"/>
    <n v="6"/>
    <n v="300.73"/>
    <n v="0.1"/>
    <n v="1623.94"/>
    <n v="947.95"/>
    <n v="675.99"/>
    <s v="Bank Transfer"/>
  </r>
  <r>
    <s v="ORD-02603"/>
    <x v="226"/>
    <x v="1"/>
    <s v="Florida"/>
    <s v="Miami"/>
    <s v="Cameron Clark"/>
    <x v="0"/>
    <x v="2"/>
    <s v="Tables"/>
    <s v="Conference Table"/>
    <n v="10"/>
    <n v="359.22"/>
    <n v="0.05"/>
    <n v="3412.59"/>
    <n v="2735.99"/>
    <n v="676.6"/>
    <s v="Credit Card"/>
  </r>
  <r>
    <s v="ORD-02118"/>
    <x v="226"/>
    <x v="0"/>
    <s v="Washington"/>
    <s v="Seattle"/>
    <s v="Morgan Davis"/>
    <x v="0"/>
    <x v="1"/>
    <s v="Keyboards"/>
    <s v="Mechanical Keyboard"/>
    <n v="3"/>
    <n v="43.86"/>
    <n v="0"/>
    <n v="131.58000000000001"/>
    <n v="101.52"/>
    <n v="30.06"/>
    <s v="Credit Card"/>
  </r>
  <r>
    <s v="ORD-00370"/>
    <x v="227"/>
    <x v="3"/>
    <s v="Illinois"/>
    <s v="Chicago"/>
    <s v="Jordan Lee"/>
    <x v="0"/>
    <x v="1"/>
    <s v="Keyboards"/>
    <s v="Ergonomic Keyboard"/>
    <n v="2"/>
    <n v="108.07"/>
    <n v="0"/>
    <n v="216.14"/>
    <n v="168.3"/>
    <n v="47.84"/>
    <s v="Credit Card"/>
  </r>
  <r>
    <s v="ORD-02646"/>
    <x v="227"/>
    <x v="3"/>
    <s v="Minnesota"/>
    <s v="Minneapolis"/>
    <s v="Avery Johnson"/>
    <x v="1"/>
    <x v="1"/>
    <s v="Laptops"/>
    <s v="Business Laptop"/>
    <n v="4"/>
    <n v="973.49"/>
    <n v="0.1"/>
    <n v="3504.56"/>
    <n v="2853.51"/>
    <n v="651.04999999999995"/>
    <s v="Credit Card"/>
  </r>
  <r>
    <s v="ORD-02188"/>
    <x v="227"/>
    <x v="1"/>
    <s v="North Carolina"/>
    <s v="Durham"/>
    <s v="Alex Morgan"/>
    <x v="0"/>
    <x v="1"/>
    <s v="Headsets"/>
    <s v="Noise-Canceling Headset"/>
    <n v="7"/>
    <n v="53.62"/>
    <n v="0.15"/>
    <n v="319.04000000000002"/>
    <n v="247.08"/>
    <n v="71.959999999999994"/>
    <s v="Debit Card"/>
  </r>
  <r>
    <s v="ORD-01968"/>
    <x v="227"/>
    <x v="0"/>
    <s v="California"/>
    <s v="San Jose"/>
    <s v="Avery Johnson"/>
    <x v="2"/>
    <x v="0"/>
    <s v="Printers"/>
    <s v="All-in-One Printer"/>
    <n v="5"/>
    <n v="461.14"/>
    <n v="0.1"/>
    <n v="2075.13"/>
    <n v="1373.95"/>
    <n v="701.18"/>
    <s v="PayPal"/>
  </r>
  <r>
    <s v="ORD-01963"/>
    <x v="227"/>
    <x v="1"/>
    <s v="Florida"/>
    <s v="Tampa"/>
    <s v="Jamie Miller"/>
    <x v="0"/>
    <x v="2"/>
    <s v="Bookcases"/>
    <s v="Storage Bookcase"/>
    <n v="6"/>
    <n v="127.93"/>
    <n v="0.05"/>
    <n v="729.2"/>
    <n v="517.9"/>
    <n v="211.3"/>
    <s v="Credit Card"/>
  </r>
  <r>
    <s v="ORD-01331"/>
    <x v="227"/>
    <x v="1"/>
    <s v="North Carolina"/>
    <s v="Durham"/>
    <s v="Casey Brown"/>
    <x v="0"/>
    <x v="1"/>
    <s v="Keyboards"/>
    <s v="Wireless Keyboard"/>
    <n v="9"/>
    <n v="113.21"/>
    <n v="0.1"/>
    <n v="917"/>
    <n v="529.49"/>
    <n v="387.51"/>
    <s v="Debit Card"/>
  </r>
  <r>
    <s v="ORD-00534"/>
    <x v="227"/>
    <x v="2"/>
    <s v="Pennsylvania"/>
    <s v="Pittsburgh"/>
    <s v="Cameron Clark"/>
    <x v="2"/>
    <x v="1"/>
    <s v="Laptops"/>
    <s v="Ultrabook"/>
    <n v="1"/>
    <n v="1616.95"/>
    <n v="0.05"/>
    <n v="1536.1"/>
    <n v="1215.27"/>
    <n v="320.83"/>
    <s v="Bank Transfer"/>
  </r>
  <r>
    <s v="ORD-02724"/>
    <x v="227"/>
    <x v="3"/>
    <s v="Illinois"/>
    <s v="Peoria"/>
    <s v="Jordan Lee"/>
    <x v="0"/>
    <x v="1"/>
    <s v="Laptops"/>
    <s v="Workstation Laptop"/>
    <n v="2"/>
    <n v="1787.12"/>
    <n v="0.05"/>
    <n v="3395.53"/>
    <n v="2754.7"/>
    <n v="640.83000000000004"/>
    <s v="PayPal"/>
  </r>
  <r>
    <s v="ORD-02631"/>
    <x v="227"/>
    <x v="3"/>
    <s v="Illinois"/>
    <s v="Chicago"/>
    <s v="Jordan Lee"/>
    <x v="2"/>
    <x v="0"/>
    <s v="Printers"/>
    <s v="All-in-One Printer"/>
    <n v="9"/>
    <n v="157.19999999999999"/>
    <n v="0"/>
    <n v="1414.8"/>
    <n v="920.12"/>
    <n v="494.68"/>
    <s v="Bank Transfer"/>
  </r>
  <r>
    <s v="ORD-02100"/>
    <x v="228"/>
    <x v="3"/>
    <s v="Minnesota"/>
    <s v="St. Paul"/>
    <s v="Taylor Smith"/>
    <x v="2"/>
    <x v="1"/>
    <s v="Monitors"/>
    <s v="24in Monitor"/>
    <n v="4"/>
    <n v="262.73"/>
    <n v="0.15"/>
    <n v="893.28"/>
    <n v="704.52"/>
    <n v="188.76"/>
    <s v="Credit Card"/>
  </r>
  <r>
    <s v="ORD-02865"/>
    <x v="228"/>
    <x v="1"/>
    <s v="North Carolina"/>
    <s v="Durham"/>
    <s v="Drew Anderson"/>
    <x v="0"/>
    <x v="0"/>
    <s v="Paper"/>
    <s v="Recycled Paper"/>
    <n v="6"/>
    <n v="27.33"/>
    <n v="0.05"/>
    <n v="155.78"/>
    <n v="91.38"/>
    <n v="64.400000000000006"/>
    <s v="Debit Card"/>
  </r>
  <r>
    <s v="ORD-02110"/>
    <x v="228"/>
    <x v="1"/>
    <s v="Virginia"/>
    <s v="Norfolk"/>
    <s v="Avery Johnson"/>
    <x v="0"/>
    <x v="0"/>
    <s v="Paper"/>
    <s v="Recycled Paper"/>
    <n v="7"/>
    <n v="21.73"/>
    <n v="0.05"/>
    <n v="144.5"/>
    <n v="81.849999999999994"/>
    <n v="62.65"/>
    <s v="Credit Card"/>
  </r>
  <r>
    <s v="ORD-00726"/>
    <x v="228"/>
    <x v="2"/>
    <s v="Massachusetts"/>
    <s v="Worcester"/>
    <s v="Casey Brown"/>
    <x v="0"/>
    <x v="0"/>
    <s v="Paper"/>
    <s v="Premium Paper"/>
    <n v="8"/>
    <n v="10.36"/>
    <n v="0.05"/>
    <n v="78.739999999999995"/>
    <n v="44.07"/>
    <n v="34.67"/>
    <s v="PayPal"/>
  </r>
  <r>
    <s v="ORD-01585"/>
    <x v="228"/>
    <x v="1"/>
    <s v="North Carolina"/>
    <s v="Raleigh"/>
    <s v="Morgan Davis"/>
    <x v="1"/>
    <x v="1"/>
    <s v="Headsets"/>
    <s v="USB Headset"/>
    <n v="4"/>
    <n v="66.58"/>
    <n v="0.05"/>
    <n v="253"/>
    <n v="193.73"/>
    <n v="59.27"/>
    <s v="PayPal"/>
  </r>
  <r>
    <s v="ORD-00919"/>
    <x v="228"/>
    <x v="0"/>
    <s v="Arizona"/>
    <s v="Phoenix"/>
    <s v="Morgan Davis"/>
    <x v="0"/>
    <x v="2"/>
    <s v="Bookcases"/>
    <s v="Storage Bookcase"/>
    <n v="7"/>
    <n v="338.73"/>
    <n v="0"/>
    <n v="2371.11"/>
    <n v="1697.01"/>
    <n v="674.1"/>
    <s v="Bank Transfer"/>
  </r>
  <r>
    <s v="ORD-01839"/>
    <x v="228"/>
    <x v="0"/>
    <s v="Oregon"/>
    <s v="Eugene"/>
    <s v="Alex Morgan"/>
    <x v="0"/>
    <x v="2"/>
    <s v="Bookcases"/>
    <s v="3-Shelf Bookcase"/>
    <n v="7"/>
    <n v="371.41"/>
    <n v="0"/>
    <n v="2599.87"/>
    <n v="1466.24"/>
    <n v="1133.6300000000001"/>
    <s v="Credit Card"/>
  </r>
  <r>
    <s v="ORD-00741"/>
    <x v="228"/>
    <x v="3"/>
    <s v="Michigan"/>
    <s v="Detroit"/>
    <s v="Riley Wilson"/>
    <x v="0"/>
    <x v="1"/>
    <s v="Monitors"/>
    <s v="27in Monitor"/>
    <n v="2"/>
    <n v="310.02"/>
    <n v="0"/>
    <n v="620.04"/>
    <n v="381.98"/>
    <n v="238.06"/>
    <s v="Debit Card"/>
  </r>
  <r>
    <s v="ORD-02280"/>
    <x v="228"/>
    <x v="3"/>
    <s v="Michigan"/>
    <s v="Grand Rapids"/>
    <s v="Taylor Smith"/>
    <x v="1"/>
    <x v="1"/>
    <s v="Laptops"/>
    <s v="Business Laptop"/>
    <n v="4"/>
    <n v="931.79"/>
    <n v="0"/>
    <n v="3727.16"/>
    <n v="2442.3000000000002"/>
    <n v="1284.8599999999999"/>
    <s v="PayPal"/>
  </r>
  <r>
    <s v="ORD-00254"/>
    <x v="228"/>
    <x v="2"/>
    <s v="New Jersey"/>
    <s v="Jersey City"/>
    <s v="Taylor Smith"/>
    <x v="2"/>
    <x v="0"/>
    <s v="Paper"/>
    <s v="Recycled Paper"/>
    <n v="9"/>
    <n v="28.29"/>
    <n v="0.1"/>
    <n v="229.15"/>
    <n v="128"/>
    <n v="101.15"/>
    <s v="PayPal"/>
  </r>
  <r>
    <s v="ORD-02123"/>
    <x v="228"/>
    <x v="3"/>
    <s v="Minnesota"/>
    <s v="St. Paul"/>
    <s v="Jordan Lee"/>
    <x v="0"/>
    <x v="0"/>
    <s v="Binders"/>
    <s v="Heavy-Duty Binder"/>
    <n v="5"/>
    <n v="13.16"/>
    <n v="0.1"/>
    <n v="59.22"/>
    <n v="48.02"/>
    <n v="11.2"/>
    <s v="PayPal"/>
  </r>
  <r>
    <s v="ORD-02976"/>
    <x v="228"/>
    <x v="3"/>
    <s v="Michigan"/>
    <s v="Detroit"/>
    <s v="Cameron Clark"/>
    <x v="1"/>
    <x v="2"/>
    <s v="Bookcases"/>
    <s v="3-Shelf Bookcase"/>
    <n v="6"/>
    <n v="446.1"/>
    <n v="0.1"/>
    <n v="2408.94"/>
    <n v="1770.77"/>
    <n v="638.16999999999996"/>
    <s v="Debit Card"/>
  </r>
  <r>
    <s v="ORD-00345"/>
    <x v="228"/>
    <x v="3"/>
    <s v="Indiana"/>
    <s v="Fort Wayne"/>
    <s v="Morgan Davis"/>
    <x v="0"/>
    <x v="0"/>
    <s v="Binders"/>
    <s v="Heavy-Duty Binder"/>
    <n v="8"/>
    <n v="6.21"/>
    <n v="0.05"/>
    <n v="47.2"/>
    <n v="34.549999999999997"/>
    <n v="12.65"/>
    <s v="Bank Transfer"/>
  </r>
  <r>
    <s v="ORD-00969"/>
    <x v="229"/>
    <x v="1"/>
    <s v="Georgia"/>
    <s v="Augusta"/>
    <s v="Jordan Lee"/>
    <x v="1"/>
    <x v="1"/>
    <s v="Keyboards"/>
    <s v="Mechanical Keyboard"/>
    <n v="9"/>
    <n v="158.53"/>
    <n v="0"/>
    <n v="1426.77"/>
    <n v="846.8"/>
    <n v="579.97"/>
    <s v="Bank Transfer"/>
  </r>
  <r>
    <s v="ORD-01426"/>
    <x v="229"/>
    <x v="1"/>
    <s v="Virginia"/>
    <s v="Richmond"/>
    <s v="Morgan Davis"/>
    <x v="1"/>
    <x v="2"/>
    <s v="Chairs"/>
    <s v="Executive Chair"/>
    <n v="6"/>
    <n v="338.46"/>
    <n v="0.1"/>
    <n v="1827.68"/>
    <n v="1169.44"/>
    <n v="658.24"/>
    <s v="Bank Transfer"/>
  </r>
  <r>
    <s v="ORD-01991"/>
    <x v="229"/>
    <x v="0"/>
    <s v="Washington"/>
    <s v="Spokane"/>
    <s v="Avery Johnson"/>
    <x v="0"/>
    <x v="0"/>
    <s v="Binders"/>
    <s v="Presentation Binder"/>
    <n v="7"/>
    <n v="15.04"/>
    <n v="0.15"/>
    <n v="89.49"/>
    <n v="68.2"/>
    <n v="21.29"/>
    <s v="Debit Card"/>
  </r>
  <r>
    <s v="ORD-02701"/>
    <x v="229"/>
    <x v="2"/>
    <s v="Pennsylvania"/>
    <s v="Pittsburgh"/>
    <s v="Alex Morgan"/>
    <x v="0"/>
    <x v="2"/>
    <s v="Chairs"/>
    <s v="Executive Chair"/>
    <n v="5"/>
    <n v="584.86"/>
    <n v="0.05"/>
    <n v="2778.08"/>
    <n v="1574.42"/>
    <n v="1203.6600000000001"/>
    <s v="PayPal"/>
  </r>
  <r>
    <s v="ORD-01495"/>
    <x v="229"/>
    <x v="1"/>
    <s v="Virginia"/>
    <s v="Arlington"/>
    <s v="Casey Brown"/>
    <x v="2"/>
    <x v="0"/>
    <s v="Paper"/>
    <s v="Premium Paper"/>
    <n v="3"/>
    <n v="11.06"/>
    <n v="0"/>
    <n v="33.18"/>
    <n v="18.579999999999998"/>
    <n v="14.6"/>
    <s v="Bank Transfer"/>
  </r>
  <r>
    <s v="ORD-00474"/>
    <x v="229"/>
    <x v="0"/>
    <s v="Oregon"/>
    <s v="Eugene"/>
    <s v="Jordan Lee"/>
    <x v="0"/>
    <x v="1"/>
    <s v="Laptops"/>
    <s v="Workstation Laptop"/>
    <n v="5"/>
    <n v="778.56"/>
    <n v="0"/>
    <n v="3892.8"/>
    <n v="2447.81"/>
    <n v="1444.99"/>
    <s v="PayPal"/>
  </r>
  <r>
    <s v="ORD-00930"/>
    <x v="229"/>
    <x v="2"/>
    <s v="Massachusetts"/>
    <s v="Springfield"/>
    <s v="Alex Morgan"/>
    <x v="1"/>
    <x v="1"/>
    <s v="Monitors"/>
    <s v="27in Monitor"/>
    <n v="1"/>
    <n v="673.13"/>
    <n v="0"/>
    <n v="673.13"/>
    <n v="407.19"/>
    <n v="265.94"/>
    <s v="Credit Card"/>
  </r>
  <r>
    <s v="ORD-02219"/>
    <x v="229"/>
    <x v="0"/>
    <s v="Washington"/>
    <s v="Seattle"/>
    <s v="Jamie Miller"/>
    <x v="0"/>
    <x v="2"/>
    <s v="Desks"/>
    <s v="Work Desk"/>
    <n v="6"/>
    <n v="431.63"/>
    <n v="0"/>
    <n v="2589.7800000000002"/>
    <n v="1556.06"/>
    <n v="1033.72"/>
    <s v="Credit Card"/>
  </r>
  <r>
    <s v="ORD-02480"/>
    <x v="230"/>
    <x v="2"/>
    <s v="Vermont"/>
    <s v="Rutland"/>
    <s v="Alex Morgan"/>
    <x v="2"/>
    <x v="0"/>
    <s v="Printers"/>
    <s v="All-in-One Printer"/>
    <n v="6"/>
    <n v="544.27"/>
    <n v="0"/>
    <n v="3265.62"/>
    <n v="2345.9699999999998"/>
    <n v="919.65"/>
    <s v="Debit Card"/>
  </r>
  <r>
    <s v="ORD-01489"/>
    <x v="230"/>
    <x v="2"/>
    <s v="Vermont"/>
    <s v="Rutland"/>
    <s v="Avery Johnson"/>
    <x v="2"/>
    <x v="1"/>
    <s v="Headsets"/>
    <s v="Noise-Canceling Headset"/>
    <n v="6"/>
    <n v="199.66"/>
    <n v="0.15"/>
    <n v="1018.27"/>
    <n v="587.35"/>
    <n v="430.92"/>
    <s v="Bank Transfer"/>
  </r>
  <r>
    <s v="ORD-01022"/>
    <x v="230"/>
    <x v="2"/>
    <s v="Vermont"/>
    <s v="Burlington"/>
    <s v="Taylor Smith"/>
    <x v="2"/>
    <x v="2"/>
    <s v="Chairs"/>
    <s v="Task Chair"/>
    <n v="7"/>
    <n v="468.41"/>
    <n v="0"/>
    <n v="3278.87"/>
    <n v="2247.64"/>
    <n v="1031.23"/>
    <s v="Credit Card"/>
  </r>
  <r>
    <s v="ORD-02753"/>
    <x v="230"/>
    <x v="3"/>
    <s v="Michigan"/>
    <s v="Detroit"/>
    <s v="Riley Wilson"/>
    <x v="2"/>
    <x v="2"/>
    <s v="Chairs"/>
    <s v="Executive Chair"/>
    <n v="3"/>
    <n v="661.11"/>
    <n v="0.1"/>
    <n v="1785"/>
    <n v="1162.5"/>
    <n v="622.5"/>
    <s v="Credit Card"/>
  </r>
  <r>
    <s v="ORD-02744"/>
    <x v="230"/>
    <x v="2"/>
    <s v="New York"/>
    <s v="Buffalo"/>
    <s v="Riley Wilson"/>
    <x v="2"/>
    <x v="0"/>
    <s v="Pens"/>
    <s v="Fine Tip Pens"/>
    <n v="10"/>
    <n v="7.12"/>
    <n v="0.15"/>
    <n v="60.52"/>
    <n v="41.73"/>
    <n v="18.79"/>
    <s v="Bank Transfer"/>
  </r>
  <r>
    <s v="ORD-02661"/>
    <x v="231"/>
    <x v="1"/>
    <s v="Florida"/>
    <s v="Orlando"/>
    <s v="Taylor Smith"/>
    <x v="2"/>
    <x v="2"/>
    <s v="Chairs"/>
    <s v="Ergonomic Chair"/>
    <n v="10"/>
    <n v="182.01"/>
    <n v="0.05"/>
    <n v="1729.09"/>
    <n v="1050.57"/>
    <n v="678.52"/>
    <s v="Debit Card"/>
  </r>
  <r>
    <s v="ORD-00874"/>
    <x v="231"/>
    <x v="2"/>
    <s v="Vermont"/>
    <s v="Rutland"/>
    <s v="Jordan Lee"/>
    <x v="0"/>
    <x v="1"/>
    <s v="Monitors"/>
    <s v="27in Monitor"/>
    <n v="3"/>
    <n v="374.64"/>
    <n v="0.15"/>
    <n v="955.33"/>
    <n v="608.55999999999995"/>
    <n v="346.77"/>
    <s v="PayPal"/>
  </r>
  <r>
    <s v="ORD-02916"/>
    <x v="231"/>
    <x v="2"/>
    <s v="Pennsylvania"/>
    <s v="Pittsburgh"/>
    <s v="Cameron Clark"/>
    <x v="0"/>
    <x v="1"/>
    <s v="Headsets"/>
    <s v="Wireless Headset"/>
    <n v="10"/>
    <n v="130.34"/>
    <n v="0.05"/>
    <n v="1238.23"/>
    <n v="1007.77"/>
    <n v="230.46"/>
    <s v="Bank Transfer"/>
  </r>
  <r>
    <s v="ORD-00323"/>
    <x v="231"/>
    <x v="0"/>
    <s v="Oregon"/>
    <s v="Salem"/>
    <s v="Avery Johnson"/>
    <x v="0"/>
    <x v="2"/>
    <s v="Tables"/>
    <s v="Training Table"/>
    <n v="8"/>
    <n v="609.91"/>
    <n v="0.05"/>
    <n v="4635.32"/>
    <n v="2612.11"/>
    <n v="2023.21"/>
    <s v="Credit Card"/>
  </r>
  <r>
    <s v="ORD-02769"/>
    <x v="231"/>
    <x v="2"/>
    <s v="Pennsylvania"/>
    <s v="Philadelphia"/>
    <s v="Jamie Miller"/>
    <x v="1"/>
    <x v="0"/>
    <s v="Pens"/>
    <s v="Fine Tip Pens"/>
    <n v="6"/>
    <n v="17.71"/>
    <n v="0"/>
    <n v="106.26"/>
    <n v="69.87"/>
    <n v="36.39"/>
    <s v="Credit Card"/>
  </r>
  <r>
    <s v="ORD-01206"/>
    <x v="231"/>
    <x v="1"/>
    <s v="North Carolina"/>
    <s v="Raleigh"/>
    <s v="Drew Anderson"/>
    <x v="2"/>
    <x v="2"/>
    <s v="Tables"/>
    <s v="Conference Table"/>
    <n v="10"/>
    <n v="612.22"/>
    <n v="0.05"/>
    <n v="5816.09"/>
    <n v="3669.67"/>
    <n v="2146.42"/>
    <s v="Credit Card"/>
  </r>
  <r>
    <s v="ORD-01076"/>
    <x v="231"/>
    <x v="2"/>
    <s v="New Jersey"/>
    <s v="Jersey City"/>
    <s v="Jordan Lee"/>
    <x v="0"/>
    <x v="2"/>
    <s v="Desks"/>
    <s v="Executive Desk"/>
    <n v="1"/>
    <n v="463.75"/>
    <n v="0"/>
    <n v="463.75"/>
    <n v="280.17"/>
    <n v="183.58"/>
    <s v="PayPal"/>
  </r>
  <r>
    <s v="ORD-02873"/>
    <x v="232"/>
    <x v="2"/>
    <s v="New York"/>
    <s v="Buffalo"/>
    <s v="Morgan Davis"/>
    <x v="2"/>
    <x v="0"/>
    <s v="Printers"/>
    <s v="Color Printer"/>
    <n v="9"/>
    <n v="240.92"/>
    <n v="0.2"/>
    <n v="1734.62"/>
    <n v="1346.7"/>
    <n v="387.92"/>
    <s v="PayPal"/>
  </r>
  <r>
    <s v="ORD-01695"/>
    <x v="232"/>
    <x v="2"/>
    <s v="Massachusetts"/>
    <s v="Boston"/>
    <s v="Jamie Miller"/>
    <x v="2"/>
    <x v="1"/>
    <s v="Laptops"/>
    <s v="Workstation Laptop"/>
    <n v="10"/>
    <n v="1403.77"/>
    <n v="0.1"/>
    <n v="12633.93"/>
    <n v="7690.74"/>
    <n v="4943.1899999999996"/>
    <s v="Debit Card"/>
  </r>
  <r>
    <s v="ORD-02982"/>
    <x v="232"/>
    <x v="0"/>
    <s v="Washington"/>
    <s v="Tacoma"/>
    <s v="Jordan Lee"/>
    <x v="2"/>
    <x v="0"/>
    <s v="Paper"/>
    <s v="Copy Paper"/>
    <n v="9"/>
    <n v="33.340000000000003"/>
    <n v="0"/>
    <n v="300.06"/>
    <n v="187.11"/>
    <n v="112.95"/>
    <s v="PayPal"/>
  </r>
  <r>
    <s v="ORD-02817"/>
    <x v="232"/>
    <x v="0"/>
    <s v="Washington"/>
    <s v="Seattle"/>
    <s v="Casey Brown"/>
    <x v="2"/>
    <x v="2"/>
    <s v="Chairs"/>
    <s v="Executive Chair"/>
    <n v="6"/>
    <n v="281.38"/>
    <n v="0.1"/>
    <n v="1519.45"/>
    <n v="1209.1500000000001"/>
    <n v="310.3"/>
    <s v="Credit Card"/>
  </r>
  <r>
    <s v="ORD-01762"/>
    <x v="232"/>
    <x v="3"/>
    <s v="Minnesota"/>
    <s v="Rochester"/>
    <s v="Drew Anderson"/>
    <x v="2"/>
    <x v="0"/>
    <s v="Binders"/>
    <s v="Heavy-Duty Binder"/>
    <n v="10"/>
    <n v="27.45"/>
    <n v="0.1"/>
    <n v="247.05"/>
    <n v="178.31"/>
    <n v="68.739999999999995"/>
    <s v="Credit Card"/>
  </r>
  <r>
    <s v="ORD-01018"/>
    <x v="232"/>
    <x v="3"/>
    <s v="Michigan"/>
    <s v="Detroit"/>
    <s v="Morgan Davis"/>
    <x v="2"/>
    <x v="2"/>
    <s v="Chairs"/>
    <s v="Executive Chair"/>
    <n v="2"/>
    <n v="154.97999999999999"/>
    <n v="0.1"/>
    <n v="278.95999999999998"/>
    <n v="164.8"/>
    <n v="114.16"/>
    <s v="Bank Transfer"/>
  </r>
  <r>
    <s v="ORD-01133"/>
    <x v="232"/>
    <x v="1"/>
    <s v="Florida"/>
    <s v="Tampa"/>
    <s v="Drew Anderson"/>
    <x v="0"/>
    <x v="2"/>
    <s v="Tables"/>
    <s v="Conference Table"/>
    <n v="10"/>
    <n v="745.55"/>
    <n v="0.15"/>
    <n v="6337.18"/>
    <n v="4118.67"/>
    <n v="2218.5100000000002"/>
    <s v="Credit Card"/>
  </r>
  <r>
    <s v="ORD-01396"/>
    <x v="232"/>
    <x v="1"/>
    <s v="Texas"/>
    <s v="Houston"/>
    <s v="Taylor Smith"/>
    <x v="1"/>
    <x v="1"/>
    <s v="Monitors"/>
    <s v="27in Monitor"/>
    <n v="10"/>
    <n v="592.74"/>
    <n v="0"/>
    <n v="5927.4"/>
    <n v="3797.3"/>
    <n v="2130.1"/>
    <s v="PayPal"/>
  </r>
  <r>
    <s v="ORD-02770"/>
    <x v="232"/>
    <x v="2"/>
    <s v="New Jersey"/>
    <s v="Trenton"/>
    <s v="Taylor Smith"/>
    <x v="1"/>
    <x v="0"/>
    <s v="Binders"/>
    <s v="3-Ring Binder"/>
    <n v="5"/>
    <n v="28.32"/>
    <n v="0"/>
    <n v="141.6"/>
    <n v="113.4"/>
    <n v="28.2"/>
    <s v="PayPal"/>
  </r>
  <r>
    <s v="ORD-00424"/>
    <x v="232"/>
    <x v="3"/>
    <s v="Minnesota"/>
    <s v="Minneapolis"/>
    <s v="Taylor Smith"/>
    <x v="0"/>
    <x v="2"/>
    <s v="Bookcases"/>
    <s v="Storage Bookcase"/>
    <n v="5"/>
    <n v="213.44"/>
    <n v="0.05"/>
    <n v="1013.84"/>
    <n v="829.08"/>
    <n v="184.76"/>
    <s v="PayPal"/>
  </r>
  <r>
    <s v="ORD-01992"/>
    <x v="232"/>
    <x v="3"/>
    <s v="Minnesota"/>
    <s v="Rochester"/>
    <s v="Casey Brown"/>
    <x v="0"/>
    <x v="1"/>
    <s v="Keyboards"/>
    <s v="Mechanical Keyboard"/>
    <n v="8"/>
    <n v="91.99"/>
    <n v="0"/>
    <n v="735.92"/>
    <n v="561.96"/>
    <n v="173.96"/>
    <s v="PayPal"/>
  </r>
  <r>
    <s v="ORD-00186"/>
    <x v="232"/>
    <x v="2"/>
    <s v="New Jersey"/>
    <s v="Jersey City"/>
    <s v="Casey Brown"/>
    <x v="0"/>
    <x v="2"/>
    <s v="Tables"/>
    <s v="Side Table"/>
    <n v="7"/>
    <n v="186.73"/>
    <n v="0"/>
    <n v="1307.1099999999999"/>
    <n v="956.74"/>
    <n v="350.37"/>
    <s v="Debit Card"/>
  </r>
  <r>
    <s v="ORD-01775"/>
    <x v="232"/>
    <x v="3"/>
    <s v="Minnesota"/>
    <s v="St. Paul"/>
    <s v="Casey Brown"/>
    <x v="0"/>
    <x v="0"/>
    <s v="Printers"/>
    <s v="Laser Printer"/>
    <n v="7"/>
    <n v="406.82"/>
    <n v="0.1"/>
    <n v="2562.9699999999998"/>
    <n v="2025.26"/>
    <n v="537.71"/>
    <s v="Credit Card"/>
  </r>
  <r>
    <s v="ORD-01574"/>
    <x v="233"/>
    <x v="1"/>
    <s v="Virginia"/>
    <s v="Richmond"/>
    <s v="Drew Anderson"/>
    <x v="1"/>
    <x v="2"/>
    <s v="Desks"/>
    <s v="Standing Desk"/>
    <n v="10"/>
    <n v="729.56"/>
    <n v="0.1"/>
    <n v="6566.04"/>
    <n v="4900.6899999999996"/>
    <n v="1665.35"/>
    <s v="Credit Card"/>
  </r>
  <r>
    <s v="ORD-02282"/>
    <x v="233"/>
    <x v="3"/>
    <s v="Indiana"/>
    <s v="Fort Wayne"/>
    <s v="Morgan Davis"/>
    <x v="2"/>
    <x v="1"/>
    <s v="Keyboards"/>
    <s v="Mechanical Keyboard"/>
    <n v="3"/>
    <n v="101.27"/>
    <n v="0.05"/>
    <n v="288.62"/>
    <n v="197.38"/>
    <n v="91.24"/>
    <s v="Bank Transfer"/>
  </r>
  <r>
    <s v="ORD-01621"/>
    <x v="233"/>
    <x v="2"/>
    <s v="New Jersey"/>
    <s v="Jersey City"/>
    <s v="Jamie Miller"/>
    <x v="0"/>
    <x v="1"/>
    <s v="Headsets"/>
    <s v="Wireless Headset"/>
    <n v="3"/>
    <n v="189.88"/>
    <n v="0.05"/>
    <n v="541.16"/>
    <n v="406.07"/>
    <n v="135.09"/>
    <s v="Credit Card"/>
  </r>
  <r>
    <s v="ORD-01204"/>
    <x v="233"/>
    <x v="1"/>
    <s v="Florida"/>
    <s v="Miami"/>
    <s v="Alex Morgan"/>
    <x v="2"/>
    <x v="2"/>
    <s v="Tables"/>
    <s v="Conference Table"/>
    <n v="2"/>
    <n v="282.95"/>
    <n v="0.15"/>
    <n v="481.02"/>
    <n v="358.93"/>
    <n v="122.09"/>
    <s v="Bank Transfer"/>
  </r>
  <r>
    <s v="ORD-01188"/>
    <x v="233"/>
    <x v="2"/>
    <s v="New Jersey"/>
    <s v="Trenton"/>
    <s v="Drew Anderson"/>
    <x v="0"/>
    <x v="1"/>
    <s v="Keyboards"/>
    <s v="Mechanical Keyboard"/>
    <n v="3"/>
    <n v="62.96"/>
    <n v="0.2"/>
    <n v="151.1"/>
    <n v="106.31"/>
    <n v="44.79"/>
    <s v="Credit Card"/>
  </r>
  <r>
    <s v="ORD-02007"/>
    <x v="233"/>
    <x v="0"/>
    <s v="California"/>
    <s v="San Diego"/>
    <s v="Casey Brown"/>
    <x v="2"/>
    <x v="1"/>
    <s v="Headsets"/>
    <s v="Noise-Canceling Headset"/>
    <n v="9"/>
    <n v="230.94"/>
    <n v="0.1"/>
    <n v="1870.61"/>
    <n v="1290.98"/>
    <n v="579.63"/>
    <s v="Debit Card"/>
  </r>
  <r>
    <s v="ORD-01467"/>
    <x v="233"/>
    <x v="1"/>
    <s v="Texas"/>
    <s v="Houston"/>
    <s v="Jordan Lee"/>
    <x v="0"/>
    <x v="1"/>
    <s v="Headsets"/>
    <s v="Noise-Canceling Headset"/>
    <n v="1"/>
    <n v="181.96"/>
    <n v="0.1"/>
    <n v="163.76"/>
    <n v="114.01"/>
    <n v="49.75"/>
    <s v="Credit Card"/>
  </r>
  <r>
    <s v="ORD-00240"/>
    <x v="233"/>
    <x v="0"/>
    <s v="California"/>
    <s v="San Diego"/>
    <s v="Casey Brown"/>
    <x v="2"/>
    <x v="0"/>
    <s v="Paper"/>
    <s v="Recycled Paper"/>
    <n v="7"/>
    <n v="34.57"/>
    <n v="0.15"/>
    <n v="205.69"/>
    <n v="120.35"/>
    <n v="85.34"/>
    <s v="Bank Transfer"/>
  </r>
  <r>
    <s v="ORD-01474"/>
    <x v="233"/>
    <x v="1"/>
    <s v="Florida"/>
    <s v="Tampa"/>
    <s v="Jamie Miller"/>
    <x v="2"/>
    <x v="1"/>
    <s v="Laptops"/>
    <s v="Ultrabook"/>
    <n v="7"/>
    <n v="1792.18"/>
    <n v="0.15"/>
    <n v="10663.47"/>
    <n v="6008.54"/>
    <n v="4654.93"/>
    <s v="Credit Card"/>
  </r>
  <r>
    <s v="ORD-01879"/>
    <x v="233"/>
    <x v="0"/>
    <s v="Colorado"/>
    <s v="Boulder"/>
    <s v="Alex Morgan"/>
    <x v="2"/>
    <x v="2"/>
    <s v="Bookcases"/>
    <s v="Storage Bookcase"/>
    <n v="3"/>
    <n v="462.63"/>
    <n v="0.05"/>
    <n v="1318.5"/>
    <n v="1009.35"/>
    <n v="309.14999999999998"/>
    <s v="Debit Card"/>
  </r>
  <r>
    <s v="ORD-01356"/>
    <x v="233"/>
    <x v="0"/>
    <s v="California"/>
    <s v="San Diego"/>
    <s v="Jamie Miller"/>
    <x v="2"/>
    <x v="1"/>
    <s v="Monitors"/>
    <s v="27in Monitor"/>
    <n v="8"/>
    <n v="654.79999999999995"/>
    <n v="0.2"/>
    <n v="4190.72"/>
    <n v="2549.0700000000002"/>
    <n v="1641.65"/>
    <s v="Bank Transfer"/>
  </r>
  <r>
    <s v="ORD-02400"/>
    <x v="233"/>
    <x v="0"/>
    <s v="Arizona"/>
    <s v="Mesa"/>
    <s v="Alex Morgan"/>
    <x v="0"/>
    <x v="1"/>
    <s v="Monitors"/>
    <s v="27in Monitor"/>
    <n v="6"/>
    <n v="549.13"/>
    <n v="0.1"/>
    <n v="2965.3"/>
    <n v="1672.92"/>
    <n v="1292.3800000000001"/>
    <s v="Debit Card"/>
  </r>
  <r>
    <s v="ORD-02531"/>
    <x v="234"/>
    <x v="1"/>
    <s v="North Carolina"/>
    <s v="Raleigh"/>
    <s v="Taylor Smith"/>
    <x v="2"/>
    <x v="1"/>
    <s v="Laptops"/>
    <s v="Business Laptop"/>
    <n v="1"/>
    <n v="1287.96"/>
    <n v="0.05"/>
    <n v="1223.56"/>
    <n v="674.75"/>
    <n v="548.80999999999995"/>
    <s v="Bank Transfer"/>
  </r>
  <r>
    <s v="ORD-01648"/>
    <x v="234"/>
    <x v="0"/>
    <s v="Oregon"/>
    <s v="Salem"/>
    <s v="Alex Morgan"/>
    <x v="0"/>
    <x v="0"/>
    <s v="Binders"/>
    <s v="3-Ring Binder"/>
    <n v="10"/>
    <n v="22.22"/>
    <n v="0.15"/>
    <n v="188.87"/>
    <n v="105.2"/>
    <n v="83.67"/>
    <s v="Bank Transfer"/>
  </r>
  <r>
    <s v="ORD-00992"/>
    <x v="234"/>
    <x v="0"/>
    <s v="Colorado"/>
    <s v="Denver"/>
    <s v="Avery Johnson"/>
    <x v="2"/>
    <x v="0"/>
    <s v="Pens"/>
    <s v="Ballpoint Pens"/>
    <n v="2"/>
    <n v="5.19"/>
    <n v="0.15"/>
    <n v="8.82"/>
    <n v="5.6"/>
    <n v="3.22"/>
    <s v="PayPal"/>
  </r>
  <r>
    <s v="ORD-01526"/>
    <x v="234"/>
    <x v="3"/>
    <s v="Ohio"/>
    <s v="Cincinnati"/>
    <s v="Jamie Miller"/>
    <x v="0"/>
    <x v="1"/>
    <s v="Laptops"/>
    <s v="Workstation Laptop"/>
    <n v="6"/>
    <n v="679.73"/>
    <n v="0.05"/>
    <n v="3874.46"/>
    <n v="2221.67"/>
    <n v="1652.79"/>
    <s v="PayPal"/>
  </r>
  <r>
    <s v="ORD-02793"/>
    <x v="235"/>
    <x v="2"/>
    <s v="Pennsylvania"/>
    <s v="Philadelphia"/>
    <s v="Morgan Davis"/>
    <x v="1"/>
    <x v="1"/>
    <s v="Monitors"/>
    <s v="27in Monitor"/>
    <n v="10"/>
    <n v="180.07"/>
    <n v="0.2"/>
    <n v="1440.56"/>
    <n v="918.31"/>
    <n v="522.25"/>
    <s v="Bank Transfer"/>
  </r>
  <r>
    <s v="ORD-01593"/>
    <x v="235"/>
    <x v="0"/>
    <s v="Arizona"/>
    <s v="Mesa"/>
    <s v="Jordan Lee"/>
    <x v="2"/>
    <x v="1"/>
    <s v="Monitors"/>
    <s v="34in Monitor"/>
    <n v="3"/>
    <n v="565.55999999999995"/>
    <n v="0"/>
    <n v="1696.68"/>
    <n v="1194.4000000000001"/>
    <n v="502.28"/>
    <s v="Credit Card"/>
  </r>
  <r>
    <s v="ORD-02473"/>
    <x v="235"/>
    <x v="3"/>
    <s v="Ohio"/>
    <s v="Columbus"/>
    <s v="Morgan Davis"/>
    <x v="2"/>
    <x v="0"/>
    <s v="Binders"/>
    <s v="Heavy-Duty Binder"/>
    <n v="8"/>
    <n v="22.09"/>
    <n v="0.05"/>
    <n v="167.88"/>
    <n v="106.57"/>
    <n v="61.31"/>
    <s v="Debit Card"/>
  </r>
  <r>
    <s v="ORD-00112"/>
    <x v="235"/>
    <x v="3"/>
    <s v="Michigan"/>
    <s v="Lansing"/>
    <s v="Morgan Davis"/>
    <x v="0"/>
    <x v="1"/>
    <s v="Keyboards"/>
    <s v="Wireless Keyboard"/>
    <n v="10"/>
    <n v="51.09"/>
    <n v="0"/>
    <n v="510.9"/>
    <n v="333.36"/>
    <n v="177.54"/>
    <s v="PayPal"/>
  </r>
  <r>
    <s v="ORD-01209"/>
    <x v="236"/>
    <x v="2"/>
    <s v="New Jersey"/>
    <s v="Jersey City"/>
    <s v="Drew Anderson"/>
    <x v="0"/>
    <x v="1"/>
    <s v="Headsets"/>
    <s v="Wireless Headset"/>
    <n v="8"/>
    <n v="146.06"/>
    <n v="0.15"/>
    <n v="993.21"/>
    <n v="596.86"/>
    <n v="396.35"/>
    <s v="PayPal"/>
  </r>
  <r>
    <s v="ORD-02807"/>
    <x v="236"/>
    <x v="2"/>
    <s v="Massachusetts"/>
    <s v="Boston"/>
    <s v="Riley Wilson"/>
    <x v="1"/>
    <x v="1"/>
    <s v="Keyboards"/>
    <s v="Wireless Keyboard"/>
    <n v="7"/>
    <n v="138.76"/>
    <n v="0"/>
    <n v="971.32"/>
    <n v="733.96"/>
    <n v="237.36"/>
    <s v="Bank Transfer"/>
  </r>
  <r>
    <s v="ORD-00643"/>
    <x v="236"/>
    <x v="0"/>
    <s v="Washington"/>
    <s v="Spokane"/>
    <s v="Alex Morgan"/>
    <x v="0"/>
    <x v="1"/>
    <s v="Monitors"/>
    <s v="24in Monitor"/>
    <n v="10"/>
    <n v="639.98"/>
    <n v="0"/>
    <n v="6399.8"/>
    <n v="4722.26"/>
    <n v="1677.54"/>
    <s v="Debit Card"/>
  </r>
  <r>
    <s v="ORD-01692"/>
    <x v="236"/>
    <x v="1"/>
    <s v="Virginia"/>
    <s v="Arlington"/>
    <s v="Avery Johnson"/>
    <x v="0"/>
    <x v="0"/>
    <s v="Printers"/>
    <s v="Color Printer"/>
    <n v="4"/>
    <n v="458.13"/>
    <n v="0.15"/>
    <n v="1557.64"/>
    <n v="1253.52"/>
    <n v="304.12"/>
    <s v="Debit Card"/>
  </r>
  <r>
    <s v="ORD-01552"/>
    <x v="236"/>
    <x v="2"/>
    <s v="Pennsylvania"/>
    <s v="Allentown"/>
    <s v="Cameron Clark"/>
    <x v="1"/>
    <x v="1"/>
    <s v="Keyboards"/>
    <s v="Ergonomic Keyboard"/>
    <n v="7"/>
    <n v="72.63"/>
    <n v="0.1"/>
    <n v="457.57"/>
    <n v="296.14"/>
    <n v="161.43"/>
    <s v="Bank Transfer"/>
  </r>
  <r>
    <s v="ORD-01598"/>
    <x v="236"/>
    <x v="2"/>
    <s v="New York"/>
    <s v="Rochester"/>
    <s v="Casey Brown"/>
    <x v="0"/>
    <x v="0"/>
    <s v="Binders"/>
    <s v="Presentation Binder"/>
    <n v="1"/>
    <n v="17.899999999999999"/>
    <n v="0"/>
    <n v="17.899999999999999"/>
    <n v="11.12"/>
    <n v="6.78"/>
    <s v="PayPal"/>
  </r>
  <r>
    <s v="ORD-01796"/>
    <x v="236"/>
    <x v="1"/>
    <s v="Texas"/>
    <s v="Houston"/>
    <s v="Morgan Davis"/>
    <x v="2"/>
    <x v="0"/>
    <s v="Printers"/>
    <s v="All-in-One Printer"/>
    <n v="8"/>
    <n v="349"/>
    <n v="0.05"/>
    <n v="2652.4"/>
    <n v="2031.39"/>
    <n v="621.01"/>
    <s v="Bank Transfer"/>
  </r>
  <r>
    <s v="ORD-01580"/>
    <x v="236"/>
    <x v="3"/>
    <s v="Michigan"/>
    <s v="Lansing"/>
    <s v="Cameron Clark"/>
    <x v="1"/>
    <x v="2"/>
    <s v="Bookcases"/>
    <s v="5-Shelf Bookcase"/>
    <n v="3"/>
    <n v="422.63"/>
    <n v="0"/>
    <n v="1267.8900000000001"/>
    <n v="827.38"/>
    <n v="440.51"/>
    <s v="Credit Card"/>
  </r>
  <r>
    <s v="ORD-01866"/>
    <x v="236"/>
    <x v="1"/>
    <s v="Virginia"/>
    <s v="Arlington"/>
    <s v="Taylor Smith"/>
    <x v="2"/>
    <x v="2"/>
    <s v="Tables"/>
    <s v="Side Table"/>
    <n v="5"/>
    <n v="187.86"/>
    <n v="0"/>
    <n v="939.3"/>
    <n v="686.81"/>
    <n v="252.49"/>
    <s v="Credit Card"/>
  </r>
  <r>
    <s v="ORD-00619"/>
    <x v="236"/>
    <x v="3"/>
    <s v="Indiana"/>
    <s v="Indianapolis"/>
    <s v="Cameron Clark"/>
    <x v="0"/>
    <x v="0"/>
    <s v="Printers"/>
    <s v="Color Printer"/>
    <n v="7"/>
    <n v="262.18"/>
    <n v="0.15"/>
    <n v="1559.97"/>
    <n v="1061.54"/>
    <n v="498.43"/>
    <s v="PayPal"/>
  </r>
  <r>
    <s v="ORD-01567"/>
    <x v="237"/>
    <x v="2"/>
    <s v="Massachusetts"/>
    <s v="Springfield"/>
    <s v="Drew Anderson"/>
    <x v="2"/>
    <x v="0"/>
    <s v="Pens"/>
    <s v="Ballpoint Pens"/>
    <n v="3"/>
    <n v="6.21"/>
    <n v="0"/>
    <n v="18.63"/>
    <n v="15.06"/>
    <n v="3.57"/>
    <s v="Bank Transfer"/>
  </r>
  <r>
    <s v="ORD-01435"/>
    <x v="237"/>
    <x v="0"/>
    <s v="California"/>
    <s v="San Jose"/>
    <s v="Cameron Clark"/>
    <x v="2"/>
    <x v="1"/>
    <s v="Keyboards"/>
    <s v="Wireless Keyboard"/>
    <n v="4"/>
    <n v="175.78"/>
    <n v="0.05"/>
    <n v="667.96"/>
    <n v="405.58"/>
    <n v="262.38"/>
    <s v="Credit Card"/>
  </r>
  <r>
    <s v="ORD-01434"/>
    <x v="237"/>
    <x v="0"/>
    <s v="Oregon"/>
    <s v="Eugene"/>
    <s v="Taylor Smith"/>
    <x v="0"/>
    <x v="2"/>
    <s v="Desks"/>
    <s v="Executive Desk"/>
    <n v="2"/>
    <n v="250.79"/>
    <n v="0.15"/>
    <n v="426.34"/>
    <n v="305.22000000000003"/>
    <n v="121.12"/>
    <s v="Credit Card"/>
  </r>
  <r>
    <s v="ORD-00780"/>
    <x v="237"/>
    <x v="3"/>
    <s v="Minnesota"/>
    <s v="St. Paul"/>
    <s v="Taylor Smith"/>
    <x v="0"/>
    <x v="1"/>
    <s v="Headsets"/>
    <s v="USB Headset"/>
    <n v="10"/>
    <n v="117.85"/>
    <n v="0.05"/>
    <n v="1119.58"/>
    <n v="768.52"/>
    <n v="351.06"/>
    <s v="Credit Card"/>
  </r>
  <r>
    <s v="ORD-02977"/>
    <x v="237"/>
    <x v="0"/>
    <s v="Washington"/>
    <s v="Seattle"/>
    <s v="Cameron Clark"/>
    <x v="0"/>
    <x v="2"/>
    <s v="Bookcases"/>
    <s v="Storage Bookcase"/>
    <n v="2"/>
    <n v="297.22000000000003"/>
    <n v="0"/>
    <n v="594.44000000000005"/>
    <n v="380.39"/>
    <n v="214.05"/>
    <s v="Bank Transfer"/>
  </r>
  <r>
    <s v="ORD-00102"/>
    <x v="237"/>
    <x v="1"/>
    <s v="Georgia"/>
    <s v="Augusta"/>
    <s v="Taylor Smith"/>
    <x v="0"/>
    <x v="1"/>
    <s v="Laptops"/>
    <s v="Ultrabook"/>
    <n v="9"/>
    <n v="1429.78"/>
    <n v="0.05"/>
    <n v="12224.62"/>
    <n v="8231.64"/>
    <n v="3992.98"/>
    <s v="Credit Card"/>
  </r>
  <r>
    <s v="ORD-01522"/>
    <x v="237"/>
    <x v="2"/>
    <s v="Massachusetts"/>
    <s v="Springfield"/>
    <s v="Morgan Davis"/>
    <x v="2"/>
    <x v="1"/>
    <s v="Laptops"/>
    <s v="Workstation Laptop"/>
    <n v="6"/>
    <n v="1195.45"/>
    <n v="0.05"/>
    <n v="6814.06"/>
    <n v="4087.35"/>
    <n v="2726.71"/>
    <s v="Bank Transfer"/>
  </r>
  <r>
    <s v="ORD-01989"/>
    <x v="238"/>
    <x v="3"/>
    <s v="Indiana"/>
    <s v="Fort Wayne"/>
    <s v="Drew Anderson"/>
    <x v="2"/>
    <x v="2"/>
    <s v="Tables"/>
    <s v="Side Table"/>
    <n v="1"/>
    <n v="659.77"/>
    <n v="0"/>
    <n v="659.77"/>
    <n v="459.57"/>
    <n v="200.2"/>
    <s v="PayPal"/>
  </r>
  <r>
    <s v="ORD-02066"/>
    <x v="238"/>
    <x v="0"/>
    <s v="California"/>
    <s v="San Jose"/>
    <s v="Jordan Lee"/>
    <x v="0"/>
    <x v="1"/>
    <s v="Monitors"/>
    <s v="24in Monitor"/>
    <n v="8"/>
    <n v="501.46"/>
    <n v="0.1"/>
    <n v="3610.51"/>
    <n v="2795.89"/>
    <n v="814.62"/>
    <s v="Credit Card"/>
  </r>
  <r>
    <s v="ORD-01220"/>
    <x v="238"/>
    <x v="3"/>
    <s v="Indiana"/>
    <s v="Fort Wayne"/>
    <s v="Avery Johnson"/>
    <x v="0"/>
    <x v="0"/>
    <s v="Pens"/>
    <s v="Fine Tip Pens"/>
    <n v="6"/>
    <n v="15.09"/>
    <n v="0"/>
    <n v="90.54"/>
    <n v="59.23"/>
    <n v="31.31"/>
    <s v="PayPal"/>
  </r>
  <r>
    <s v="ORD-02726"/>
    <x v="238"/>
    <x v="1"/>
    <s v="Georgia"/>
    <s v="Savannah"/>
    <s v="Jamie Miller"/>
    <x v="0"/>
    <x v="0"/>
    <s v="Printers"/>
    <s v="Laser Printer"/>
    <n v="3"/>
    <n v="583.47"/>
    <n v="0"/>
    <n v="1750.41"/>
    <n v="1181.33"/>
    <n v="569.08000000000004"/>
    <s v="PayPal"/>
  </r>
  <r>
    <s v="ORD-01537"/>
    <x v="238"/>
    <x v="2"/>
    <s v="New Jersey"/>
    <s v="Newark"/>
    <s v="Drew Anderson"/>
    <x v="0"/>
    <x v="0"/>
    <s v="Printers"/>
    <s v="Color Printer"/>
    <n v="10"/>
    <n v="264.73"/>
    <n v="0.05"/>
    <n v="2514.94"/>
    <n v="1726.86"/>
    <n v="788.08"/>
    <s v="Bank Transfer"/>
  </r>
  <r>
    <s v="ORD-00317"/>
    <x v="238"/>
    <x v="3"/>
    <s v="Minnesota"/>
    <s v="Minneapolis"/>
    <s v="Drew Anderson"/>
    <x v="0"/>
    <x v="0"/>
    <s v="Paper"/>
    <s v="Premium Paper"/>
    <n v="6"/>
    <n v="12.73"/>
    <n v="0"/>
    <n v="76.38"/>
    <n v="57.49"/>
    <n v="18.89"/>
    <s v="PayPal"/>
  </r>
  <r>
    <s v="ORD-00083"/>
    <x v="238"/>
    <x v="2"/>
    <s v="New Jersey"/>
    <s v="Trenton"/>
    <s v="Alex Morgan"/>
    <x v="1"/>
    <x v="1"/>
    <s v="Laptops"/>
    <s v="Workstation Laptop"/>
    <n v="2"/>
    <n v="1489.04"/>
    <n v="0.05"/>
    <n v="2829.18"/>
    <n v="2026.79"/>
    <n v="802.39"/>
    <s v="Bank Transfer"/>
  </r>
  <r>
    <s v="ORD-02720"/>
    <x v="238"/>
    <x v="1"/>
    <s v="Texas"/>
    <s v="Austin"/>
    <s v="Jordan Lee"/>
    <x v="0"/>
    <x v="0"/>
    <s v="Printers"/>
    <s v="Laser Printer"/>
    <n v="7"/>
    <n v="424.59"/>
    <n v="0"/>
    <n v="2972.13"/>
    <n v="2135.86"/>
    <n v="836.27"/>
    <s v="Credit Card"/>
  </r>
  <r>
    <s v="ORD-01410"/>
    <x v="238"/>
    <x v="1"/>
    <s v="Virginia"/>
    <s v="Norfolk"/>
    <s v="Avery Johnson"/>
    <x v="0"/>
    <x v="2"/>
    <s v="Tables"/>
    <s v="Conference Table"/>
    <n v="6"/>
    <n v="574.75"/>
    <n v="0"/>
    <n v="3448.5"/>
    <n v="2332.35"/>
    <n v="1116.1500000000001"/>
    <s v="Debit Card"/>
  </r>
  <r>
    <s v="ORD-01801"/>
    <x v="238"/>
    <x v="3"/>
    <s v="Michigan"/>
    <s v="Detroit"/>
    <s v="Riley Wilson"/>
    <x v="2"/>
    <x v="1"/>
    <s v="Laptops"/>
    <s v="Workstation Laptop"/>
    <n v="7"/>
    <n v="865.8"/>
    <n v="0.15"/>
    <n v="5151.51"/>
    <n v="3079.86"/>
    <n v="2071.65"/>
    <s v="Debit Card"/>
  </r>
  <r>
    <s v="ORD-01462"/>
    <x v="238"/>
    <x v="2"/>
    <s v="Pennsylvania"/>
    <s v="Pittsburgh"/>
    <s v="Jordan Lee"/>
    <x v="2"/>
    <x v="0"/>
    <s v="Binders"/>
    <s v="Heavy-Duty Binder"/>
    <n v="9"/>
    <n v="19.39"/>
    <n v="0.15"/>
    <n v="148.33000000000001"/>
    <n v="117.79"/>
    <n v="30.54"/>
    <s v="Credit Card"/>
  </r>
  <r>
    <s v="ORD-02809"/>
    <x v="239"/>
    <x v="2"/>
    <s v="New York"/>
    <s v="Buffalo"/>
    <s v="Avery Johnson"/>
    <x v="2"/>
    <x v="1"/>
    <s v="Keyboards"/>
    <s v="Ergonomic Keyboard"/>
    <n v="1"/>
    <n v="163.26"/>
    <n v="0.05"/>
    <n v="155.1"/>
    <n v="97.26"/>
    <n v="57.84"/>
    <s v="Credit Card"/>
  </r>
  <r>
    <s v="ORD-02496"/>
    <x v="239"/>
    <x v="0"/>
    <s v="Washington"/>
    <s v="Tacoma"/>
    <s v="Jamie Miller"/>
    <x v="1"/>
    <x v="0"/>
    <s v="Printers"/>
    <s v="Laser Printer"/>
    <n v="4"/>
    <n v="567.13"/>
    <n v="0"/>
    <n v="2268.52"/>
    <n v="1328.04"/>
    <n v="940.48"/>
    <s v="Credit Card"/>
  </r>
  <r>
    <s v="ORD-01074"/>
    <x v="239"/>
    <x v="3"/>
    <s v="Illinois"/>
    <s v="Springfield"/>
    <s v="Cameron Clark"/>
    <x v="2"/>
    <x v="0"/>
    <s v="Paper"/>
    <s v="Copy Paper"/>
    <n v="6"/>
    <n v="13.06"/>
    <n v="0"/>
    <n v="78.36"/>
    <n v="55.18"/>
    <n v="23.18"/>
    <s v="Credit Card"/>
  </r>
  <r>
    <s v="ORD-02131"/>
    <x v="239"/>
    <x v="2"/>
    <s v="Massachusetts"/>
    <s v="Boston"/>
    <s v="Drew Anderson"/>
    <x v="1"/>
    <x v="2"/>
    <s v="Bookcases"/>
    <s v="3-Shelf Bookcase"/>
    <n v="7"/>
    <n v="209.25"/>
    <n v="0.1"/>
    <n v="1318.28"/>
    <n v="807.76"/>
    <n v="510.52"/>
    <s v="Bank Transfer"/>
  </r>
  <r>
    <s v="ORD-00070"/>
    <x v="239"/>
    <x v="1"/>
    <s v="Texas"/>
    <s v="Houston"/>
    <s v="Morgan Davis"/>
    <x v="0"/>
    <x v="0"/>
    <s v="Pens"/>
    <s v="Fine Tip Pens"/>
    <n v="4"/>
    <n v="15.14"/>
    <n v="0.05"/>
    <n v="57.53"/>
    <n v="34.47"/>
    <n v="23.06"/>
    <s v="Debit Card"/>
  </r>
  <r>
    <s v="ORD-01517"/>
    <x v="239"/>
    <x v="3"/>
    <s v="Illinois"/>
    <s v="Chicago"/>
    <s v="Morgan Davis"/>
    <x v="2"/>
    <x v="0"/>
    <s v="Binders"/>
    <s v="Heavy-Duty Binder"/>
    <n v="3"/>
    <n v="6.7"/>
    <n v="0"/>
    <n v="20.100000000000001"/>
    <n v="12.01"/>
    <n v="8.09"/>
    <s v="Debit Card"/>
  </r>
  <r>
    <s v="ORD-02538"/>
    <x v="239"/>
    <x v="1"/>
    <s v="Texas"/>
    <s v="Dallas"/>
    <s v="Alex Morgan"/>
    <x v="0"/>
    <x v="0"/>
    <s v="Paper"/>
    <s v="Recycled Paper"/>
    <n v="9"/>
    <n v="9.06"/>
    <n v="0"/>
    <n v="81.540000000000006"/>
    <n v="57.6"/>
    <n v="23.94"/>
    <s v="Bank Transfer"/>
  </r>
  <r>
    <s v="ORD-00056"/>
    <x v="239"/>
    <x v="0"/>
    <s v="Washington"/>
    <s v="Spokane"/>
    <s v="Drew Anderson"/>
    <x v="2"/>
    <x v="2"/>
    <s v="Tables"/>
    <s v="Side Table"/>
    <n v="9"/>
    <n v="578.69000000000005"/>
    <n v="0.05"/>
    <n v="4947.8"/>
    <n v="3371.11"/>
    <n v="1576.69"/>
    <s v="Credit Card"/>
  </r>
  <r>
    <s v="ORD-02713"/>
    <x v="239"/>
    <x v="1"/>
    <s v="Virginia"/>
    <s v="Norfolk"/>
    <s v="Morgan Davis"/>
    <x v="2"/>
    <x v="0"/>
    <s v="Pens"/>
    <s v="Ballpoint Pens"/>
    <n v="7"/>
    <n v="24"/>
    <n v="0.05"/>
    <n v="159.6"/>
    <n v="121.74"/>
    <n v="37.86"/>
    <s v="Credit Card"/>
  </r>
  <r>
    <s v="ORD-00880"/>
    <x v="240"/>
    <x v="2"/>
    <s v="Vermont"/>
    <s v="Burlington"/>
    <s v="Drew Anderson"/>
    <x v="2"/>
    <x v="0"/>
    <s v="Binders"/>
    <s v="Presentation Binder"/>
    <n v="5"/>
    <n v="26"/>
    <n v="0.05"/>
    <n v="123.5"/>
    <n v="75.010000000000005"/>
    <n v="48.49"/>
    <s v="Bank Transfer"/>
  </r>
  <r>
    <s v="ORD-02466"/>
    <x v="240"/>
    <x v="3"/>
    <s v="Minnesota"/>
    <s v="Minneapolis"/>
    <s v="Morgan Davis"/>
    <x v="0"/>
    <x v="2"/>
    <s v="Tables"/>
    <s v="Training Table"/>
    <n v="1"/>
    <n v="703.71"/>
    <n v="0"/>
    <n v="703.71"/>
    <n v="460.9"/>
    <n v="242.81"/>
    <s v="Credit Card"/>
  </r>
  <r>
    <s v="ORD-00945"/>
    <x v="241"/>
    <x v="2"/>
    <s v="Vermont"/>
    <s v="Burlington"/>
    <s v="Riley Wilson"/>
    <x v="2"/>
    <x v="2"/>
    <s v="Desks"/>
    <s v="Executive Desk"/>
    <n v="10"/>
    <n v="256.82"/>
    <n v="0.1"/>
    <n v="2311.38"/>
    <n v="1480.21"/>
    <n v="831.17"/>
    <s v="PayPal"/>
  </r>
  <r>
    <s v="ORD-01857"/>
    <x v="241"/>
    <x v="2"/>
    <s v="Pennsylvania"/>
    <s v="Philadelphia"/>
    <s v="Riley Wilson"/>
    <x v="1"/>
    <x v="2"/>
    <s v="Chairs"/>
    <s v="Executive Chair"/>
    <n v="2"/>
    <n v="377.17"/>
    <n v="0.1"/>
    <n v="678.91"/>
    <n v="425.97"/>
    <n v="252.94"/>
    <s v="PayPal"/>
  </r>
  <r>
    <s v="ORD-02975"/>
    <x v="241"/>
    <x v="2"/>
    <s v="New Jersey"/>
    <s v="Jersey City"/>
    <s v="Jamie Miller"/>
    <x v="0"/>
    <x v="1"/>
    <s v="Headsets"/>
    <s v="Noise-Canceling Headset"/>
    <n v="10"/>
    <n v="88.52"/>
    <n v="0.15"/>
    <n v="752.42"/>
    <n v="526.42999999999995"/>
    <n v="225.99"/>
    <s v="PayPal"/>
  </r>
  <r>
    <s v="ORD-02343"/>
    <x v="241"/>
    <x v="2"/>
    <s v="Massachusetts"/>
    <s v="Springfield"/>
    <s v="Drew Anderson"/>
    <x v="2"/>
    <x v="0"/>
    <s v="Binders"/>
    <s v="Presentation Binder"/>
    <n v="5"/>
    <n v="28.28"/>
    <n v="0"/>
    <n v="141.4"/>
    <n v="107.21"/>
    <n v="34.19"/>
    <s v="Bank Transfer"/>
  </r>
  <r>
    <s v="ORD-00114"/>
    <x v="241"/>
    <x v="1"/>
    <s v="Florida"/>
    <s v="Orlando"/>
    <s v="Cameron Clark"/>
    <x v="2"/>
    <x v="2"/>
    <s v="Desks"/>
    <s v="Executive Desk"/>
    <n v="9"/>
    <n v="801.37"/>
    <n v="0.1"/>
    <n v="6491.1"/>
    <n v="3609.19"/>
    <n v="2881.91"/>
    <s v="Credit Card"/>
  </r>
  <r>
    <s v="ORD-01898"/>
    <x v="242"/>
    <x v="3"/>
    <s v="Michigan"/>
    <s v="Detroit"/>
    <s v="Avery Johnson"/>
    <x v="2"/>
    <x v="1"/>
    <s v="Monitors"/>
    <s v="24in Monitor"/>
    <n v="4"/>
    <n v="682.82"/>
    <n v="0"/>
    <n v="2731.28"/>
    <n v="2134.5"/>
    <n v="596.78"/>
    <s v="PayPal"/>
  </r>
  <r>
    <s v="ORD-00951"/>
    <x v="242"/>
    <x v="3"/>
    <s v="Indiana"/>
    <s v="Evansville"/>
    <s v="Jamie Miller"/>
    <x v="2"/>
    <x v="1"/>
    <s v="Laptops"/>
    <s v="Business Laptop"/>
    <n v="8"/>
    <n v="1125.77"/>
    <n v="0.05"/>
    <n v="8555.85"/>
    <n v="5068.47"/>
    <n v="3487.38"/>
    <s v="Debit Card"/>
  </r>
  <r>
    <s v="ORD-00690"/>
    <x v="242"/>
    <x v="1"/>
    <s v="Texas"/>
    <s v="Austin"/>
    <s v="Morgan Davis"/>
    <x v="0"/>
    <x v="2"/>
    <s v="Bookcases"/>
    <s v="Storage Bookcase"/>
    <n v="7"/>
    <n v="346.79"/>
    <n v="0"/>
    <n v="2427.5300000000002"/>
    <n v="1485.57"/>
    <n v="941.96"/>
    <s v="PayPal"/>
  </r>
  <r>
    <s v="ORD-01324"/>
    <x v="242"/>
    <x v="1"/>
    <s v="Texas"/>
    <s v="Houston"/>
    <s v="Drew Anderson"/>
    <x v="1"/>
    <x v="2"/>
    <s v="Desks"/>
    <s v="Standing Desk"/>
    <n v="3"/>
    <n v="278.91000000000003"/>
    <n v="0.15"/>
    <n v="711.22"/>
    <n v="403.89"/>
    <n v="307.33"/>
    <s v="PayPal"/>
  </r>
  <r>
    <s v="ORD-00837"/>
    <x v="242"/>
    <x v="3"/>
    <s v="Indiana"/>
    <s v="Evansville"/>
    <s v="Alex Morgan"/>
    <x v="0"/>
    <x v="0"/>
    <s v="Binders"/>
    <s v="Heavy-Duty Binder"/>
    <n v="3"/>
    <n v="28.06"/>
    <n v="0"/>
    <n v="84.18"/>
    <n v="46.65"/>
    <n v="37.53"/>
    <s v="PayPal"/>
  </r>
  <r>
    <s v="ORD-00243"/>
    <x v="242"/>
    <x v="0"/>
    <s v="Colorado"/>
    <s v="Denver"/>
    <s v="Cameron Clark"/>
    <x v="0"/>
    <x v="0"/>
    <s v="Paper"/>
    <s v="Recycled Paper"/>
    <n v="5"/>
    <n v="33.590000000000003"/>
    <n v="0.1"/>
    <n v="151.16"/>
    <n v="121.07"/>
    <n v="30.09"/>
    <s v="PayPal"/>
  </r>
  <r>
    <s v="ORD-01617"/>
    <x v="242"/>
    <x v="3"/>
    <s v="Minnesota"/>
    <s v="Minneapolis"/>
    <s v="Cameron Clark"/>
    <x v="0"/>
    <x v="1"/>
    <s v="Monitors"/>
    <s v="24in Monitor"/>
    <n v="2"/>
    <n v="302.33999999999997"/>
    <n v="0.1"/>
    <n v="544.21"/>
    <n v="423.71"/>
    <n v="120.5"/>
    <s v="Debit Card"/>
  </r>
  <r>
    <s v="ORD-02012"/>
    <x v="242"/>
    <x v="2"/>
    <s v="Pennsylvania"/>
    <s v="Allentown"/>
    <s v="Drew Anderson"/>
    <x v="2"/>
    <x v="1"/>
    <s v="Monitors"/>
    <s v="24in Monitor"/>
    <n v="5"/>
    <n v="677.2"/>
    <n v="0.1"/>
    <n v="3047.4"/>
    <n v="1739.61"/>
    <n v="1307.79"/>
    <s v="PayPal"/>
  </r>
  <r>
    <s v="ORD-02797"/>
    <x v="242"/>
    <x v="3"/>
    <s v="Ohio"/>
    <s v="Cleveland"/>
    <s v="Taylor Smith"/>
    <x v="1"/>
    <x v="2"/>
    <s v="Chairs"/>
    <s v="Ergonomic Chair"/>
    <n v="4"/>
    <n v="688.99"/>
    <n v="0.1"/>
    <n v="2480.36"/>
    <n v="1720.49"/>
    <n v="759.87"/>
    <s v="Debit Card"/>
  </r>
  <r>
    <s v="ORD-00512"/>
    <x v="242"/>
    <x v="1"/>
    <s v="North Carolina"/>
    <s v="Durham"/>
    <s v="Casey Brown"/>
    <x v="0"/>
    <x v="0"/>
    <s v="Paper"/>
    <s v="Recycled Paper"/>
    <n v="1"/>
    <n v="33.04"/>
    <n v="0.05"/>
    <n v="31.39"/>
    <n v="23.71"/>
    <n v="7.68"/>
    <s v="Debit Card"/>
  </r>
  <r>
    <s v="ORD-01271"/>
    <x v="242"/>
    <x v="1"/>
    <s v="North Carolina"/>
    <s v="Raleigh"/>
    <s v="Drew Anderson"/>
    <x v="0"/>
    <x v="1"/>
    <s v="Keyboards"/>
    <s v="Mechanical Keyboard"/>
    <n v="10"/>
    <n v="83.27"/>
    <n v="0.05"/>
    <n v="791.06"/>
    <n v="557.30999999999995"/>
    <n v="233.75"/>
    <s v="Credit Card"/>
  </r>
  <r>
    <s v="ORD-00693"/>
    <x v="243"/>
    <x v="2"/>
    <s v="Massachusetts"/>
    <s v="Springfield"/>
    <s v="Cameron Clark"/>
    <x v="0"/>
    <x v="2"/>
    <s v="Bookcases"/>
    <s v="5-Shelf Bookcase"/>
    <n v="10"/>
    <n v="393.16"/>
    <n v="0.2"/>
    <n v="3145.28"/>
    <n v="2410.27"/>
    <n v="735.01"/>
    <s v="Bank Transfer"/>
  </r>
  <r>
    <s v="ORD-01408"/>
    <x v="243"/>
    <x v="2"/>
    <s v="Vermont"/>
    <s v="Rutland"/>
    <s v="Riley Wilson"/>
    <x v="1"/>
    <x v="0"/>
    <s v="Binders"/>
    <s v="Heavy-Duty Binder"/>
    <n v="6"/>
    <n v="16.82"/>
    <n v="0.05"/>
    <n v="95.87"/>
    <n v="75.91"/>
    <n v="19.96"/>
    <s v="Debit Card"/>
  </r>
  <r>
    <s v="ORD-01883"/>
    <x v="243"/>
    <x v="2"/>
    <s v="Pennsylvania"/>
    <s v="Allentown"/>
    <s v="Alex Morgan"/>
    <x v="2"/>
    <x v="0"/>
    <s v="Paper"/>
    <s v="Recycled Paper"/>
    <n v="4"/>
    <n v="33.61"/>
    <n v="0.1"/>
    <n v="121"/>
    <n v="85.99"/>
    <n v="35.01"/>
    <s v="PayPal"/>
  </r>
  <r>
    <s v="ORD-00322"/>
    <x v="243"/>
    <x v="2"/>
    <s v="Pennsylvania"/>
    <s v="Allentown"/>
    <s v="Cameron Clark"/>
    <x v="1"/>
    <x v="1"/>
    <s v="Monitors"/>
    <s v="24in Monitor"/>
    <n v="6"/>
    <n v="650.29999999999995"/>
    <n v="0.15"/>
    <n v="3316.53"/>
    <n v="2136.98"/>
    <n v="1179.55"/>
    <s v="Credit Card"/>
  </r>
  <r>
    <s v="ORD-00803"/>
    <x v="243"/>
    <x v="2"/>
    <s v="New York"/>
    <s v="New York City"/>
    <s v="Casey Brown"/>
    <x v="0"/>
    <x v="1"/>
    <s v="Headsets"/>
    <s v="Wireless Headset"/>
    <n v="1"/>
    <n v="161.38999999999999"/>
    <n v="0.05"/>
    <n v="153.32"/>
    <n v="94.35"/>
    <n v="58.97"/>
    <s v="Bank Transfer"/>
  </r>
  <r>
    <s v="ORD-00040"/>
    <x v="243"/>
    <x v="3"/>
    <s v="Ohio"/>
    <s v="Columbus"/>
    <s v="Morgan Davis"/>
    <x v="0"/>
    <x v="0"/>
    <s v="Binders"/>
    <s v="Heavy-Duty Binder"/>
    <n v="6"/>
    <n v="12.51"/>
    <n v="0.1"/>
    <n v="67.55"/>
    <n v="52.51"/>
    <n v="15.04"/>
    <s v="Credit Card"/>
  </r>
  <r>
    <s v="ORD-00883"/>
    <x v="243"/>
    <x v="3"/>
    <s v="Illinois"/>
    <s v="Chicago"/>
    <s v="Taylor Smith"/>
    <x v="1"/>
    <x v="1"/>
    <s v="Monitors"/>
    <s v="24in Monitor"/>
    <n v="6"/>
    <n v="620.17999999999995"/>
    <n v="0.1"/>
    <n v="3348.97"/>
    <n v="2025.03"/>
    <n v="1323.94"/>
    <s v="Bank Transfer"/>
  </r>
  <r>
    <s v="ORD-02303"/>
    <x v="243"/>
    <x v="3"/>
    <s v="Indiana"/>
    <s v="Fort Wayne"/>
    <s v="Avery Johnson"/>
    <x v="2"/>
    <x v="1"/>
    <s v="Headsets"/>
    <s v="Wireless Headset"/>
    <n v="9"/>
    <n v="58"/>
    <n v="0.15"/>
    <n v="443.7"/>
    <n v="256.95"/>
    <n v="186.75"/>
    <s v="PayPal"/>
  </r>
  <r>
    <s v="ORD-01183"/>
    <x v="243"/>
    <x v="0"/>
    <s v="Oregon"/>
    <s v="Eugene"/>
    <s v="Cameron Clark"/>
    <x v="0"/>
    <x v="2"/>
    <s v="Chairs"/>
    <s v="Ergonomic Chair"/>
    <n v="4"/>
    <n v="238.7"/>
    <n v="0.1"/>
    <n v="859.32"/>
    <n v="613.22"/>
    <n v="246.1"/>
    <s v="Debit Card"/>
  </r>
  <r>
    <s v="ORD-02410"/>
    <x v="243"/>
    <x v="0"/>
    <s v="Oregon"/>
    <s v="Portland"/>
    <s v="Taylor Smith"/>
    <x v="2"/>
    <x v="2"/>
    <s v="Tables"/>
    <s v="Conference Table"/>
    <n v="3"/>
    <n v="765.21"/>
    <n v="0"/>
    <n v="2295.63"/>
    <n v="1419"/>
    <n v="876.63"/>
    <s v="PayPal"/>
  </r>
  <r>
    <s v="ORD-01469"/>
    <x v="243"/>
    <x v="0"/>
    <s v="California"/>
    <s v="Los Angeles"/>
    <s v="Alex Morgan"/>
    <x v="2"/>
    <x v="1"/>
    <s v="Monitors"/>
    <s v="24in Monitor"/>
    <n v="7"/>
    <n v="550.92999999999995"/>
    <n v="0.1"/>
    <n v="3470.86"/>
    <n v="2746.35"/>
    <n v="724.51"/>
    <s v="Credit Card"/>
  </r>
  <r>
    <s v="ORD-01568"/>
    <x v="244"/>
    <x v="0"/>
    <s v="Colorado"/>
    <s v="Denver"/>
    <s v="Morgan Davis"/>
    <x v="1"/>
    <x v="0"/>
    <s v="Pens"/>
    <s v="Gel Pens"/>
    <n v="6"/>
    <n v="16.93"/>
    <n v="0"/>
    <n v="101.58"/>
    <n v="72.739999999999995"/>
    <n v="28.84"/>
    <s v="Credit Card"/>
  </r>
  <r>
    <s v="ORD-02644"/>
    <x v="244"/>
    <x v="2"/>
    <s v="Pennsylvania"/>
    <s v="Pittsburgh"/>
    <s v="Casey Brown"/>
    <x v="2"/>
    <x v="2"/>
    <s v="Tables"/>
    <s v="Training Table"/>
    <n v="2"/>
    <n v="326.02"/>
    <n v="0.1"/>
    <n v="586.84"/>
    <n v="377.12"/>
    <n v="209.72"/>
    <s v="Debit Card"/>
  </r>
  <r>
    <s v="ORD-02540"/>
    <x v="244"/>
    <x v="3"/>
    <s v="Minnesota"/>
    <s v="St. Paul"/>
    <s v="Jordan Lee"/>
    <x v="2"/>
    <x v="1"/>
    <s v="Headsets"/>
    <s v="Wireless Headset"/>
    <n v="1"/>
    <n v="199.43"/>
    <n v="0.15"/>
    <n v="169.52"/>
    <n v="106.08"/>
    <n v="63.44"/>
    <s v="PayPal"/>
  </r>
  <r>
    <s v="ORD-01627"/>
    <x v="244"/>
    <x v="2"/>
    <s v="Vermont"/>
    <s v="Rutland"/>
    <s v="Riley Wilson"/>
    <x v="2"/>
    <x v="2"/>
    <s v="Bookcases"/>
    <s v="3-Shelf Bookcase"/>
    <n v="6"/>
    <n v="175.64"/>
    <n v="0.1"/>
    <n v="948.46"/>
    <n v="709.32"/>
    <n v="239.14"/>
    <s v="Bank Transfer"/>
  </r>
  <r>
    <s v="ORD-01931"/>
    <x v="244"/>
    <x v="0"/>
    <s v="Oregon"/>
    <s v="Eugene"/>
    <s v="Jamie Miller"/>
    <x v="1"/>
    <x v="0"/>
    <s v="Binders"/>
    <s v="Presentation Binder"/>
    <n v="3"/>
    <n v="15.31"/>
    <n v="0.15"/>
    <n v="39.04"/>
    <n v="24.19"/>
    <n v="14.85"/>
    <s v="Credit Card"/>
  </r>
  <r>
    <s v="ORD-02577"/>
    <x v="244"/>
    <x v="2"/>
    <s v="Pennsylvania"/>
    <s v="Pittsburgh"/>
    <s v="Jordan Lee"/>
    <x v="0"/>
    <x v="0"/>
    <s v="Pens"/>
    <s v="Fine Tip Pens"/>
    <n v="1"/>
    <n v="19.75"/>
    <n v="0"/>
    <n v="19.75"/>
    <n v="12.61"/>
    <n v="7.14"/>
    <s v="Bank Transfer"/>
  </r>
  <r>
    <s v="ORD-00117"/>
    <x v="244"/>
    <x v="2"/>
    <s v="Pennsylvania"/>
    <s v="Allentown"/>
    <s v="Taylor Smith"/>
    <x v="0"/>
    <x v="1"/>
    <s v="Laptops"/>
    <s v="Workstation Laptop"/>
    <n v="7"/>
    <n v="838.23"/>
    <n v="0"/>
    <n v="5867.61"/>
    <n v="4686.32"/>
    <n v="1181.29"/>
    <s v="Debit Card"/>
  </r>
  <r>
    <s v="ORD-01380"/>
    <x v="244"/>
    <x v="1"/>
    <s v="Virginia"/>
    <s v="Arlington"/>
    <s v="Alex Morgan"/>
    <x v="0"/>
    <x v="1"/>
    <s v="Monitors"/>
    <s v="27in Monitor"/>
    <n v="4"/>
    <n v="294"/>
    <n v="0.15"/>
    <n v="999.6"/>
    <n v="732.47"/>
    <n v="267.13"/>
    <s v="Credit Card"/>
  </r>
  <r>
    <s v="ORD-01626"/>
    <x v="244"/>
    <x v="3"/>
    <s v="Ohio"/>
    <s v="Columbus"/>
    <s v="Jordan Lee"/>
    <x v="0"/>
    <x v="0"/>
    <s v="Printers"/>
    <s v="Laser Printer"/>
    <n v="10"/>
    <n v="250.54"/>
    <n v="0.15"/>
    <n v="2129.59"/>
    <n v="1408.73"/>
    <n v="720.86"/>
    <s v="Credit Card"/>
  </r>
  <r>
    <s v="ORD-01823"/>
    <x v="245"/>
    <x v="0"/>
    <s v="Colorado"/>
    <s v="Denver"/>
    <s v="Casey Brown"/>
    <x v="0"/>
    <x v="1"/>
    <s v="Laptops"/>
    <s v="Workstation Laptop"/>
    <n v="5"/>
    <n v="766.58"/>
    <n v="0"/>
    <n v="3832.9"/>
    <n v="2261.44"/>
    <n v="1571.46"/>
    <s v="Bank Transfer"/>
  </r>
  <r>
    <s v="ORD-00542"/>
    <x v="245"/>
    <x v="1"/>
    <s v="Virginia"/>
    <s v="Norfolk"/>
    <s v="Jamie Miller"/>
    <x v="0"/>
    <x v="2"/>
    <s v="Chairs"/>
    <s v="Executive Chair"/>
    <n v="5"/>
    <n v="430.23"/>
    <n v="0.1"/>
    <n v="1936.04"/>
    <n v="1292.6300000000001"/>
    <n v="643.41"/>
    <s v="PayPal"/>
  </r>
  <r>
    <s v="ORD-02042"/>
    <x v="245"/>
    <x v="3"/>
    <s v="Indiana"/>
    <s v="Evansville"/>
    <s v="Casey Brown"/>
    <x v="0"/>
    <x v="0"/>
    <s v="Binders"/>
    <s v="Heavy-Duty Binder"/>
    <n v="5"/>
    <n v="15.16"/>
    <n v="0.05"/>
    <n v="72.010000000000005"/>
    <n v="54.57"/>
    <n v="17.440000000000001"/>
    <s v="Bank Transfer"/>
  </r>
  <r>
    <s v="ORD-01176"/>
    <x v="245"/>
    <x v="3"/>
    <s v="Michigan"/>
    <s v="Detroit"/>
    <s v="Avery Johnson"/>
    <x v="2"/>
    <x v="1"/>
    <s v="Monitors"/>
    <s v="34in Monitor"/>
    <n v="2"/>
    <n v="572.85"/>
    <n v="0.15"/>
    <n v="973.84"/>
    <n v="666.64"/>
    <n v="307.2"/>
    <s v="Credit Card"/>
  </r>
  <r>
    <s v="ORD-01835"/>
    <x v="245"/>
    <x v="0"/>
    <s v="Arizona"/>
    <s v="Phoenix"/>
    <s v="Jamie Miller"/>
    <x v="1"/>
    <x v="0"/>
    <s v="Paper"/>
    <s v="Copy Paper"/>
    <n v="5"/>
    <n v="25.87"/>
    <n v="0.15"/>
    <n v="109.95"/>
    <n v="84.07"/>
    <n v="25.88"/>
    <s v="Bank Transfer"/>
  </r>
  <r>
    <s v="ORD-01128"/>
    <x v="245"/>
    <x v="1"/>
    <s v="Texas"/>
    <s v="Austin"/>
    <s v="Jordan Lee"/>
    <x v="0"/>
    <x v="0"/>
    <s v="Printers"/>
    <s v="Color Printer"/>
    <n v="7"/>
    <n v="413.18"/>
    <n v="0.05"/>
    <n v="2747.65"/>
    <n v="2094.66"/>
    <n v="652.99"/>
    <s v="Bank Transfer"/>
  </r>
  <r>
    <s v="ORD-02623"/>
    <x v="246"/>
    <x v="0"/>
    <s v="California"/>
    <s v="Los Angeles"/>
    <s v="Drew Anderson"/>
    <x v="0"/>
    <x v="2"/>
    <s v="Bookcases"/>
    <s v="5-Shelf Bookcase"/>
    <n v="4"/>
    <n v="198.93"/>
    <n v="0.05"/>
    <n v="755.93"/>
    <n v="592.38"/>
    <n v="163.55000000000001"/>
    <s v="Debit Card"/>
  </r>
  <r>
    <s v="ORD-02270"/>
    <x v="246"/>
    <x v="0"/>
    <s v="Colorado"/>
    <s v="Boulder"/>
    <s v="Jamie Miller"/>
    <x v="0"/>
    <x v="0"/>
    <s v="Printers"/>
    <s v="All-in-One Printer"/>
    <n v="8"/>
    <n v="325.04000000000002"/>
    <n v="0.1"/>
    <n v="2340.29"/>
    <n v="1555.35"/>
    <n v="784.94"/>
    <s v="Bank Transfer"/>
  </r>
  <r>
    <s v="ORD-01187"/>
    <x v="246"/>
    <x v="0"/>
    <s v="Oregon"/>
    <s v="Portland"/>
    <s v="Drew Anderson"/>
    <x v="1"/>
    <x v="2"/>
    <s v="Desks"/>
    <s v="Work Desk"/>
    <n v="4"/>
    <n v="532.65"/>
    <n v="0.05"/>
    <n v="2024.07"/>
    <n v="1434.22"/>
    <n v="589.85"/>
    <s v="PayPal"/>
  </r>
  <r>
    <s v="ORD-01276"/>
    <x v="246"/>
    <x v="0"/>
    <s v="Arizona"/>
    <s v="Mesa"/>
    <s v="Jamie Miller"/>
    <x v="2"/>
    <x v="2"/>
    <s v="Chairs"/>
    <s v="Task Chair"/>
    <n v="4"/>
    <n v="193.2"/>
    <n v="0"/>
    <n v="772.8"/>
    <n v="535.65"/>
    <n v="237.15"/>
    <s v="Debit Card"/>
  </r>
  <r>
    <s v="ORD-01119"/>
    <x v="246"/>
    <x v="2"/>
    <s v="New York"/>
    <s v="Rochester"/>
    <s v="Drew Anderson"/>
    <x v="0"/>
    <x v="1"/>
    <s v="Headsets"/>
    <s v="Noise-Canceling Headset"/>
    <n v="9"/>
    <n v="197.35"/>
    <n v="0"/>
    <n v="1776.15"/>
    <n v="1101.21"/>
    <n v="674.94"/>
    <s v="Bank Transfer"/>
  </r>
  <r>
    <s v="ORD-02082"/>
    <x v="246"/>
    <x v="0"/>
    <s v="Arizona"/>
    <s v="Mesa"/>
    <s v="Avery Johnson"/>
    <x v="1"/>
    <x v="0"/>
    <s v="Pens"/>
    <s v="Ballpoint Pens"/>
    <n v="7"/>
    <n v="12.14"/>
    <n v="0"/>
    <n v="84.98"/>
    <n v="66.8"/>
    <n v="18.18"/>
    <s v="PayPal"/>
  </r>
  <r>
    <s v="ORD-00495"/>
    <x v="246"/>
    <x v="2"/>
    <s v="Massachusetts"/>
    <s v="Worcester"/>
    <s v="Riley Wilson"/>
    <x v="2"/>
    <x v="1"/>
    <s v="Monitors"/>
    <s v="24in Monitor"/>
    <n v="1"/>
    <n v="451.06"/>
    <n v="0"/>
    <n v="451.06"/>
    <n v="359.65"/>
    <n v="91.41"/>
    <s v="PayPal"/>
  </r>
  <r>
    <s v="ORD-00560"/>
    <x v="246"/>
    <x v="1"/>
    <s v="Texas"/>
    <s v="Dallas"/>
    <s v="Riley Wilson"/>
    <x v="0"/>
    <x v="2"/>
    <s v="Chairs"/>
    <s v="Task Chair"/>
    <n v="5"/>
    <n v="679.79"/>
    <n v="0"/>
    <n v="3398.95"/>
    <n v="2716.93"/>
    <n v="682.02"/>
    <s v="Debit Card"/>
  </r>
  <r>
    <s v="ORD-01251"/>
    <x v="247"/>
    <x v="3"/>
    <s v="Ohio"/>
    <s v="Columbus"/>
    <s v="Jordan Lee"/>
    <x v="2"/>
    <x v="1"/>
    <s v="Headsets"/>
    <s v="Noise-Canceling Headset"/>
    <n v="10"/>
    <n v="83.92"/>
    <n v="0.1"/>
    <n v="755.28"/>
    <n v="529.64"/>
    <n v="225.64"/>
    <s v="PayPal"/>
  </r>
  <r>
    <s v="ORD-02682"/>
    <x v="247"/>
    <x v="3"/>
    <s v="Michigan"/>
    <s v="Lansing"/>
    <s v="Avery Johnson"/>
    <x v="0"/>
    <x v="1"/>
    <s v="Keyboards"/>
    <s v="Ergonomic Keyboard"/>
    <n v="3"/>
    <n v="142.66999999999999"/>
    <n v="0"/>
    <n v="428.01"/>
    <n v="292.58999999999997"/>
    <n v="135.41999999999999"/>
    <s v="Bank Transfer"/>
  </r>
  <r>
    <s v="ORD-02476"/>
    <x v="247"/>
    <x v="3"/>
    <s v="Michigan"/>
    <s v="Lansing"/>
    <s v="Riley Wilson"/>
    <x v="1"/>
    <x v="1"/>
    <s v="Keyboards"/>
    <s v="Ergonomic Keyboard"/>
    <n v="5"/>
    <n v="132.44999999999999"/>
    <n v="0.15"/>
    <n v="562.91"/>
    <n v="408.74"/>
    <n v="154.16999999999999"/>
    <s v="Bank Transfer"/>
  </r>
  <r>
    <s v="ORD-02634"/>
    <x v="247"/>
    <x v="0"/>
    <s v="Arizona"/>
    <s v="Mesa"/>
    <s v="Jamie Miller"/>
    <x v="0"/>
    <x v="1"/>
    <s v="Monitors"/>
    <s v="27in Monitor"/>
    <n v="9"/>
    <n v="676.78"/>
    <n v="0.05"/>
    <n v="5786.47"/>
    <n v="3472.25"/>
    <n v="2314.2199999999998"/>
    <s v="Bank Transfer"/>
  </r>
  <r>
    <s v="ORD-00074"/>
    <x v="247"/>
    <x v="1"/>
    <s v="North Carolina"/>
    <s v="Durham"/>
    <s v="Riley Wilson"/>
    <x v="2"/>
    <x v="1"/>
    <s v="Headsets"/>
    <s v="USB Headset"/>
    <n v="6"/>
    <n v="97.32"/>
    <n v="0.1"/>
    <n v="525.53"/>
    <n v="374.51"/>
    <n v="151.02000000000001"/>
    <s v="PayPal"/>
  </r>
  <r>
    <s v="ORD-00740"/>
    <x v="247"/>
    <x v="0"/>
    <s v="Colorado"/>
    <s v="Boulder"/>
    <s v="Casey Brown"/>
    <x v="2"/>
    <x v="1"/>
    <s v="Headsets"/>
    <s v="Noise-Canceling Headset"/>
    <n v="10"/>
    <n v="113.32"/>
    <n v="0.05"/>
    <n v="1076.54"/>
    <n v="617.89"/>
    <n v="458.65"/>
    <s v="Credit Card"/>
  </r>
  <r>
    <s v="ORD-02276"/>
    <x v="247"/>
    <x v="2"/>
    <s v="Vermont"/>
    <s v="Burlington"/>
    <s v="Drew Anderson"/>
    <x v="0"/>
    <x v="0"/>
    <s v="Binders"/>
    <s v="Presentation Binder"/>
    <n v="8"/>
    <n v="29.83"/>
    <n v="0"/>
    <n v="238.64"/>
    <n v="157.46"/>
    <n v="81.180000000000007"/>
    <s v="PayPal"/>
  </r>
  <r>
    <s v="ORD-00330"/>
    <x v="247"/>
    <x v="0"/>
    <s v="California"/>
    <s v="San Diego"/>
    <s v="Jordan Lee"/>
    <x v="0"/>
    <x v="1"/>
    <s v="Keyboards"/>
    <s v="Wireless Keyboard"/>
    <n v="5"/>
    <n v="98.94"/>
    <n v="0.05"/>
    <n v="469.96"/>
    <n v="265.45999999999998"/>
    <n v="204.5"/>
    <s v="Debit Card"/>
  </r>
  <r>
    <s v="ORD-01314"/>
    <x v="247"/>
    <x v="2"/>
    <s v="New York"/>
    <s v="Buffalo"/>
    <s v="Cameron Clark"/>
    <x v="1"/>
    <x v="0"/>
    <s v="Printers"/>
    <s v="All-in-One Printer"/>
    <n v="8"/>
    <n v="306.45999999999998"/>
    <n v="0.2"/>
    <n v="1961.34"/>
    <n v="1164.3900000000001"/>
    <n v="796.95"/>
    <s v="Debit Card"/>
  </r>
  <r>
    <s v="ORD-02121"/>
    <x v="247"/>
    <x v="0"/>
    <s v="Washington"/>
    <s v="Tacoma"/>
    <s v="Morgan Davis"/>
    <x v="2"/>
    <x v="2"/>
    <s v="Tables"/>
    <s v="Conference Table"/>
    <n v="7"/>
    <n v="532.27"/>
    <n v="0"/>
    <n v="3725.89"/>
    <n v="2494.48"/>
    <n v="1231.4100000000001"/>
    <s v="PayPal"/>
  </r>
  <r>
    <s v="ORD-02245"/>
    <x v="247"/>
    <x v="0"/>
    <s v="California"/>
    <s v="San Jose"/>
    <s v="Avery Johnson"/>
    <x v="2"/>
    <x v="0"/>
    <s v="Printers"/>
    <s v="Color Printer"/>
    <n v="3"/>
    <n v="549.16999999999996"/>
    <n v="0.05"/>
    <n v="1565.13"/>
    <n v="1197.8699999999999"/>
    <n v="367.26"/>
    <s v="Bank Transfer"/>
  </r>
  <r>
    <s v="ORD-01590"/>
    <x v="248"/>
    <x v="0"/>
    <s v="California"/>
    <s v="San Diego"/>
    <s v="Riley Wilson"/>
    <x v="0"/>
    <x v="2"/>
    <s v="Chairs"/>
    <s v="Executive Chair"/>
    <n v="5"/>
    <n v="150.16"/>
    <n v="0.05"/>
    <n v="713.26"/>
    <n v="445.97"/>
    <n v="267.29000000000002"/>
    <s v="PayPal"/>
  </r>
  <r>
    <s v="ORD-02183"/>
    <x v="248"/>
    <x v="3"/>
    <s v="Illinois"/>
    <s v="Chicago"/>
    <s v="Casey Brown"/>
    <x v="1"/>
    <x v="1"/>
    <s v="Monitors"/>
    <s v="34in Monitor"/>
    <n v="4"/>
    <n v="643.13"/>
    <n v="0.15"/>
    <n v="2186.64"/>
    <n v="1613.65"/>
    <n v="572.99"/>
    <s v="PayPal"/>
  </r>
  <r>
    <s v="ORD-01905"/>
    <x v="248"/>
    <x v="3"/>
    <s v="Indiana"/>
    <s v="Fort Wayne"/>
    <s v="Alex Morgan"/>
    <x v="1"/>
    <x v="1"/>
    <s v="Headsets"/>
    <s v="USB Headset"/>
    <n v="3"/>
    <n v="51.67"/>
    <n v="0"/>
    <n v="155.01"/>
    <n v="106.19"/>
    <n v="48.82"/>
    <s v="Bank Transfer"/>
  </r>
  <r>
    <s v="ORD-01244"/>
    <x v="248"/>
    <x v="3"/>
    <s v="Minnesota"/>
    <s v="Rochester"/>
    <s v="Avery Johnson"/>
    <x v="1"/>
    <x v="2"/>
    <s v="Desks"/>
    <s v="Work Desk"/>
    <n v="6"/>
    <n v="493.02"/>
    <n v="0.1"/>
    <n v="2662.31"/>
    <n v="1982.74"/>
    <n v="679.57"/>
    <s v="Credit Card"/>
  </r>
  <r>
    <s v="ORD-00523"/>
    <x v="248"/>
    <x v="1"/>
    <s v="Virginia"/>
    <s v="Arlington"/>
    <s v="Riley Wilson"/>
    <x v="2"/>
    <x v="1"/>
    <s v="Laptops"/>
    <s v="Ultrabook"/>
    <n v="1"/>
    <n v="1179.72"/>
    <n v="0.05"/>
    <n v="1120.73"/>
    <n v="672.76"/>
    <n v="447.97"/>
    <s v="PayPal"/>
  </r>
  <r>
    <s v="ORD-00565"/>
    <x v="248"/>
    <x v="0"/>
    <s v="Colorado"/>
    <s v="Colorado Springs"/>
    <s v="Morgan Davis"/>
    <x v="2"/>
    <x v="1"/>
    <s v="Laptops"/>
    <s v="Workstation Laptop"/>
    <n v="6"/>
    <n v="891.28"/>
    <n v="0.1"/>
    <n v="4812.91"/>
    <n v="2649.19"/>
    <n v="2163.7199999999998"/>
    <s v="PayPal"/>
  </r>
  <r>
    <s v="ORD-00288"/>
    <x v="249"/>
    <x v="2"/>
    <s v="New York"/>
    <s v="Rochester"/>
    <s v="Drew Anderson"/>
    <x v="2"/>
    <x v="1"/>
    <s v="Monitors"/>
    <s v="27in Monitor"/>
    <n v="1"/>
    <n v="358.38"/>
    <n v="0.05"/>
    <n v="340.46"/>
    <n v="244.71"/>
    <n v="95.75"/>
    <s v="Bank Transfer"/>
  </r>
  <r>
    <s v="ORD-02519"/>
    <x v="249"/>
    <x v="1"/>
    <s v="Virginia"/>
    <s v="Arlington"/>
    <s v="Cameron Clark"/>
    <x v="1"/>
    <x v="2"/>
    <s v="Tables"/>
    <s v="Training Table"/>
    <n v="8"/>
    <n v="488.21"/>
    <n v="0.15"/>
    <n v="3319.83"/>
    <n v="2633.18"/>
    <n v="686.65"/>
    <s v="Debit Card"/>
  </r>
  <r>
    <s v="ORD-02987"/>
    <x v="249"/>
    <x v="1"/>
    <s v="Virginia"/>
    <s v="Richmond"/>
    <s v="Cameron Clark"/>
    <x v="2"/>
    <x v="1"/>
    <s v="Monitors"/>
    <s v="24in Monitor"/>
    <n v="6"/>
    <n v="514.83000000000004"/>
    <n v="0.1"/>
    <n v="2780.08"/>
    <n v="2241.2399999999998"/>
    <n v="538.84"/>
    <s v="PayPal"/>
  </r>
  <r>
    <s v="ORD-02958"/>
    <x v="249"/>
    <x v="3"/>
    <s v="Minnesota"/>
    <s v="St. Paul"/>
    <s v="Casey Brown"/>
    <x v="1"/>
    <x v="1"/>
    <s v="Monitors"/>
    <s v="24in Monitor"/>
    <n v="2"/>
    <n v="266.33"/>
    <n v="0"/>
    <n v="532.66"/>
    <n v="346.4"/>
    <n v="186.26"/>
    <s v="Bank Transfer"/>
  </r>
  <r>
    <s v="ORD-00233"/>
    <x v="249"/>
    <x v="0"/>
    <s v="Washington"/>
    <s v="Spokane"/>
    <s v="Avery Johnson"/>
    <x v="0"/>
    <x v="0"/>
    <s v="Paper"/>
    <s v="Premium Paper"/>
    <n v="4"/>
    <n v="31.77"/>
    <n v="0.05"/>
    <n v="120.73"/>
    <n v="92.47"/>
    <n v="28.26"/>
    <s v="Credit Card"/>
  </r>
  <r>
    <s v="ORD-00505"/>
    <x v="249"/>
    <x v="3"/>
    <s v="Ohio"/>
    <s v="Columbus"/>
    <s v="Drew Anderson"/>
    <x v="1"/>
    <x v="0"/>
    <s v="Pens"/>
    <s v="Fine Tip Pens"/>
    <n v="6"/>
    <n v="16.73"/>
    <n v="0.15"/>
    <n v="85.32"/>
    <n v="61.42"/>
    <n v="23.9"/>
    <s v="Bank Transfer"/>
  </r>
  <r>
    <s v="ORD-01742"/>
    <x v="249"/>
    <x v="1"/>
    <s v="North Carolina"/>
    <s v="Charlotte"/>
    <s v="Taylor Smith"/>
    <x v="2"/>
    <x v="0"/>
    <s v="Paper"/>
    <s v="Copy Paper"/>
    <n v="1"/>
    <n v="18.89"/>
    <n v="0.05"/>
    <n v="17.95"/>
    <n v="10.32"/>
    <n v="7.63"/>
    <s v="Bank Transfer"/>
  </r>
  <r>
    <s v="ORD-01056"/>
    <x v="249"/>
    <x v="2"/>
    <s v="New Jersey"/>
    <s v="Trenton"/>
    <s v="Jordan Lee"/>
    <x v="2"/>
    <x v="0"/>
    <s v="Paper"/>
    <s v="Premium Paper"/>
    <n v="1"/>
    <n v="30.17"/>
    <n v="0.05"/>
    <n v="28.66"/>
    <n v="19.7"/>
    <n v="8.9600000000000009"/>
    <s v="Credit Card"/>
  </r>
  <r>
    <s v="ORD-00035"/>
    <x v="249"/>
    <x v="1"/>
    <s v="Virginia"/>
    <s v="Richmond"/>
    <s v="Drew Anderson"/>
    <x v="1"/>
    <x v="0"/>
    <s v="Binders"/>
    <s v="3-Ring Binder"/>
    <n v="8"/>
    <n v="16.89"/>
    <n v="0"/>
    <n v="135.12"/>
    <n v="78.22"/>
    <n v="56.9"/>
    <s v="Debit Card"/>
  </r>
  <r>
    <s v="ORD-00786"/>
    <x v="249"/>
    <x v="2"/>
    <s v="Massachusetts"/>
    <s v="Springfield"/>
    <s v="Drew Anderson"/>
    <x v="2"/>
    <x v="2"/>
    <s v="Desks"/>
    <s v="Executive Desk"/>
    <n v="8"/>
    <n v="313.2"/>
    <n v="0.1"/>
    <n v="2255.04"/>
    <n v="1556.83"/>
    <n v="698.21"/>
    <s v="Credit Card"/>
  </r>
  <r>
    <s v="ORD-02595"/>
    <x v="250"/>
    <x v="2"/>
    <s v="Massachusetts"/>
    <s v="Springfield"/>
    <s v="Casey Brown"/>
    <x v="0"/>
    <x v="0"/>
    <s v="Binders"/>
    <s v="Heavy-Duty Binder"/>
    <n v="10"/>
    <n v="22.14"/>
    <n v="0"/>
    <n v="221.4"/>
    <n v="155.83000000000001"/>
    <n v="65.569999999999993"/>
    <s v="Bank Transfer"/>
  </r>
  <r>
    <s v="ORD-00764"/>
    <x v="250"/>
    <x v="1"/>
    <s v="Florida"/>
    <s v="Orlando"/>
    <s v="Drew Anderson"/>
    <x v="0"/>
    <x v="0"/>
    <s v="Printers"/>
    <s v="Laser Printer"/>
    <n v="4"/>
    <n v="377.18"/>
    <n v="0.1"/>
    <n v="1357.85"/>
    <n v="1063.69"/>
    <n v="294.16000000000003"/>
    <s v="Debit Card"/>
  </r>
  <r>
    <s v="ORD-02851"/>
    <x v="250"/>
    <x v="0"/>
    <s v="Arizona"/>
    <s v="Mesa"/>
    <s v="Jordan Lee"/>
    <x v="0"/>
    <x v="0"/>
    <s v="Paper"/>
    <s v="Recycled Paper"/>
    <n v="4"/>
    <n v="25.67"/>
    <n v="0"/>
    <n v="102.68"/>
    <n v="73.56"/>
    <n v="29.12"/>
    <s v="Credit Card"/>
  </r>
  <r>
    <s v="ORD-01020"/>
    <x v="250"/>
    <x v="2"/>
    <s v="Pennsylvania"/>
    <s v="Pittsburgh"/>
    <s v="Alex Morgan"/>
    <x v="2"/>
    <x v="1"/>
    <s v="Keyboards"/>
    <s v="Ergonomic Keyboard"/>
    <n v="7"/>
    <n v="37.619999999999997"/>
    <n v="0.1"/>
    <n v="237.01"/>
    <n v="154.72"/>
    <n v="82.29"/>
    <s v="Debit Card"/>
  </r>
  <r>
    <s v="ORD-00340"/>
    <x v="250"/>
    <x v="0"/>
    <s v="Arizona"/>
    <s v="Mesa"/>
    <s v="Cameron Clark"/>
    <x v="1"/>
    <x v="1"/>
    <s v="Monitors"/>
    <s v="34in Monitor"/>
    <n v="6"/>
    <n v="691.23"/>
    <n v="0.05"/>
    <n v="3940.01"/>
    <n v="2398.1"/>
    <n v="1541.91"/>
    <s v="Credit Card"/>
  </r>
  <r>
    <s v="ORD-00024"/>
    <x v="250"/>
    <x v="0"/>
    <s v="Arizona"/>
    <s v="Phoenix"/>
    <s v="Casey Brown"/>
    <x v="0"/>
    <x v="0"/>
    <s v="Pens"/>
    <s v="Fine Tip Pens"/>
    <n v="7"/>
    <n v="13.21"/>
    <n v="0.1"/>
    <n v="83.22"/>
    <n v="55.15"/>
    <n v="28.07"/>
    <s v="PayPal"/>
  </r>
  <r>
    <s v="ORD-02990"/>
    <x v="251"/>
    <x v="0"/>
    <s v="Oregon"/>
    <s v="Eugene"/>
    <s v="Taylor Smith"/>
    <x v="1"/>
    <x v="1"/>
    <s v="Headsets"/>
    <s v="USB Headset"/>
    <n v="2"/>
    <n v="41.19"/>
    <n v="0"/>
    <n v="82.38"/>
    <n v="64.209999999999994"/>
    <n v="18.170000000000002"/>
    <s v="Bank Transfer"/>
  </r>
  <r>
    <s v="ORD-01198"/>
    <x v="251"/>
    <x v="3"/>
    <s v="Michigan"/>
    <s v="Detroit"/>
    <s v="Riley Wilson"/>
    <x v="0"/>
    <x v="1"/>
    <s v="Keyboards"/>
    <s v="Mechanical Keyboard"/>
    <n v="5"/>
    <n v="146.94999999999999"/>
    <n v="0"/>
    <n v="734.75"/>
    <n v="531.29"/>
    <n v="203.46"/>
    <s v="PayPal"/>
  </r>
  <r>
    <s v="ORD-00603"/>
    <x v="251"/>
    <x v="0"/>
    <s v="Oregon"/>
    <s v="Eugene"/>
    <s v="Jamie Miller"/>
    <x v="0"/>
    <x v="1"/>
    <s v="Laptops"/>
    <s v="Business Laptop"/>
    <n v="3"/>
    <n v="1279.6600000000001"/>
    <n v="0"/>
    <n v="3838.98"/>
    <n v="3140.38"/>
    <n v="698.6"/>
    <s v="Credit Card"/>
  </r>
  <r>
    <s v="ORD-02547"/>
    <x v="251"/>
    <x v="0"/>
    <s v="Washington"/>
    <s v="Seattle"/>
    <s v="Jamie Miller"/>
    <x v="2"/>
    <x v="1"/>
    <s v="Keyboards"/>
    <s v="Wireless Keyboard"/>
    <n v="6"/>
    <n v="101.28"/>
    <n v="0"/>
    <n v="607.67999999999995"/>
    <n v="398.58"/>
    <n v="209.1"/>
    <s v="Credit Card"/>
  </r>
  <r>
    <s v="ORD-02777"/>
    <x v="251"/>
    <x v="2"/>
    <s v="Massachusetts"/>
    <s v="Worcester"/>
    <s v="Avery Johnson"/>
    <x v="1"/>
    <x v="2"/>
    <s v="Tables"/>
    <s v="Conference Table"/>
    <n v="6"/>
    <n v="439.82"/>
    <n v="0.05"/>
    <n v="2506.9699999999998"/>
    <n v="1468.26"/>
    <n v="1038.71"/>
    <s v="Credit Card"/>
  </r>
  <r>
    <s v="ORD-02940"/>
    <x v="251"/>
    <x v="2"/>
    <s v="New Jersey"/>
    <s v="Trenton"/>
    <s v="Drew Anderson"/>
    <x v="2"/>
    <x v="0"/>
    <s v="Binders"/>
    <s v="3-Ring Binder"/>
    <n v="4"/>
    <n v="16.39"/>
    <n v="0.1"/>
    <n v="59"/>
    <n v="40.479999999999997"/>
    <n v="18.52"/>
    <s v="PayPal"/>
  </r>
  <r>
    <s v="ORD-01969"/>
    <x v="251"/>
    <x v="2"/>
    <s v="New Jersey"/>
    <s v="Jersey City"/>
    <s v="Morgan Davis"/>
    <x v="2"/>
    <x v="1"/>
    <s v="Monitors"/>
    <s v="34in Monitor"/>
    <n v="7"/>
    <n v="235.28"/>
    <n v="0.05"/>
    <n v="1564.61"/>
    <n v="975.85"/>
    <n v="588.76"/>
    <s v="Credit Card"/>
  </r>
  <r>
    <s v="ORD-00748"/>
    <x v="251"/>
    <x v="3"/>
    <s v="Indiana"/>
    <s v="Evansville"/>
    <s v="Alex Morgan"/>
    <x v="2"/>
    <x v="2"/>
    <s v="Bookcases"/>
    <s v="5-Shelf Bookcase"/>
    <n v="1"/>
    <n v="182.71"/>
    <n v="0"/>
    <n v="182.71"/>
    <n v="118.56"/>
    <n v="64.150000000000006"/>
    <s v="PayPal"/>
  </r>
  <r>
    <s v="ORD-02266"/>
    <x v="252"/>
    <x v="2"/>
    <s v="New Jersey"/>
    <s v="Jersey City"/>
    <s v="Jamie Miller"/>
    <x v="2"/>
    <x v="1"/>
    <s v="Monitors"/>
    <s v="24in Monitor"/>
    <n v="7"/>
    <n v="580.15"/>
    <n v="0.05"/>
    <n v="3858"/>
    <n v="2211.62"/>
    <n v="1646.38"/>
    <s v="Debit Card"/>
  </r>
  <r>
    <s v="ORD-01061"/>
    <x v="252"/>
    <x v="2"/>
    <s v="Vermont"/>
    <s v="Rutland"/>
    <s v="Alex Morgan"/>
    <x v="0"/>
    <x v="1"/>
    <s v="Monitors"/>
    <s v="27in Monitor"/>
    <n v="4"/>
    <n v="572.79"/>
    <n v="0.05"/>
    <n v="2176.6"/>
    <n v="1402.74"/>
    <n v="773.86"/>
    <s v="Credit Card"/>
  </r>
  <r>
    <s v="ORD-01986"/>
    <x v="252"/>
    <x v="1"/>
    <s v="Virginia"/>
    <s v="Arlington"/>
    <s v="Drew Anderson"/>
    <x v="1"/>
    <x v="0"/>
    <s v="Binders"/>
    <s v="3-Ring Binder"/>
    <n v="9"/>
    <n v="11.61"/>
    <n v="0.05"/>
    <n v="99.27"/>
    <n v="73.94"/>
    <n v="25.33"/>
    <s v="PayPal"/>
  </r>
  <r>
    <s v="ORD-02499"/>
    <x v="252"/>
    <x v="3"/>
    <s v="Ohio"/>
    <s v="Columbus"/>
    <s v="Casey Brown"/>
    <x v="0"/>
    <x v="0"/>
    <s v="Paper"/>
    <s v="Premium Paper"/>
    <n v="7"/>
    <n v="16.399999999999999"/>
    <n v="0.05"/>
    <n v="109.06"/>
    <n v="69.010000000000005"/>
    <n v="40.049999999999997"/>
    <s v="PayPal"/>
  </r>
  <r>
    <s v="ORD-02438"/>
    <x v="252"/>
    <x v="3"/>
    <s v="Indiana"/>
    <s v="Indianapolis"/>
    <s v="Morgan Davis"/>
    <x v="1"/>
    <x v="0"/>
    <s v="Binders"/>
    <s v="Presentation Binder"/>
    <n v="7"/>
    <n v="25.71"/>
    <n v="0"/>
    <n v="179.97"/>
    <n v="116.42"/>
    <n v="63.55"/>
    <s v="Debit Card"/>
  </r>
  <r>
    <s v="ORD-00203"/>
    <x v="252"/>
    <x v="3"/>
    <s v="Michigan"/>
    <s v="Lansing"/>
    <s v="Cameron Clark"/>
    <x v="2"/>
    <x v="0"/>
    <s v="Printers"/>
    <s v="All-in-One Printer"/>
    <n v="10"/>
    <n v="270.2"/>
    <n v="0.15"/>
    <n v="2296.6999999999998"/>
    <n v="1798.65"/>
    <n v="498.05"/>
    <s v="Bank Transfer"/>
  </r>
  <r>
    <s v="ORD-01894"/>
    <x v="252"/>
    <x v="3"/>
    <s v="Minnesota"/>
    <s v="Rochester"/>
    <s v="Taylor Smith"/>
    <x v="1"/>
    <x v="2"/>
    <s v="Desks"/>
    <s v="Standing Desk"/>
    <n v="10"/>
    <n v="380.67"/>
    <n v="0"/>
    <n v="3806.7"/>
    <n v="2462.06"/>
    <n v="1344.64"/>
    <s v="Debit Card"/>
  </r>
  <r>
    <s v="ORD-00787"/>
    <x v="252"/>
    <x v="3"/>
    <s v="Michigan"/>
    <s v="Lansing"/>
    <s v="Riley Wilson"/>
    <x v="0"/>
    <x v="1"/>
    <s v="Headsets"/>
    <s v="Wireless Headset"/>
    <n v="8"/>
    <n v="88.38"/>
    <n v="0.05"/>
    <n v="671.69"/>
    <n v="545.63"/>
    <n v="126.06"/>
    <s v="Credit Card"/>
  </r>
  <r>
    <s v="ORD-01776"/>
    <x v="252"/>
    <x v="0"/>
    <s v="Arizona"/>
    <s v="Phoenix"/>
    <s v="Cameron Clark"/>
    <x v="0"/>
    <x v="2"/>
    <s v="Bookcases"/>
    <s v="Storage Bookcase"/>
    <n v="1"/>
    <n v="278.02"/>
    <n v="0.05"/>
    <n v="264.12"/>
    <n v="153.12"/>
    <n v="111"/>
    <s v="Debit Card"/>
  </r>
  <r>
    <s v="ORD-01773"/>
    <x v="252"/>
    <x v="2"/>
    <s v="Vermont"/>
    <s v="Burlington"/>
    <s v="Jordan Lee"/>
    <x v="2"/>
    <x v="1"/>
    <s v="Laptops"/>
    <s v="Workstation Laptop"/>
    <n v="3"/>
    <n v="1486.85"/>
    <n v="0.05"/>
    <n v="4237.5200000000004"/>
    <n v="3135.03"/>
    <n v="1102.49"/>
    <s v="Credit Card"/>
  </r>
  <r>
    <s v="ORD-01995"/>
    <x v="252"/>
    <x v="2"/>
    <s v="Vermont"/>
    <s v="Montpelier"/>
    <s v="Jamie Miller"/>
    <x v="2"/>
    <x v="0"/>
    <s v="Printers"/>
    <s v="Laser Printer"/>
    <n v="4"/>
    <n v="337.19"/>
    <n v="0"/>
    <n v="1348.76"/>
    <n v="1101.92"/>
    <n v="246.84"/>
    <s v="PayPal"/>
  </r>
  <r>
    <s v="ORD-01900"/>
    <x v="253"/>
    <x v="1"/>
    <s v="Georgia"/>
    <s v="Augusta"/>
    <s v="Taylor Smith"/>
    <x v="0"/>
    <x v="1"/>
    <s v="Laptops"/>
    <s v="Business Laptop"/>
    <n v="10"/>
    <n v="1111.21"/>
    <n v="0.05"/>
    <n v="10556.5"/>
    <n v="7719.12"/>
    <n v="2837.38"/>
    <s v="PayPal"/>
  </r>
  <r>
    <s v="ORD-01975"/>
    <x v="253"/>
    <x v="1"/>
    <s v="Georgia"/>
    <s v="Atlanta"/>
    <s v="Casey Brown"/>
    <x v="2"/>
    <x v="1"/>
    <s v="Monitors"/>
    <s v="34in Monitor"/>
    <n v="8"/>
    <n v="616.72"/>
    <n v="0.05"/>
    <n v="4687.07"/>
    <n v="3374.65"/>
    <n v="1312.42"/>
    <s v="Credit Card"/>
  </r>
  <r>
    <s v="ORD-01727"/>
    <x v="253"/>
    <x v="0"/>
    <s v="Arizona"/>
    <s v="Phoenix"/>
    <s v="Casey Brown"/>
    <x v="0"/>
    <x v="2"/>
    <s v="Tables"/>
    <s v="Side Table"/>
    <n v="10"/>
    <n v="237.15"/>
    <n v="0"/>
    <n v="2371.5"/>
    <n v="1326.24"/>
    <n v="1045.26"/>
    <s v="PayPal"/>
  </r>
  <r>
    <s v="ORD-01250"/>
    <x v="253"/>
    <x v="0"/>
    <s v="California"/>
    <s v="San Jose"/>
    <s v="Morgan Davis"/>
    <x v="0"/>
    <x v="2"/>
    <s v="Chairs"/>
    <s v="Task Chair"/>
    <n v="1"/>
    <n v="147.58000000000001"/>
    <n v="0.05"/>
    <n v="140.19999999999999"/>
    <n v="108"/>
    <n v="32.200000000000003"/>
    <s v="Debit Card"/>
  </r>
  <r>
    <s v="ORD-02238"/>
    <x v="253"/>
    <x v="3"/>
    <s v="Minnesota"/>
    <s v="Minneapolis"/>
    <s v="Taylor Smith"/>
    <x v="1"/>
    <x v="1"/>
    <s v="Keyboards"/>
    <s v="Ergonomic Keyboard"/>
    <n v="2"/>
    <n v="96.76"/>
    <n v="0.1"/>
    <n v="174.17"/>
    <n v="108.6"/>
    <n v="65.569999999999993"/>
    <s v="Debit Card"/>
  </r>
  <r>
    <s v="ORD-00528"/>
    <x v="253"/>
    <x v="1"/>
    <s v="North Carolina"/>
    <s v="Charlotte"/>
    <s v="Riley Wilson"/>
    <x v="2"/>
    <x v="1"/>
    <s v="Laptops"/>
    <s v="Workstation Laptop"/>
    <n v="2"/>
    <n v="1425.42"/>
    <n v="0.15"/>
    <n v="2423.21"/>
    <n v="1644.82"/>
    <n v="778.39"/>
    <s v="Credit Card"/>
  </r>
  <r>
    <s v="ORD-01553"/>
    <x v="253"/>
    <x v="3"/>
    <s v="Illinois"/>
    <s v="Peoria"/>
    <s v="Avery Johnson"/>
    <x v="2"/>
    <x v="1"/>
    <s v="Keyboards"/>
    <s v="Ergonomic Keyboard"/>
    <n v="10"/>
    <n v="39.31"/>
    <n v="0.1"/>
    <n v="353.79"/>
    <n v="266.88"/>
    <n v="86.91"/>
    <s v="Bank Transfer"/>
  </r>
  <r>
    <s v="ORD-02796"/>
    <x v="253"/>
    <x v="0"/>
    <s v="Colorado"/>
    <s v="Colorado Springs"/>
    <s v="Taylor Smith"/>
    <x v="1"/>
    <x v="2"/>
    <s v="Chairs"/>
    <s v="Task Chair"/>
    <n v="8"/>
    <n v="189.46"/>
    <n v="0.05"/>
    <n v="1439.9"/>
    <n v="963.6"/>
    <n v="476.3"/>
    <s v="Bank Transfer"/>
  </r>
  <r>
    <s v="ORD-02588"/>
    <x v="254"/>
    <x v="1"/>
    <s v="Virginia"/>
    <s v="Richmond"/>
    <s v="Taylor Smith"/>
    <x v="0"/>
    <x v="2"/>
    <s v="Bookcases"/>
    <s v="5-Shelf Bookcase"/>
    <n v="2"/>
    <n v="485.78"/>
    <n v="0.05"/>
    <n v="922.98"/>
    <n v="601.17999999999995"/>
    <n v="321.8"/>
    <s v="Debit Card"/>
  </r>
  <r>
    <s v="ORD-02216"/>
    <x v="254"/>
    <x v="1"/>
    <s v="Texas"/>
    <s v="Dallas"/>
    <s v="Avery Johnson"/>
    <x v="0"/>
    <x v="2"/>
    <s v="Tables"/>
    <s v="Training Table"/>
    <n v="7"/>
    <n v="643.53"/>
    <n v="0.15"/>
    <n v="3829"/>
    <n v="2859.01"/>
    <n v="969.99"/>
    <s v="Credit Card"/>
  </r>
  <r>
    <s v="ORD-02173"/>
    <x v="254"/>
    <x v="2"/>
    <s v="Vermont"/>
    <s v="Rutland"/>
    <s v="Taylor Smith"/>
    <x v="2"/>
    <x v="1"/>
    <s v="Keyboards"/>
    <s v="Ergonomic Keyboard"/>
    <n v="7"/>
    <n v="126.5"/>
    <n v="0"/>
    <n v="885.5"/>
    <n v="509.38"/>
    <n v="376.12"/>
    <s v="Bank Transfer"/>
  </r>
  <r>
    <s v="ORD-02925"/>
    <x v="254"/>
    <x v="1"/>
    <s v="Florida"/>
    <s v="Miami"/>
    <s v="Cameron Clark"/>
    <x v="1"/>
    <x v="0"/>
    <s v="Pens"/>
    <s v="Fine Tip Pens"/>
    <n v="5"/>
    <n v="11.31"/>
    <n v="0.05"/>
    <n v="53.72"/>
    <n v="36.46"/>
    <n v="17.260000000000002"/>
    <s v="Bank Transfer"/>
  </r>
  <r>
    <s v="ORD-01896"/>
    <x v="254"/>
    <x v="3"/>
    <s v="Minnesota"/>
    <s v="Minneapolis"/>
    <s v="Cameron Clark"/>
    <x v="0"/>
    <x v="1"/>
    <s v="Laptops"/>
    <s v="Ultrabook"/>
    <n v="6"/>
    <n v="935.63"/>
    <n v="0.05"/>
    <n v="5333.09"/>
    <n v="4308.92"/>
    <n v="1024.17"/>
    <s v="Bank Transfer"/>
  </r>
  <r>
    <s v="ORD-01724"/>
    <x v="255"/>
    <x v="1"/>
    <s v="Florida"/>
    <s v="Tampa"/>
    <s v="Avery Johnson"/>
    <x v="2"/>
    <x v="0"/>
    <s v="Paper"/>
    <s v="Recycled Paper"/>
    <n v="2"/>
    <n v="32.15"/>
    <n v="0.15"/>
    <n v="54.65"/>
    <n v="39.090000000000003"/>
    <n v="15.56"/>
    <s v="Debit Card"/>
  </r>
  <r>
    <s v="ORD-00759"/>
    <x v="255"/>
    <x v="2"/>
    <s v="Massachusetts"/>
    <s v="Springfield"/>
    <s v="Jordan Lee"/>
    <x v="2"/>
    <x v="0"/>
    <s v="Pens"/>
    <s v="Ballpoint Pens"/>
    <n v="5"/>
    <n v="9.0399999999999991"/>
    <n v="0.1"/>
    <n v="40.68"/>
    <n v="31.98"/>
    <n v="8.6999999999999993"/>
    <s v="Debit Card"/>
  </r>
  <r>
    <s v="ORD-01275"/>
    <x v="255"/>
    <x v="3"/>
    <s v="Michigan"/>
    <s v="Lansing"/>
    <s v="Jamie Miller"/>
    <x v="0"/>
    <x v="1"/>
    <s v="Monitors"/>
    <s v="27in Monitor"/>
    <n v="6"/>
    <n v="630.67999999999995"/>
    <n v="0.1"/>
    <n v="3405.67"/>
    <n v="2084.17"/>
    <n v="1321.5"/>
    <s v="PayPal"/>
  </r>
  <r>
    <s v="ORD-00879"/>
    <x v="255"/>
    <x v="2"/>
    <s v="Vermont"/>
    <s v="Rutland"/>
    <s v="Jamie Miller"/>
    <x v="0"/>
    <x v="0"/>
    <s v="Printers"/>
    <s v="Color Printer"/>
    <n v="5"/>
    <n v="515.29"/>
    <n v="0.1"/>
    <n v="2318.8000000000002"/>
    <n v="1813.94"/>
    <n v="504.86"/>
    <s v="PayPal"/>
  </r>
  <r>
    <s v="ORD-00109"/>
    <x v="255"/>
    <x v="1"/>
    <s v="Texas"/>
    <s v="Austin"/>
    <s v="Taylor Smith"/>
    <x v="0"/>
    <x v="0"/>
    <s v="Printers"/>
    <s v="Laser Printer"/>
    <n v="6"/>
    <n v="408.17"/>
    <n v="0.05"/>
    <n v="2326.5700000000002"/>
    <n v="1431.27"/>
    <n v="895.3"/>
    <s v="Credit Card"/>
  </r>
  <r>
    <s v="ORD-02681"/>
    <x v="255"/>
    <x v="2"/>
    <s v="Pennsylvania"/>
    <s v="Allentown"/>
    <s v="Taylor Smith"/>
    <x v="2"/>
    <x v="0"/>
    <s v="Paper"/>
    <s v="Premium Paper"/>
    <n v="3"/>
    <n v="10.75"/>
    <n v="0.15"/>
    <n v="27.41"/>
    <n v="15.5"/>
    <n v="11.91"/>
    <s v="PayPal"/>
  </r>
  <r>
    <s v="ORD-02151"/>
    <x v="255"/>
    <x v="2"/>
    <s v="New Jersey"/>
    <s v="Trenton"/>
    <s v="Morgan Davis"/>
    <x v="0"/>
    <x v="1"/>
    <s v="Keyboards"/>
    <s v="Wireless Keyboard"/>
    <n v="3"/>
    <n v="106.62"/>
    <n v="0"/>
    <n v="319.86"/>
    <n v="217.82"/>
    <n v="102.04"/>
    <s v="PayPal"/>
  </r>
  <r>
    <s v="ORD-00120"/>
    <x v="255"/>
    <x v="2"/>
    <s v="Vermont"/>
    <s v="Burlington"/>
    <s v="Alex Morgan"/>
    <x v="1"/>
    <x v="0"/>
    <s v="Binders"/>
    <s v="Heavy-Duty Binder"/>
    <n v="8"/>
    <n v="7"/>
    <n v="0.15"/>
    <n v="47.6"/>
    <n v="39.03"/>
    <n v="8.57"/>
    <s v="Debit Card"/>
  </r>
  <r>
    <s v="ORD-01528"/>
    <x v="255"/>
    <x v="2"/>
    <s v="New York"/>
    <s v="Buffalo"/>
    <s v="Taylor Smith"/>
    <x v="2"/>
    <x v="1"/>
    <s v="Keyboards"/>
    <s v="Wireless Keyboard"/>
    <n v="2"/>
    <n v="170.86"/>
    <n v="0"/>
    <n v="341.72"/>
    <n v="270.08"/>
    <n v="71.64"/>
    <s v="Debit Card"/>
  </r>
  <r>
    <s v="ORD-00831"/>
    <x v="255"/>
    <x v="2"/>
    <s v="Massachusetts"/>
    <s v="Worcester"/>
    <s v="Jamie Miller"/>
    <x v="1"/>
    <x v="0"/>
    <s v="Paper"/>
    <s v="Premium Paper"/>
    <n v="9"/>
    <n v="32.03"/>
    <n v="0.05"/>
    <n v="273.86"/>
    <n v="189.66"/>
    <n v="84.2"/>
    <s v="Credit Card"/>
  </r>
  <r>
    <s v="ORD-00398"/>
    <x v="255"/>
    <x v="1"/>
    <s v="Georgia"/>
    <s v="Savannah"/>
    <s v="Taylor Smith"/>
    <x v="0"/>
    <x v="1"/>
    <s v="Laptops"/>
    <s v="Business Laptop"/>
    <n v="4"/>
    <n v="1664.17"/>
    <n v="0"/>
    <n v="6656.68"/>
    <n v="5255.24"/>
    <n v="1401.44"/>
    <s v="Bank Transfer"/>
  </r>
  <r>
    <s v="ORD-01709"/>
    <x v="255"/>
    <x v="0"/>
    <s v="Washington"/>
    <s v="Spokane"/>
    <s v="Alex Morgan"/>
    <x v="1"/>
    <x v="2"/>
    <s v="Desks"/>
    <s v="Work Desk"/>
    <n v="2"/>
    <n v="865.12"/>
    <n v="0.05"/>
    <n v="1643.73"/>
    <n v="923.33"/>
    <n v="720.4"/>
    <s v="Debit Card"/>
  </r>
  <r>
    <s v="ORD-01705"/>
    <x v="255"/>
    <x v="3"/>
    <s v="Michigan"/>
    <s v="Lansing"/>
    <s v="Jordan Lee"/>
    <x v="0"/>
    <x v="2"/>
    <s v="Bookcases"/>
    <s v="5-Shelf Bookcase"/>
    <n v="3"/>
    <n v="166.48"/>
    <n v="0.05"/>
    <n v="474.47"/>
    <n v="361.05"/>
    <n v="113.42"/>
    <s v="Debit Card"/>
  </r>
  <r>
    <s v="ORD-02985"/>
    <x v="255"/>
    <x v="0"/>
    <s v="Oregon"/>
    <s v="Salem"/>
    <s v="Casey Brown"/>
    <x v="2"/>
    <x v="0"/>
    <s v="Pens"/>
    <s v="Ballpoint Pens"/>
    <n v="3"/>
    <n v="21.48"/>
    <n v="0.05"/>
    <n v="61.22"/>
    <n v="33.74"/>
    <n v="27.48"/>
    <s v="Bank Transfer"/>
  </r>
  <r>
    <s v="ORD-01446"/>
    <x v="256"/>
    <x v="2"/>
    <s v="New Jersey"/>
    <s v="Newark"/>
    <s v="Drew Anderson"/>
    <x v="1"/>
    <x v="1"/>
    <s v="Monitors"/>
    <s v="24in Monitor"/>
    <n v="6"/>
    <n v="166.58"/>
    <n v="0.05"/>
    <n v="949.51"/>
    <n v="696.09"/>
    <n v="253.42"/>
    <s v="Debit Card"/>
  </r>
  <r>
    <s v="ORD-02065"/>
    <x v="256"/>
    <x v="3"/>
    <s v="Indiana"/>
    <s v="Indianapolis"/>
    <s v="Drew Anderson"/>
    <x v="2"/>
    <x v="1"/>
    <s v="Keyboards"/>
    <s v="Wireless Keyboard"/>
    <n v="10"/>
    <n v="97.98"/>
    <n v="0.1"/>
    <n v="881.82"/>
    <n v="702.84"/>
    <n v="178.98"/>
    <s v="Debit Card"/>
  </r>
  <r>
    <s v="ORD-01420"/>
    <x v="256"/>
    <x v="2"/>
    <s v="Pennsylvania"/>
    <s v="Pittsburgh"/>
    <s v="Jordan Lee"/>
    <x v="1"/>
    <x v="1"/>
    <s v="Monitors"/>
    <s v="24in Monitor"/>
    <n v="6"/>
    <n v="667.88"/>
    <n v="0.05"/>
    <n v="3806.92"/>
    <n v="2765.66"/>
    <n v="1041.26"/>
    <s v="Bank Transfer"/>
  </r>
  <r>
    <s v="ORD-00437"/>
    <x v="256"/>
    <x v="0"/>
    <s v="California"/>
    <s v="San Jose"/>
    <s v="Jordan Lee"/>
    <x v="0"/>
    <x v="1"/>
    <s v="Headsets"/>
    <s v="Noise-Canceling Headset"/>
    <n v="1"/>
    <n v="137.65"/>
    <n v="0.1"/>
    <n v="123.88"/>
    <n v="99.37"/>
    <n v="24.51"/>
    <s v="Debit Card"/>
  </r>
  <r>
    <s v="ORD-00743"/>
    <x v="256"/>
    <x v="1"/>
    <s v="Georgia"/>
    <s v="Augusta"/>
    <s v="Alex Morgan"/>
    <x v="0"/>
    <x v="0"/>
    <s v="Pens"/>
    <s v="Fine Tip Pens"/>
    <n v="10"/>
    <n v="20.51"/>
    <n v="0.15"/>
    <n v="174.34"/>
    <n v="117.64"/>
    <n v="56.7"/>
    <s v="PayPal"/>
  </r>
  <r>
    <s v="ORD-02638"/>
    <x v="256"/>
    <x v="1"/>
    <s v="Georgia"/>
    <s v="Savannah"/>
    <s v="Casey Brown"/>
    <x v="2"/>
    <x v="1"/>
    <s v="Laptops"/>
    <s v="Business Laptop"/>
    <n v="10"/>
    <n v="1238.3599999999999"/>
    <n v="0.05"/>
    <n v="11764.42"/>
    <n v="8738.5400000000009"/>
    <n v="3025.88"/>
    <s v="PayPal"/>
  </r>
  <r>
    <s v="ORD-00983"/>
    <x v="257"/>
    <x v="0"/>
    <s v="Colorado"/>
    <s v="Boulder"/>
    <s v="Alex Morgan"/>
    <x v="0"/>
    <x v="1"/>
    <s v="Keyboards"/>
    <s v="Wireless Keyboard"/>
    <n v="3"/>
    <n v="170.82"/>
    <n v="0.15"/>
    <n v="435.59"/>
    <n v="349.26"/>
    <n v="86.33"/>
    <s v="Credit Card"/>
  </r>
  <r>
    <s v="ORD-01667"/>
    <x v="257"/>
    <x v="0"/>
    <s v="Oregon"/>
    <s v="Portland"/>
    <s v="Morgan Davis"/>
    <x v="0"/>
    <x v="2"/>
    <s v="Tables"/>
    <s v="Conference Table"/>
    <n v="10"/>
    <n v="409.86"/>
    <n v="0.05"/>
    <n v="3893.67"/>
    <n v="2932.84"/>
    <n v="960.83"/>
    <s v="PayPal"/>
  </r>
  <r>
    <s v="ORD-01286"/>
    <x v="257"/>
    <x v="1"/>
    <s v="Georgia"/>
    <s v="Savannah"/>
    <s v="Cameron Clark"/>
    <x v="1"/>
    <x v="1"/>
    <s v="Laptops"/>
    <s v="Workstation Laptop"/>
    <n v="6"/>
    <n v="1796.65"/>
    <n v="0.1"/>
    <n v="9701.91"/>
    <n v="7198.66"/>
    <n v="2503.25"/>
    <s v="Bank Transfer"/>
  </r>
  <r>
    <s v="ORD-02795"/>
    <x v="257"/>
    <x v="0"/>
    <s v="Washington"/>
    <s v="Seattle"/>
    <s v="Avery Johnson"/>
    <x v="1"/>
    <x v="2"/>
    <s v="Chairs"/>
    <s v="Task Chair"/>
    <n v="9"/>
    <n v="575.52"/>
    <n v="0.15"/>
    <n v="4402.7299999999996"/>
    <n v="3535.07"/>
    <n v="867.66"/>
    <s v="Bank Transfer"/>
  </r>
  <r>
    <s v="ORD-02344"/>
    <x v="257"/>
    <x v="2"/>
    <s v="New Jersey"/>
    <s v="Newark"/>
    <s v="Cameron Clark"/>
    <x v="0"/>
    <x v="1"/>
    <s v="Monitors"/>
    <s v="24in Monitor"/>
    <n v="4"/>
    <n v="472.72"/>
    <n v="0"/>
    <n v="1890.88"/>
    <n v="1324.36"/>
    <n v="566.52"/>
    <s v="Bank Transfer"/>
  </r>
  <r>
    <s v="ORD-00490"/>
    <x v="257"/>
    <x v="2"/>
    <s v="Vermont"/>
    <s v="Burlington"/>
    <s v="Jamie Miller"/>
    <x v="0"/>
    <x v="0"/>
    <s v="Paper"/>
    <s v="Recycled Paper"/>
    <n v="6"/>
    <n v="27.84"/>
    <n v="0.2"/>
    <n v="133.63"/>
    <n v="88.65"/>
    <n v="44.98"/>
    <s v="Credit Card"/>
  </r>
  <r>
    <s v="ORD-02191"/>
    <x v="257"/>
    <x v="1"/>
    <s v="Florida"/>
    <s v="Miami"/>
    <s v="Jordan Lee"/>
    <x v="2"/>
    <x v="0"/>
    <s v="Pens"/>
    <s v="Gel Pens"/>
    <n v="2"/>
    <n v="5.12"/>
    <n v="0.2"/>
    <n v="8.19"/>
    <n v="6.37"/>
    <n v="1.82"/>
    <s v="Debit Card"/>
  </r>
  <r>
    <s v="ORD-00770"/>
    <x v="258"/>
    <x v="2"/>
    <s v="New Jersey"/>
    <s v="Trenton"/>
    <s v="Jordan Lee"/>
    <x v="0"/>
    <x v="0"/>
    <s v="Paper"/>
    <s v="Premium Paper"/>
    <n v="5"/>
    <n v="25.31"/>
    <n v="0.05"/>
    <n v="120.22"/>
    <n v="68.78"/>
    <n v="51.44"/>
    <s v="Debit Card"/>
  </r>
  <r>
    <s v="ORD-02324"/>
    <x v="258"/>
    <x v="0"/>
    <s v="Oregon"/>
    <s v="Portland"/>
    <s v="Cameron Clark"/>
    <x v="0"/>
    <x v="2"/>
    <s v="Tables"/>
    <s v="Conference Table"/>
    <n v="9"/>
    <n v="415.24"/>
    <n v="0.05"/>
    <n v="3550.3"/>
    <n v="2074.15"/>
    <n v="1476.15"/>
    <s v="PayPal"/>
  </r>
  <r>
    <s v="ORD-01241"/>
    <x v="258"/>
    <x v="2"/>
    <s v="Vermont"/>
    <s v="Rutland"/>
    <s v="Jordan Lee"/>
    <x v="1"/>
    <x v="1"/>
    <s v="Monitors"/>
    <s v="24in Monitor"/>
    <n v="3"/>
    <n v="685.37"/>
    <n v="0.05"/>
    <n v="1953.3"/>
    <n v="1367.33"/>
    <n v="585.97"/>
    <s v="PayPal"/>
  </r>
  <r>
    <s v="ORD-00464"/>
    <x v="258"/>
    <x v="2"/>
    <s v="Pennsylvania"/>
    <s v="Allentown"/>
    <s v="Taylor Smith"/>
    <x v="0"/>
    <x v="2"/>
    <s v="Tables"/>
    <s v="Conference Table"/>
    <n v="4"/>
    <n v="268.51"/>
    <n v="0"/>
    <n v="1074.04"/>
    <n v="751.33"/>
    <n v="322.70999999999998"/>
    <s v="Bank Transfer"/>
  </r>
  <r>
    <s v="ORD-00284"/>
    <x v="258"/>
    <x v="3"/>
    <s v="Illinois"/>
    <s v="Springfield"/>
    <s v="Avery Johnson"/>
    <x v="0"/>
    <x v="1"/>
    <s v="Keyboards"/>
    <s v="Wireless Keyboard"/>
    <n v="3"/>
    <n v="74.55"/>
    <n v="0.1"/>
    <n v="201.28"/>
    <n v="130.76"/>
    <n v="70.52"/>
    <s v="Credit Card"/>
  </r>
  <r>
    <s v="ORD-01641"/>
    <x v="259"/>
    <x v="0"/>
    <s v="Washington"/>
    <s v="Spokane"/>
    <s v="Jamie Miller"/>
    <x v="2"/>
    <x v="1"/>
    <s v="Headsets"/>
    <s v="Noise-Canceling Headset"/>
    <n v="6"/>
    <n v="140.5"/>
    <n v="0.15"/>
    <n v="716.55"/>
    <n v="437.79"/>
    <n v="278.76"/>
    <s v="Credit Card"/>
  </r>
  <r>
    <s v="ORD-01110"/>
    <x v="259"/>
    <x v="3"/>
    <s v="Ohio"/>
    <s v="Columbus"/>
    <s v="Taylor Smith"/>
    <x v="2"/>
    <x v="0"/>
    <s v="Binders"/>
    <s v="Heavy-Duty Binder"/>
    <n v="8"/>
    <n v="26.98"/>
    <n v="0.1"/>
    <n v="194.26"/>
    <n v="125.29"/>
    <n v="68.97"/>
    <s v="PayPal"/>
  </r>
  <r>
    <s v="ORD-01962"/>
    <x v="259"/>
    <x v="2"/>
    <s v="Massachusetts"/>
    <s v="Worcester"/>
    <s v="Avery Johnson"/>
    <x v="0"/>
    <x v="1"/>
    <s v="Headsets"/>
    <s v="USB Headset"/>
    <n v="9"/>
    <n v="43.02"/>
    <n v="0.05"/>
    <n v="367.82"/>
    <n v="252.42"/>
    <n v="115.4"/>
    <s v="Debit Card"/>
  </r>
  <r>
    <s v="ORD-02243"/>
    <x v="259"/>
    <x v="2"/>
    <s v="New York"/>
    <s v="Buffalo"/>
    <s v="Avery Johnson"/>
    <x v="0"/>
    <x v="1"/>
    <s v="Keyboards"/>
    <s v="Wireless Keyboard"/>
    <n v="3"/>
    <n v="100.97"/>
    <n v="0.05"/>
    <n v="287.76"/>
    <n v="187.66"/>
    <n v="100.1"/>
    <s v="Bank Transfer"/>
  </r>
  <r>
    <s v="ORD-01114"/>
    <x v="259"/>
    <x v="3"/>
    <s v="Indiana"/>
    <s v="Evansville"/>
    <s v="Morgan Davis"/>
    <x v="2"/>
    <x v="1"/>
    <s v="Keyboards"/>
    <s v="Mechanical Keyboard"/>
    <n v="3"/>
    <n v="145.85"/>
    <n v="0.1"/>
    <n v="393.79"/>
    <n v="257.54000000000002"/>
    <n v="136.25"/>
    <s v="Bank Transfer"/>
  </r>
  <r>
    <s v="ORD-02576"/>
    <x v="259"/>
    <x v="1"/>
    <s v="Virginia"/>
    <s v="Norfolk"/>
    <s v="Cameron Clark"/>
    <x v="2"/>
    <x v="2"/>
    <s v="Bookcases"/>
    <s v="Storage Bookcase"/>
    <n v="1"/>
    <n v="252.35"/>
    <n v="0"/>
    <n v="252.35"/>
    <n v="161.30000000000001"/>
    <n v="91.05"/>
    <s v="PayPal"/>
  </r>
  <r>
    <s v="ORD-00314"/>
    <x v="259"/>
    <x v="3"/>
    <s v="Ohio"/>
    <s v="Cleveland"/>
    <s v="Riley Wilson"/>
    <x v="0"/>
    <x v="0"/>
    <s v="Binders"/>
    <s v="Heavy-Duty Binder"/>
    <n v="6"/>
    <n v="18.010000000000002"/>
    <n v="0"/>
    <n v="108.06"/>
    <n v="84.35"/>
    <n v="23.71"/>
    <s v="PayPal"/>
  </r>
  <r>
    <s v="ORD-02295"/>
    <x v="259"/>
    <x v="0"/>
    <s v="Oregon"/>
    <s v="Salem"/>
    <s v="Riley Wilson"/>
    <x v="2"/>
    <x v="1"/>
    <s v="Headsets"/>
    <s v="USB Headset"/>
    <n v="2"/>
    <n v="220.36"/>
    <n v="0.15"/>
    <n v="374.61"/>
    <n v="271.10000000000002"/>
    <n v="103.51"/>
    <s v="Debit Card"/>
  </r>
  <r>
    <s v="ORD-00386"/>
    <x v="259"/>
    <x v="0"/>
    <s v="California"/>
    <s v="San Jose"/>
    <s v="Riley Wilson"/>
    <x v="2"/>
    <x v="0"/>
    <s v="Paper"/>
    <s v="Copy Paper"/>
    <n v="2"/>
    <n v="11.28"/>
    <n v="0.2"/>
    <n v="18.05"/>
    <n v="10"/>
    <n v="8.0500000000000007"/>
    <s v="Bank Transfer"/>
  </r>
  <r>
    <s v="ORD-00647"/>
    <x v="260"/>
    <x v="2"/>
    <s v="New Jersey"/>
    <s v="Trenton"/>
    <s v="Riley Wilson"/>
    <x v="2"/>
    <x v="1"/>
    <s v="Monitors"/>
    <s v="34in Monitor"/>
    <n v="7"/>
    <n v="407.64"/>
    <n v="0"/>
    <n v="2853.48"/>
    <n v="1640.38"/>
    <n v="1213.0999999999999"/>
    <s v="Bank Transfer"/>
  </r>
  <r>
    <s v="ORD-01817"/>
    <x v="260"/>
    <x v="1"/>
    <s v="Texas"/>
    <s v="Austin"/>
    <s v="Taylor Smith"/>
    <x v="1"/>
    <x v="0"/>
    <s v="Printers"/>
    <s v="Color Printer"/>
    <n v="7"/>
    <n v="165.19"/>
    <n v="0.05"/>
    <n v="1098.51"/>
    <n v="763.21"/>
    <n v="335.3"/>
    <s v="Debit Card"/>
  </r>
  <r>
    <s v="ORD-02920"/>
    <x v="260"/>
    <x v="1"/>
    <s v="Virginia"/>
    <s v="Norfolk"/>
    <s v="Taylor Smith"/>
    <x v="1"/>
    <x v="1"/>
    <s v="Headsets"/>
    <s v="Noise-Canceling Headset"/>
    <n v="5"/>
    <n v="226.82"/>
    <n v="0.15"/>
    <n v="963.98"/>
    <n v="552.94000000000005"/>
    <n v="411.04"/>
    <s v="Debit Card"/>
  </r>
  <r>
    <s v="ORD-02378"/>
    <x v="260"/>
    <x v="0"/>
    <s v="Arizona"/>
    <s v="Phoenix"/>
    <s v="Drew Anderson"/>
    <x v="0"/>
    <x v="1"/>
    <s v="Keyboards"/>
    <s v="Wireless Keyboard"/>
    <n v="7"/>
    <n v="138.28"/>
    <n v="0.05"/>
    <n v="919.56"/>
    <n v="619.75"/>
    <n v="299.81"/>
    <s v="Bank Transfer"/>
  </r>
  <r>
    <s v="ORD-01543"/>
    <x v="260"/>
    <x v="0"/>
    <s v="Colorado"/>
    <s v="Colorado Springs"/>
    <s v="Cameron Clark"/>
    <x v="0"/>
    <x v="2"/>
    <s v="Bookcases"/>
    <s v="3-Shelf Bookcase"/>
    <n v="7"/>
    <n v="247.73"/>
    <n v="0"/>
    <n v="1734.11"/>
    <n v="1225.69"/>
    <n v="508.42"/>
    <s v="PayPal"/>
  </r>
  <r>
    <s v="ORD-00455"/>
    <x v="260"/>
    <x v="2"/>
    <s v="New Jersey"/>
    <s v="Trenton"/>
    <s v="Avery Johnson"/>
    <x v="1"/>
    <x v="1"/>
    <s v="Headsets"/>
    <s v="Noise-Canceling Headset"/>
    <n v="5"/>
    <n v="176.83"/>
    <n v="0"/>
    <n v="884.15"/>
    <n v="526.61"/>
    <n v="357.54"/>
    <s v="PayPal"/>
  </r>
  <r>
    <s v="ORD-00080"/>
    <x v="260"/>
    <x v="0"/>
    <s v="Arizona"/>
    <s v="Tucson"/>
    <s v="Alex Morgan"/>
    <x v="0"/>
    <x v="0"/>
    <s v="Pens"/>
    <s v="Gel Pens"/>
    <n v="9"/>
    <n v="23.74"/>
    <n v="0.15"/>
    <n v="181.61"/>
    <n v="143.03"/>
    <n v="38.58"/>
    <s v="Debit Card"/>
  </r>
  <r>
    <s v="ORD-01087"/>
    <x v="260"/>
    <x v="2"/>
    <s v="New Jersey"/>
    <s v="Jersey City"/>
    <s v="Jordan Lee"/>
    <x v="1"/>
    <x v="0"/>
    <s v="Paper"/>
    <s v="Copy Paper"/>
    <n v="7"/>
    <n v="31.48"/>
    <n v="0"/>
    <n v="220.36"/>
    <n v="131.68"/>
    <n v="88.68"/>
    <s v="Bank Transfer"/>
  </r>
  <r>
    <s v="ORD-00451"/>
    <x v="260"/>
    <x v="1"/>
    <s v="Florida"/>
    <s v="Tampa"/>
    <s v="Drew Anderson"/>
    <x v="2"/>
    <x v="0"/>
    <s v="Printers"/>
    <s v="Color Printer"/>
    <n v="7"/>
    <n v="186.91"/>
    <n v="0.05"/>
    <n v="1242.95"/>
    <n v="789.89"/>
    <n v="453.06"/>
    <s v="Bank Transfer"/>
  </r>
  <r>
    <s v="ORD-00738"/>
    <x v="261"/>
    <x v="2"/>
    <s v="Vermont"/>
    <s v="Montpelier"/>
    <s v="Cameron Clark"/>
    <x v="1"/>
    <x v="2"/>
    <s v="Bookcases"/>
    <s v="5-Shelf Bookcase"/>
    <n v="1"/>
    <n v="435.45"/>
    <n v="0.15"/>
    <n v="370.13"/>
    <n v="218.72"/>
    <n v="151.41"/>
    <s v="Debit Card"/>
  </r>
  <r>
    <s v="ORD-01841"/>
    <x v="261"/>
    <x v="1"/>
    <s v="Texas"/>
    <s v="Houston"/>
    <s v="Taylor Smith"/>
    <x v="1"/>
    <x v="0"/>
    <s v="Pens"/>
    <s v="Ballpoint Pens"/>
    <n v="6"/>
    <n v="8.58"/>
    <n v="0.05"/>
    <n v="48.91"/>
    <n v="31.83"/>
    <n v="17.079999999999998"/>
    <s v="Credit Card"/>
  </r>
  <r>
    <s v="ORD-00447"/>
    <x v="261"/>
    <x v="3"/>
    <s v="Ohio"/>
    <s v="Cleveland"/>
    <s v="Avery Johnson"/>
    <x v="1"/>
    <x v="1"/>
    <s v="Headsets"/>
    <s v="USB Headset"/>
    <n v="6"/>
    <n v="168.71"/>
    <n v="0.1"/>
    <n v="911.03"/>
    <n v="560.73"/>
    <n v="350.3"/>
    <s v="Bank Transfer"/>
  </r>
  <r>
    <s v="ORD-01498"/>
    <x v="261"/>
    <x v="0"/>
    <s v="Oregon"/>
    <s v="Salem"/>
    <s v="Jamie Miller"/>
    <x v="1"/>
    <x v="0"/>
    <s v="Pens"/>
    <s v="Ballpoint Pens"/>
    <n v="1"/>
    <n v="24.38"/>
    <n v="0.05"/>
    <n v="23.16"/>
    <n v="15.35"/>
    <n v="7.81"/>
    <s v="Debit Card"/>
  </r>
  <r>
    <s v="ORD-01471"/>
    <x v="261"/>
    <x v="2"/>
    <s v="Pennsylvania"/>
    <s v="Pittsburgh"/>
    <s v="Drew Anderson"/>
    <x v="2"/>
    <x v="1"/>
    <s v="Keyboards"/>
    <s v="Wireless Keyboard"/>
    <n v="5"/>
    <n v="44.13"/>
    <n v="0.05"/>
    <n v="209.62"/>
    <n v="117.77"/>
    <n v="91.85"/>
    <s v="Bank Transfer"/>
  </r>
  <r>
    <s v="ORD-02439"/>
    <x v="261"/>
    <x v="3"/>
    <s v="Michigan"/>
    <s v="Lansing"/>
    <s v="Jamie Miller"/>
    <x v="1"/>
    <x v="1"/>
    <s v="Keyboards"/>
    <s v="Mechanical Keyboard"/>
    <n v="2"/>
    <n v="78.3"/>
    <n v="0.15"/>
    <n v="133.11000000000001"/>
    <n v="75.959999999999994"/>
    <n v="57.15"/>
    <s v="PayPal"/>
  </r>
  <r>
    <s v="ORD-01422"/>
    <x v="261"/>
    <x v="2"/>
    <s v="Massachusetts"/>
    <s v="Springfield"/>
    <s v="Riley Wilson"/>
    <x v="0"/>
    <x v="0"/>
    <s v="Binders"/>
    <s v="Presentation Binder"/>
    <n v="6"/>
    <n v="26.18"/>
    <n v="0.1"/>
    <n v="141.37"/>
    <n v="95.73"/>
    <n v="45.64"/>
    <s v="Credit Card"/>
  </r>
  <r>
    <s v="ORD-02032"/>
    <x v="261"/>
    <x v="2"/>
    <s v="New Jersey"/>
    <s v="Trenton"/>
    <s v="Riley Wilson"/>
    <x v="0"/>
    <x v="0"/>
    <s v="Pens"/>
    <s v="Ballpoint Pens"/>
    <n v="9"/>
    <n v="11.52"/>
    <n v="0"/>
    <n v="103.68"/>
    <n v="67.95"/>
    <n v="35.729999999999997"/>
    <s v="Credit Card"/>
  </r>
  <r>
    <s v="ORD-02885"/>
    <x v="261"/>
    <x v="0"/>
    <s v="Arizona"/>
    <s v="Mesa"/>
    <s v="Jamie Miller"/>
    <x v="0"/>
    <x v="2"/>
    <s v="Tables"/>
    <s v="Side Table"/>
    <n v="4"/>
    <n v="668.39"/>
    <n v="0.1"/>
    <n v="2406.1999999999998"/>
    <n v="1581.73"/>
    <n v="824.47"/>
    <s v="Bank Transfer"/>
  </r>
  <r>
    <s v="ORD-00524"/>
    <x v="261"/>
    <x v="3"/>
    <s v="Ohio"/>
    <s v="Cleveland"/>
    <s v="Casey Brown"/>
    <x v="0"/>
    <x v="0"/>
    <s v="Paper"/>
    <s v="Recycled Paper"/>
    <n v="8"/>
    <n v="15.59"/>
    <n v="0.1"/>
    <n v="112.25"/>
    <n v="88.85"/>
    <n v="23.4"/>
    <s v="PayPal"/>
  </r>
  <r>
    <s v="ORD-00038"/>
    <x v="261"/>
    <x v="2"/>
    <s v="New Jersey"/>
    <s v="Jersey City"/>
    <s v="Jamie Miller"/>
    <x v="2"/>
    <x v="2"/>
    <s v="Bookcases"/>
    <s v="5-Shelf Bookcase"/>
    <n v="3"/>
    <n v="316.98"/>
    <n v="0"/>
    <n v="950.94"/>
    <n v="585.1"/>
    <n v="365.84"/>
    <s v="PayPal"/>
  </r>
  <r>
    <s v="ORD-02325"/>
    <x v="261"/>
    <x v="3"/>
    <s v="Minnesota"/>
    <s v="Rochester"/>
    <s v="Taylor Smith"/>
    <x v="0"/>
    <x v="2"/>
    <s v="Bookcases"/>
    <s v="3-Shelf Bookcase"/>
    <n v="4"/>
    <n v="460.37"/>
    <n v="0.05"/>
    <n v="1749.41"/>
    <n v="1176.98"/>
    <n v="572.42999999999995"/>
    <s v="Credit Card"/>
  </r>
  <r>
    <s v="ORD-02139"/>
    <x v="261"/>
    <x v="1"/>
    <s v="Virginia"/>
    <s v="Arlington"/>
    <s v="Jordan Lee"/>
    <x v="0"/>
    <x v="0"/>
    <s v="Pens"/>
    <s v="Fine Tip Pens"/>
    <n v="3"/>
    <n v="22.87"/>
    <n v="0"/>
    <n v="68.61"/>
    <n v="56.19"/>
    <n v="12.42"/>
    <s v="Debit Card"/>
  </r>
  <r>
    <s v="ORD-02091"/>
    <x v="262"/>
    <x v="1"/>
    <s v="Texas"/>
    <s v="Dallas"/>
    <s v="Casey Brown"/>
    <x v="2"/>
    <x v="0"/>
    <s v="Pens"/>
    <s v="Ballpoint Pens"/>
    <n v="6"/>
    <n v="19.29"/>
    <n v="0"/>
    <n v="115.74"/>
    <n v="63.85"/>
    <n v="51.89"/>
    <s v="Debit Card"/>
  </r>
  <r>
    <s v="ORD-02908"/>
    <x v="262"/>
    <x v="2"/>
    <s v="Pennsylvania"/>
    <s v="Allentown"/>
    <s v="Jamie Miller"/>
    <x v="2"/>
    <x v="1"/>
    <s v="Monitors"/>
    <s v="24in Monitor"/>
    <n v="3"/>
    <n v="309.64"/>
    <n v="0.05"/>
    <n v="882.47"/>
    <n v="496.07"/>
    <n v="386.4"/>
    <s v="PayPal"/>
  </r>
  <r>
    <s v="ORD-02264"/>
    <x v="262"/>
    <x v="1"/>
    <s v="Texas"/>
    <s v="Austin"/>
    <s v="Drew Anderson"/>
    <x v="0"/>
    <x v="1"/>
    <s v="Laptops"/>
    <s v="Business Laptop"/>
    <n v="2"/>
    <n v="1384.08"/>
    <n v="0"/>
    <n v="2768.16"/>
    <n v="1694.18"/>
    <n v="1073.98"/>
    <s v="Bank Transfer"/>
  </r>
  <r>
    <s v="ORD-00299"/>
    <x v="262"/>
    <x v="2"/>
    <s v="Massachusetts"/>
    <s v="Boston"/>
    <s v="Drew Anderson"/>
    <x v="0"/>
    <x v="1"/>
    <s v="Monitors"/>
    <s v="24in Monitor"/>
    <n v="9"/>
    <n v="576.1"/>
    <n v="0.1"/>
    <n v="4666.41"/>
    <n v="3766.16"/>
    <n v="900.25"/>
    <s v="Bank Transfer"/>
  </r>
  <r>
    <s v="ORD-00308"/>
    <x v="262"/>
    <x v="1"/>
    <s v="North Carolina"/>
    <s v="Raleigh"/>
    <s v="Cameron Clark"/>
    <x v="1"/>
    <x v="1"/>
    <s v="Headsets"/>
    <s v="Noise-Canceling Headset"/>
    <n v="7"/>
    <n v="49.86"/>
    <n v="0"/>
    <n v="349.02"/>
    <n v="225.9"/>
    <n v="123.12"/>
    <s v="Credit Card"/>
  </r>
  <r>
    <s v="ORD-00202"/>
    <x v="262"/>
    <x v="0"/>
    <s v="Colorado"/>
    <s v="Denver"/>
    <s v="Casey Brown"/>
    <x v="1"/>
    <x v="1"/>
    <s v="Headsets"/>
    <s v="Wireless Headset"/>
    <n v="10"/>
    <n v="211.07"/>
    <n v="0"/>
    <n v="2110.6999999999998"/>
    <n v="1173.8900000000001"/>
    <n v="936.81"/>
    <s v="Credit Card"/>
  </r>
  <r>
    <s v="ORD-01322"/>
    <x v="262"/>
    <x v="3"/>
    <s v="Michigan"/>
    <s v="Grand Rapids"/>
    <s v="Drew Anderson"/>
    <x v="2"/>
    <x v="2"/>
    <s v="Desks"/>
    <s v="Executive Desk"/>
    <n v="4"/>
    <n v="241.59"/>
    <n v="0.1"/>
    <n v="869.72"/>
    <n v="573.38"/>
    <n v="296.33999999999997"/>
    <s v="Debit Card"/>
  </r>
  <r>
    <s v="ORD-00768"/>
    <x v="262"/>
    <x v="0"/>
    <s v="California"/>
    <s v="San Diego"/>
    <s v="Morgan Davis"/>
    <x v="0"/>
    <x v="0"/>
    <s v="Binders"/>
    <s v="Presentation Binder"/>
    <n v="2"/>
    <n v="6.34"/>
    <n v="0.05"/>
    <n v="12.05"/>
    <n v="8.0299999999999994"/>
    <n v="4.0199999999999996"/>
    <s v="PayPal"/>
  </r>
  <r>
    <s v="ORD-00668"/>
    <x v="262"/>
    <x v="0"/>
    <s v="Colorado"/>
    <s v="Boulder"/>
    <s v="Avery Johnson"/>
    <x v="2"/>
    <x v="1"/>
    <s v="Monitors"/>
    <s v="27in Monitor"/>
    <n v="4"/>
    <n v="151.91"/>
    <n v="0"/>
    <n v="607.64"/>
    <n v="485.27"/>
    <n v="122.37"/>
    <s v="Debit Card"/>
  </r>
  <r>
    <s v="ORD-00043"/>
    <x v="262"/>
    <x v="1"/>
    <s v="Florida"/>
    <s v="Tampa"/>
    <s v="Jordan Lee"/>
    <x v="2"/>
    <x v="0"/>
    <s v="Printers"/>
    <s v="Color Printer"/>
    <n v="5"/>
    <n v="537.52"/>
    <n v="0.15"/>
    <n v="2284.46"/>
    <n v="1477.91"/>
    <n v="806.55"/>
    <s v="Bank Transfer"/>
  </r>
  <r>
    <s v="ORD-00756"/>
    <x v="262"/>
    <x v="1"/>
    <s v="Virginia"/>
    <s v="Arlington"/>
    <s v="Riley Wilson"/>
    <x v="0"/>
    <x v="0"/>
    <s v="Printers"/>
    <s v="Color Printer"/>
    <n v="8"/>
    <n v="180.53"/>
    <n v="0.1"/>
    <n v="1299.82"/>
    <n v="996.69"/>
    <n v="303.13"/>
    <s v="Credit Card"/>
  </r>
  <r>
    <s v="ORD-00016"/>
    <x v="262"/>
    <x v="2"/>
    <s v="Vermont"/>
    <s v="Montpelier"/>
    <s v="Taylor Smith"/>
    <x v="0"/>
    <x v="2"/>
    <s v="Bookcases"/>
    <s v="3-Shelf Bookcase"/>
    <n v="7"/>
    <n v="196.48"/>
    <n v="0"/>
    <n v="1375.36"/>
    <n v="1086.42"/>
    <n v="288.94"/>
    <s v="Debit Card"/>
  </r>
  <r>
    <s v="ORD-00256"/>
    <x v="263"/>
    <x v="3"/>
    <s v="Indiana"/>
    <s v="Indianapolis"/>
    <s v="Drew Anderson"/>
    <x v="2"/>
    <x v="2"/>
    <s v="Chairs"/>
    <s v="Ergonomic Chair"/>
    <n v="3"/>
    <n v="305"/>
    <n v="0.1"/>
    <n v="823.5"/>
    <n v="563.13"/>
    <n v="260.37"/>
    <s v="Credit Card"/>
  </r>
  <r>
    <s v="ORD-01153"/>
    <x v="263"/>
    <x v="0"/>
    <s v="Colorado"/>
    <s v="Boulder"/>
    <s v="Jamie Miller"/>
    <x v="0"/>
    <x v="2"/>
    <s v="Tables"/>
    <s v="Side Table"/>
    <n v="5"/>
    <n v="433.77"/>
    <n v="0.05"/>
    <n v="2060.41"/>
    <n v="1557.83"/>
    <n v="502.58"/>
    <s v="Bank Transfer"/>
  </r>
  <r>
    <s v="ORD-00138"/>
    <x v="263"/>
    <x v="2"/>
    <s v="New York"/>
    <s v="Rochester"/>
    <s v="Casey Brown"/>
    <x v="2"/>
    <x v="2"/>
    <s v="Tables"/>
    <s v="Side Table"/>
    <n v="2"/>
    <n v="228.24"/>
    <n v="0.1"/>
    <n v="410.83"/>
    <n v="273.79000000000002"/>
    <n v="137.04"/>
    <s v="Bank Transfer"/>
  </r>
  <r>
    <s v="ORD-02731"/>
    <x v="263"/>
    <x v="3"/>
    <s v="Michigan"/>
    <s v="Detroit"/>
    <s v="Casey Brown"/>
    <x v="2"/>
    <x v="2"/>
    <s v="Tables"/>
    <s v="Conference Table"/>
    <n v="8"/>
    <n v="521.04999999999995"/>
    <n v="0"/>
    <n v="4168.3999999999996"/>
    <n v="3307.14"/>
    <n v="861.26"/>
    <s v="Credit Card"/>
  </r>
  <r>
    <s v="ORD-02000"/>
    <x v="263"/>
    <x v="2"/>
    <s v="Vermont"/>
    <s v="Rutland"/>
    <s v="Avery Johnson"/>
    <x v="0"/>
    <x v="0"/>
    <s v="Binders"/>
    <s v="Presentation Binder"/>
    <n v="6"/>
    <n v="10.77"/>
    <n v="0.1"/>
    <n v="58.16"/>
    <n v="44.44"/>
    <n v="13.72"/>
    <s v="Credit Card"/>
  </r>
  <r>
    <s v="ORD-02145"/>
    <x v="263"/>
    <x v="2"/>
    <s v="Vermont"/>
    <s v="Montpelier"/>
    <s v="Cameron Clark"/>
    <x v="0"/>
    <x v="0"/>
    <s v="Paper"/>
    <s v="Copy Paper"/>
    <n v="2"/>
    <n v="30.88"/>
    <n v="0"/>
    <n v="61.76"/>
    <n v="47.65"/>
    <n v="14.11"/>
    <s v="Debit Card"/>
  </r>
  <r>
    <s v="ORD-00525"/>
    <x v="263"/>
    <x v="1"/>
    <s v="Georgia"/>
    <s v="Savannah"/>
    <s v="Jamie Miller"/>
    <x v="0"/>
    <x v="1"/>
    <s v="Monitors"/>
    <s v="24in Monitor"/>
    <n v="4"/>
    <n v="544.01"/>
    <n v="0.1"/>
    <n v="1958.44"/>
    <n v="1332.45"/>
    <n v="625.99"/>
    <s v="Credit Card"/>
  </r>
  <r>
    <s v="ORD-02286"/>
    <x v="263"/>
    <x v="0"/>
    <s v="Arizona"/>
    <s v="Tucson"/>
    <s v="Riley Wilson"/>
    <x v="0"/>
    <x v="1"/>
    <s v="Monitors"/>
    <s v="24in Monitor"/>
    <n v="1"/>
    <n v="259.64999999999998"/>
    <n v="0.05"/>
    <n v="246.67"/>
    <n v="137.87"/>
    <n v="108.8"/>
    <s v="Debit Card"/>
  </r>
  <r>
    <s v="ORD-00271"/>
    <x v="263"/>
    <x v="1"/>
    <s v="Georgia"/>
    <s v="Savannah"/>
    <s v="Morgan Davis"/>
    <x v="0"/>
    <x v="0"/>
    <s v="Printers"/>
    <s v="Laser Printer"/>
    <n v="3"/>
    <n v="159.07"/>
    <n v="0.2"/>
    <n v="381.77"/>
    <n v="259.07"/>
    <n v="122.7"/>
    <s v="Credit Card"/>
  </r>
  <r>
    <s v="ORD-00010"/>
    <x v="263"/>
    <x v="1"/>
    <s v="North Carolina"/>
    <s v="Charlotte"/>
    <s v="Alex Morgan"/>
    <x v="2"/>
    <x v="1"/>
    <s v="Monitors"/>
    <s v="24in Monitor"/>
    <n v="2"/>
    <n v="348.58"/>
    <n v="0.1"/>
    <n v="627.44000000000005"/>
    <n v="367.87"/>
    <n v="259.57"/>
    <s v="Debit Card"/>
  </r>
  <r>
    <s v="ORD-00219"/>
    <x v="264"/>
    <x v="0"/>
    <s v="Colorado"/>
    <s v="Colorado Springs"/>
    <s v="Riley Wilson"/>
    <x v="1"/>
    <x v="1"/>
    <s v="Laptops"/>
    <s v="Business Laptop"/>
    <n v="7"/>
    <n v="1360.36"/>
    <n v="0.05"/>
    <n v="9046.39"/>
    <n v="6516.04"/>
    <n v="2530.35"/>
    <s v="PayPal"/>
  </r>
  <r>
    <s v="ORD-00918"/>
    <x v="264"/>
    <x v="0"/>
    <s v="Colorado"/>
    <s v="Denver"/>
    <s v="Cameron Clark"/>
    <x v="0"/>
    <x v="0"/>
    <s v="Pens"/>
    <s v="Fine Tip Pens"/>
    <n v="8"/>
    <n v="17.73"/>
    <n v="0.05"/>
    <n v="134.75"/>
    <n v="89.59"/>
    <n v="45.16"/>
    <s v="Credit Card"/>
  </r>
  <r>
    <s v="ORD-01697"/>
    <x v="264"/>
    <x v="2"/>
    <s v="New York"/>
    <s v="Buffalo"/>
    <s v="Alex Morgan"/>
    <x v="0"/>
    <x v="0"/>
    <s v="Pens"/>
    <s v="Fine Tip Pens"/>
    <n v="6"/>
    <n v="20.04"/>
    <n v="0"/>
    <n v="120.24"/>
    <n v="85.21"/>
    <n v="35.03"/>
    <s v="Debit Card"/>
  </r>
  <r>
    <s v="ORD-01433"/>
    <x v="264"/>
    <x v="1"/>
    <s v="North Carolina"/>
    <s v="Durham"/>
    <s v="Avery Johnson"/>
    <x v="1"/>
    <x v="1"/>
    <s v="Monitors"/>
    <s v="34in Monitor"/>
    <n v="7"/>
    <n v="515.28"/>
    <n v="0.05"/>
    <n v="3426.61"/>
    <n v="2078.84"/>
    <n v="1347.77"/>
    <s v="PayPal"/>
  </r>
  <r>
    <s v="ORD-01812"/>
    <x v="264"/>
    <x v="2"/>
    <s v="Massachusetts"/>
    <s v="Worcester"/>
    <s v="Cameron Clark"/>
    <x v="0"/>
    <x v="2"/>
    <s v="Desks"/>
    <s v="Work Desk"/>
    <n v="8"/>
    <n v="530.74"/>
    <n v="0"/>
    <n v="4245.92"/>
    <n v="2873.38"/>
    <n v="1372.54"/>
    <s v="Debit Card"/>
  </r>
  <r>
    <s v="ORD-00094"/>
    <x v="264"/>
    <x v="1"/>
    <s v="Texas"/>
    <s v="Austin"/>
    <s v="Morgan Davis"/>
    <x v="1"/>
    <x v="1"/>
    <s v="Keyboards"/>
    <s v="Ergonomic Keyboard"/>
    <n v="3"/>
    <n v="165.73"/>
    <n v="0"/>
    <n v="497.19"/>
    <n v="275.12"/>
    <n v="222.07"/>
    <s v="Debit Card"/>
  </r>
  <r>
    <s v="ORD-02593"/>
    <x v="265"/>
    <x v="3"/>
    <s v="Ohio"/>
    <s v="Cincinnati"/>
    <s v="Taylor Smith"/>
    <x v="0"/>
    <x v="1"/>
    <s v="Laptops"/>
    <s v="Business Laptop"/>
    <n v="7"/>
    <n v="877.58"/>
    <n v="0"/>
    <n v="6143.06"/>
    <n v="3595.14"/>
    <n v="2547.92"/>
    <s v="Credit Card"/>
  </r>
  <r>
    <s v="ORD-02054"/>
    <x v="265"/>
    <x v="0"/>
    <s v="Arizona"/>
    <s v="Tucson"/>
    <s v="Taylor Smith"/>
    <x v="0"/>
    <x v="1"/>
    <s v="Keyboards"/>
    <s v="Wireless Keyboard"/>
    <n v="4"/>
    <n v="145.63"/>
    <n v="0.05"/>
    <n v="553.39"/>
    <n v="373.27"/>
    <n v="180.12"/>
    <s v="PayPal"/>
  </r>
  <r>
    <s v="ORD-01316"/>
    <x v="265"/>
    <x v="0"/>
    <s v="Oregon"/>
    <s v="Eugene"/>
    <s v="Casey Brown"/>
    <x v="2"/>
    <x v="2"/>
    <s v="Desks"/>
    <s v="Executive Desk"/>
    <n v="2"/>
    <n v="596.28"/>
    <n v="0.1"/>
    <n v="1073.3"/>
    <n v="626.83000000000004"/>
    <n v="446.47"/>
    <s v="PayPal"/>
  </r>
  <r>
    <s v="ORD-00936"/>
    <x v="265"/>
    <x v="2"/>
    <s v="Vermont"/>
    <s v="Montpelier"/>
    <s v="Jamie Miller"/>
    <x v="0"/>
    <x v="2"/>
    <s v="Tables"/>
    <s v="Side Table"/>
    <n v="5"/>
    <n v="406.44"/>
    <n v="0.2"/>
    <n v="1625.76"/>
    <n v="1271.04"/>
    <n v="354.72"/>
    <s v="Credit Card"/>
  </r>
  <r>
    <s v="ORD-01081"/>
    <x v="266"/>
    <x v="3"/>
    <s v="Ohio"/>
    <s v="Cleveland"/>
    <s v="Morgan Davis"/>
    <x v="1"/>
    <x v="2"/>
    <s v="Chairs"/>
    <s v="Ergonomic Chair"/>
    <n v="6"/>
    <n v="664.56"/>
    <n v="0.1"/>
    <n v="3588.62"/>
    <n v="2746.39"/>
    <n v="842.23"/>
    <s v="Credit Card"/>
  </r>
  <r>
    <s v="ORD-00815"/>
    <x v="266"/>
    <x v="0"/>
    <s v="Oregon"/>
    <s v="Portland"/>
    <s v="Jamie Miller"/>
    <x v="2"/>
    <x v="1"/>
    <s v="Headsets"/>
    <s v="USB Headset"/>
    <n v="8"/>
    <n v="93.11"/>
    <n v="0.15"/>
    <n v="633.15"/>
    <n v="357.03"/>
    <n v="276.12"/>
    <s v="PayPal"/>
  </r>
  <r>
    <s v="ORD-02610"/>
    <x v="266"/>
    <x v="0"/>
    <s v="Oregon"/>
    <s v="Portland"/>
    <s v="Jamie Miller"/>
    <x v="2"/>
    <x v="1"/>
    <s v="Headsets"/>
    <s v="Wireless Headset"/>
    <n v="2"/>
    <n v="85.69"/>
    <n v="0.15"/>
    <n v="145.66999999999999"/>
    <n v="89.92"/>
    <n v="55.75"/>
    <s v="Bank Transfer"/>
  </r>
  <r>
    <s v="ORD-01486"/>
    <x v="266"/>
    <x v="3"/>
    <s v="Minnesota"/>
    <s v="St. Paul"/>
    <s v="Jamie Miller"/>
    <x v="2"/>
    <x v="1"/>
    <s v="Laptops"/>
    <s v="Ultrabook"/>
    <n v="7"/>
    <n v="749.47"/>
    <n v="0.1"/>
    <n v="4721.66"/>
    <n v="3549.23"/>
    <n v="1172.43"/>
    <s v="PayPal"/>
  </r>
  <r>
    <s v="ORD-02548"/>
    <x v="266"/>
    <x v="3"/>
    <s v="Minnesota"/>
    <s v="Rochester"/>
    <s v="Cameron Clark"/>
    <x v="2"/>
    <x v="0"/>
    <s v="Printers"/>
    <s v="Color Printer"/>
    <n v="2"/>
    <n v="267.89999999999998"/>
    <n v="0.15"/>
    <n v="455.43"/>
    <n v="356.59"/>
    <n v="98.84"/>
    <s v="Debit Card"/>
  </r>
  <r>
    <s v="ORD-01575"/>
    <x v="267"/>
    <x v="0"/>
    <s v="Washington"/>
    <s v="Tacoma"/>
    <s v="Avery Johnson"/>
    <x v="0"/>
    <x v="2"/>
    <s v="Desks"/>
    <s v="Standing Desk"/>
    <n v="3"/>
    <n v="705.41"/>
    <n v="0.05"/>
    <n v="2010.42"/>
    <n v="1348.5"/>
    <n v="661.92"/>
    <s v="Bank Transfer"/>
  </r>
  <r>
    <s v="ORD-00800"/>
    <x v="267"/>
    <x v="3"/>
    <s v="Minnesota"/>
    <s v="St. Paul"/>
    <s v="Jamie Miller"/>
    <x v="0"/>
    <x v="0"/>
    <s v="Binders"/>
    <s v="Presentation Binder"/>
    <n v="7"/>
    <n v="6.61"/>
    <n v="0.1"/>
    <n v="41.64"/>
    <n v="33.799999999999997"/>
    <n v="7.84"/>
    <s v="PayPal"/>
  </r>
  <r>
    <s v="ORD-00699"/>
    <x v="267"/>
    <x v="1"/>
    <s v="Florida"/>
    <s v="Tampa"/>
    <s v="Riley Wilson"/>
    <x v="0"/>
    <x v="0"/>
    <s v="Printers"/>
    <s v="Laser Printer"/>
    <n v="10"/>
    <n v="159.51"/>
    <n v="0"/>
    <n v="1595.1"/>
    <n v="986.24"/>
    <n v="608.86"/>
    <s v="Credit Card"/>
  </r>
  <r>
    <s v="ORD-01950"/>
    <x v="267"/>
    <x v="3"/>
    <s v="Illinois"/>
    <s v="Springfield"/>
    <s v="Taylor Smith"/>
    <x v="0"/>
    <x v="1"/>
    <s v="Laptops"/>
    <s v="Business Laptop"/>
    <n v="6"/>
    <n v="1670.21"/>
    <n v="0.2"/>
    <n v="8017.01"/>
    <n v="5793.94"/>
    <n v="2223.0700000000002"/>
    <s v="Bank Transfer"/>
  </r>
  <r>
    <s v="ORD-02248"/>
    <x v="267"/>
    <x v="3"/>
    <s v="Michigan"/>
    <s v="Lansing"/>
    <s v="Jamie Miller"/>
    <x v="0"/>
    <x v="2"/>
    <s v="Bookcases"/>
    <s v="3-Shelf Bookcase"/>
    <n v="3"/>
    <n v="343.46"/>
    <n v="0.1"/>
    <n v="927.34"/>
    <n v="615.80999999999995"/>
    <n v="311.52999999999997"/>
    <s v="Credit Card"/>
  </r>
  <r>
    <s v="ORD-02190"/>
    <x v="267"/>
    <x v="3"/>
    <s v="Minnesota"/>
    <s v="St. Paul"/>
    <s v="Avery Johnson"/>
    <x v="0"/>
    <x v="0"/>
    <s v="Printers"/>
    <s v="Color Printer"/>
    <n v="10"/>
    <n v="408.79"/>
    <n v="0.15"/>
    <n v="3474.72"/>
    <n v="2279.36"/>
    <n v="1195.3599999999999"/>
    <s v="Credit Card"/>
  </r>
  <r>
    <s v="ORD-00365"/>
    <x v="268"/>
    <x v="3"/>
    <s v="Minnesota"/>
    <s v="Rochester"/>
    <s v="Jordan Lee"/>
    <x v="0"/>
    <x v="2"/>
    <s v="Bookcases"/>
    <s v="3-Shelf Bookcase"/>
    <n v="8"/>
    <n v="255.56"/>
    <n v="0.05"/>
    <n v="1942.26"/>
    <n v="1372.15"/>
    <n v="570.11"/>
    <s v="Bank Transfer"/>
  </r>
  <r>
    <s v="ORD-00985"/>
    <x v="268"/>
    <x v="0"/>
    <s v="Washington"/>
    <s v="Tacoma"/>
    <s v="Drew Anderson"/>
    <x v="2"/>
    <x v="0"/>
    <s v="Paper"/>
    <s v="Premium Paper"/>
    <n v="5"/>
    <n v="8.16"/>
    <n v="0.1"/>
    <n v="36.72"/>
    <n v="25.66"/>
    <n v="11.06"/>
    <s v="PayPal"/>
  </r>
  <r>
    <s v="ORD-01587"/>
    <x v="268"/>
    <x v="2"/>
    <s v="New Jersey"/>
    <s v="Newark"/>
    <s v="Drew Anderson"/>
    <x v="0"/>
    <x v="1"/>
    <s v="Keyboards"/>
    <s v="Ergonomic Keyboard"/>
    <n v="10"/>
    <n v="30.54"/>
    <n v="0"/>
    <n v="305.39999999999998"/>
    <n v="205.03"/>
    <n v="100.37"/>
    <s v="PayPal"/>
  </r>
  <r>
    <s v="ORD-01797"/>
    <x v="269"/>
    <x v="3"/>
    <s v="Ohio"/>
    <s v="Cleveland"/>
    <s v="Casey Brown"/>
    <x v="2"/>
    <x v="0"/>
    <s v="Binders"/>
    <s v="Presentation Binder"/>
    <n v="4"/>
    <n v="28.36"/>
    <n v="0.1"/>
    <n v="102.1"/>
    <n v="78"/>
    <n v="24.1"/>
    <s v="Bank Transfer"/>
  </r>
  <r>
    <s v="ORD-02895"/>
    <x v="269"/>
    <x v="3"/>
    <s v="Minnesota"/>
    <s v="St. Paul"/>
    <s v="Cameron Clark"/>
    <x v="2"/>
    <x v="2"/>
    <s v="Bookcases"/>
    <s v="5-Shelf Bookcase"/>
    <n v="9"/>
    <n v="489.61"/>
    <n v="0"/>
    <n v="4406.49"/>
    <n v="2768.27"/>
    <n v="1638.22"/>
    <s v="Credit Card"/>
  </r>
  <r>
    <s v="ORD-01620"/>
    <x v="269"/>
    <x v="2"/>
    <s v="Vermont"/>
    <s v="Montpelier"/>
    <s v="Casey Brown"/>
    <x v="2"/>
    <x v="0"/>
    <s v="Printers"/>
    <s v="All-in-One Printer"/>
    <n v="5"/>
    <n v="486.45"/>
    <n v="0.05"/>
    <n v="2310.64"/>
    <n v="1747.68"/>
    <n v="562.96"/>
    <s v="PayPal"/>
  </r>
  <r>
    <s v="ORD-01378"/>
    <x v="269"/>
    <x v="2"/>
    <s v="Vermont"/>
    <s v="Burlington"/>
    <s v="Drew Anderson"/>
    <x v="0"/>
    <x v="1"/>
    <s v="Monitors"/>
    <s v="24in Monitor"/>
    <n v="6"/>
    <n v="222.07"/>
    <n v="0.1"/>
    <n v="1199.18"/>
    <n v="666.18"/>
    <n v="533"/>
    <s v="Bank Transfer"/>
  </r>
  <r>
    <s v="ORD-00846"/>
    <x v="269"/>
    <x v="2"/>
    <s v="Vermont"/>
    <s v="Rutland"/>
    <s v="Riley Wilson"/>
    <x v="0"/>
    <x v="1"/>
    <s v="Keyboards"/>
    <s v="Wireless Keyboard"/>
    <n v="4"/>
    <n v="36.5"/>
    <n v="0.1"/>
    <n v="131.4"/>
    <n v="105.48"/>
    <n v="25.92"/>
    <s v="Credit Card"/>
  </r>
  <r>
    <s v="ORD-02689"/>
    <x v="269"/>
    <x v="2"/>
    <s v="New York"/>
    <s v="New York City"/>
    <s v="Riley Wilson"/>
    <x v="1"/>
    <x v="2"/>
    <s v="Chairs"/>
    <s v="Ergonomic Chair"/>
    <n v="8"/>
    <n v="561.46"/>
    <n v="0"/>
    <n v="4491.68"/>
    <n v="2980.51"/>
    <n v="1511.17"/>
    <s v="Debit Card"/>
  </r>
  <r>
    <s v="ORD-01534"/>
    <x v="269"/>
    <x v="2"/>
    <s v="Massachusetts"/>
    <s v="Boston"/>
    <s v="Riley Wilson"/>
    <x v="0"/>
    <x v="0"/>
    <s v="Binders"/>
    <s v="Heavy-Duty Binder"/>
    <n v="4"/>
    <n v="15.2"/>
    <n v="0.1"/>
    <n v="54.72"/>
    <n v="32.299999999999997"/>
    <n v="22.42"/>
    <s v="Credit Card"/>
  </r>
  <r>
    <s v="ORD-02393"/>
    <x v="269"/>
    <x v="0"/>
    <s v="Arizona"/>
    <s v="Mesa"/>
    <s v="Cameron Clark"/>
    <x v="0"/>
    <x v="0"/>
    <s v="Printers"/>
    <s v="All-in-One Printer"/>
    <n v="8"/>
    <n v="490.72"/>
    <n v="0.1"/>
    <n v="3533.18"/>
    <n v="2256.29"/>
    <n v="1276.8900000000001"/>
    <s v="Bank Transfer"/>
  </r>
  <r>
    <s v="ORD-01364"/>
    <x v="269"/>
    <x v="1"/>
    <s v="Texas"/>
    <s v="Houston"/>
    <s v="Taylor Smith"/>
    <x v="0"/>
    <x v="1"/>
    <s v="Headsets"/>
    <s v="USB Headset"/>
    <n v="6"/>
    <n v="131.41"/>
    <n v="0"/>
    <n v="788.46"/>
    <n v="581.20000000000005"/>
    <n v="207.26"/>
    <s v="Bank Transfer"/>
  </r>
  <r>
    <s v="ORD-01531"/>
    <x v="269"/>
    <x v="1"/>
    <s v="North Carolina"/>
    <s v="Raleigh"/>
    <s v="Cameron Clark"/>
    <x v="1"/>
    <x v="1"/>
    <s v="Headsets"/>
    <s v="Noise-Canceling Headset"/>
    <n v="10"/>
    <n v="67.599999999999994"/>
    <n v="0.1"/>
    <n v="608.4"/>
    <n v="493.1"/>
    <n v="115.3"/>
    <s v="Bank Transfer"/>
  </r>
  <r>
    <s v="ORD-02212"/>
    <x v="269"/>
    <x v="3"/>
    <s v="Michigan"/>
    <s v="Detroit"/>
    <s v="Avery Johnson"/>
    <x v="0"/>
    <x v="0"/>
    <s v="Binders"/>
    <s v="3-Ring Binder"/>
    <n v="10"/>
    <n v="16.53"/>
    <n v="0.1"/>
    <n v="148.77000000000001"/>
    <n v="85.89"/>
    <n v="62.88"/>
    <s v="Bank Transfer"/>
  </r>
  <r>
    <s v="ORD-02570"/>
    <x v="270"/>
    <x v="2"/>
    <s v="Massachusetts"/>
    <s v="Springfield"/>
    <s v="Avery Johnson"/>
    <x v="0"/>
    <x v="0"/>
    <s v="Pens"/>
    <s v="Ballpoint Pens"/>
    <n v="2"/>
    <n v="21.41"/>
    <n v="0.05"/>
    <n v="40.68"/>
    <n v="29.52"/>
    <n v="11.16"/>
    <s v="Credit Card"/>
  </r>
  <r>
    <s v="ORD-02954"/>
    <x v="270"/>
    <x v="1"/>
    <s v="Florida"/>
    <s v="Tampa"/>
    <s v="Morgan Davis"/>
    <x v="2"/>
    <x v="1"/>
    <s v="Headsets"/>
    <s v="USB Headset"/>
    <n v="9"/>
    <n v="152.16"/>
    <n v="0.15"/>
    <n v="1164.02"/>
    <n v="761.8"/>
    <n v="402.22"/>
    <s v="Bank Transfer"/>
  </r>
  <r>
    <s v="ORD-01149"/>
    <x v="270"/>
    <x v="3"/>
    <s v="Illinois"/>
    <s v="Peoria"/>
    <s v="Drew Anderson"/>
    <x v="0"/>
    <x v="2"/>
    <s v="Desks"/>
    <s v="Work Desk"/>
    <n v="3"/>
    <n v="766.12"/>
    <n v="0.05"/>
    <n v="2183.44"/>
    <n v="1577.44"/>
    <n v="606"/>
    <s v="Bank Transfer"/>
  </r>
  <r>
    <s v="ORD-01262"/>
    <x v="270"/>
    <x v="3"/>
    <s v="Michigan"/>
    <s v="Grand Rapids"/>
    <s v="Casey Brown"/>
    <x v="2"/>
    <x v="0"/>
    <s v="Printers"/>
    <s v="All-in-One Printer"/>
    <n v="5"/>
    <n v="543.04999999999995"/>
    <n v="0.05"/>
    <n v="2579.4899999999998"/>
    <n v="1722.48"/>
    <n v="857.01"/>
    <s v="Bank Transfer"/>
  </r>
  <r>
    <s v="ORD-02092"/>
    <x v="270"/>
    <x v="0"/>
    <s v="California"/>
    <s v="Los Angeles"/>
    <s v="Cameron Clark"/>
    <x v="0"/>
    <x v="1"/>
    <s v="Headsets"/>
    <s v="USB Headset"/>
    <n v="1"/>
    <n v="152.13999999999999"/>
    <n v="0.05"/>
    <n v="144.53"/>
    <n v="102.76"/>
    <n v="41.77"/>
    <s v="Bank Transfer"/>
  </r>
  <r>
    <s v="ORD-01391"/>
    <x v="270"/>
    <x v="1"/>
    <s v="North Carolina"/>
    <s v="Durham"/>
    <s v="Riley Wilson"/>
    <x v="1"/>
    <x v="0"/>
    <s v="Pens"/>
    <s v="Fine Tip Pens"/>
    <n v="4"/>
    <n v="14.04"/>
    <n v="0.05"/>
    <n v="53.35"/>
    <n v="37.04"/>
    <n v="16.309999999999999"/>
    <s v="PayPal"/>
  </r>
  <r>
    <s v="ORD-02642"/>
    <x v="270"/>
    <x v="0"/>
    <s v="Arizona"/>
    <s v="Mesa"/>
    <s v="Casey Brown"/>
    <x v="0"/>
    <x v="1"/>
    <s v="Keyboards"/>
    <s v="Wireless Keyboard"/>
    <n v="8"/>
    <n v="106.83"/>
    <n v="0.05"/>
    <n v="811.91"/>
    <n v="633.69000000000005"/>
    <n v="178.22"/>
    <s v="Debit Card"/>
  </r>
  <r>
    <s v="ORD-02641"/>
    <x v="270"/>
    <x v="3"/>
    <s v="Michigan"/>
    <s v="Detroit"/>
    <s v="Cameron Clark"/>
    <x v="1"/>
    <x v="0"/>
    <s v="Printers"/>
    <s v="All-in-One Printer"/>
    <n v="3"/>
    <n v="213.58"/>
    <n v="0.1"/>
    <n v="576.66999999999996"/>
    <n v="326.75"/>
    <n v="249.92"/>
    <s v="Bank Transfer"/>
  </r>
  <r>
    <s v="ORD-02158"/>
    <x v="270"/>
    <x v="3"/>
    <s v="Ohio"/>
    <s v="Cincinnati"/>
    <s v="Taylor Smith"/>
    <x v="2"/>
    <x v="1"/>
    <s v="Headsets"/>
    <s v="Wireless Headset"/>
    <n v="8"/>
    <n v="231.92"/>
    <n v="0.05"/>
    <n v="1762.59"/>
    <n v="1147.27"/>
    <n v="615.32000000000005"/>
    <s v="Credit Card"/>
  </r>
  <r>
    <s v="ORD-02821"/>
    <x v="270"/>
    <x v="0"/>
    <s v="California"/>
    <s v="Los Angeles"/>
    <s v="Riley Wilson"/>
    <x v="0"/>
    <x v="2"/>
    <s v="Chairs"/>
    <s v="Task Chair"/>
    <n v="10"/>
    <n v="501.28"/>
    <n v="0"/>
    <n v="5012.8"/>
    <n v="3388.41"/>
    <n v="1624.39"/>
    <s v="Debit Card"/>
  </r>
  <r>
    <s v="ORD-02046"/>
    <x v="270"/>
    <x v="0"/>
    <s v="Arizona"/>
    <s v="Mesa"/>
    <s v="Riley Wilson"/>
    <x v="0"/>
    <x v="1"/>
    <s v="Headsets"/>
    <s v="Wireless Headset"/>
    <n v="6"/>
    <n v="239.06"/>
    <n v="0.15"/>
    <n v="1219.21"/>
    <n v="989.35"/>
    <n v="229.86"/>
    <s v="Bank Transfer"/>
  </r>
  <r>
    <s v="ORD-01359"/>
    <x v="270"/>
    <x v="0"/>
    <s v="Oregon"/>
    <s v="Portland"/>
    <s v="Avery Johnson"/>
    <x v="0"/>
    <x v="2"/>
    <s v="Desks"/>
    <s v="Work Desk"/>
    <n v="10"/>
    <n v="860.97"/>
    <n v="0.05"/>
    <n v="8179.22"/>
    <n v="4980.99"/>
    <n v="3198.23"/>
    <s v="Credit Card"/>
  </r>
  <r>
    <s v="ORD-01688"/>
    <x v="271"/>
    <x v="2"/>
    <s v="New Jersey"/>
    <s v="Trenton"/>
    <s v="Alex Morgan"/>
    <x v="0"/>
    <x v="1"/>
    <s v="Headsets"/>
    <s v="Wireless Headset"/>
    <n v="7"/>
    <n v="229.28"/>
    <n v="0"/>
    <n v="1604.96"/>
    <n v="1153"/>
    <n v="451.96"/>
    <s v="Debit Card"/>
  </r>
  <r>
    <s v="ORD-01416"/>
    <x v="271"/>
    <x v="0"/>
    <s v="Colorado"/>
    <s v="Denver"/>
    <s v="Cameron Clark"/>
    <x v="0"/>
    <x v="1"/>
    <s v="Laptops"/>
    <s v="Business Laptop"/>
    <n v="2"/>
    <n v="1427.71"/>
    <n v="0.15"/>
    <n v="2427.11"/>
    <n v="1865.02"/>
    <n v="562.09"/>
    <s v="Bank Transfer"/>
  </r>
  <r>
    <s v="ORD-02114"/>
    <x v="271"/>
    <x v="2"/>
    <s v="New Jersey"/>
    <s v="Newark"/>
    <s v="Avery Johnson"/>
    <x v="1"/>
    <x v="0"/>
    <s v="Printers"/>
    <s v="All-in-One Printer"/>
    <n v="9"/>
    <n v="552.16"/>
    <n v="0.05"/>
    <n v="4720.97"/>
    <n v="3591.72"/>
    <n v="1129.25"/>
    <s v="PayPal"/>
  </r>
  <r>
    <s v="ORD-02269"/>
    <x v="271"/>
    <x v="2"/>
    <s v="Pennsylvania"/>
    <s v="Philadelphia"/>
    <s v="Avery Johnson"/>
    <x v="0"/>
    <x v="0"/>
    <s v="Pens"/>
    <s v="Fine Tip Pens"/>
    <n v="4"/>
    <n v="15.21"/>
    <n v="0.15"/>
    <n v="51.71"/>
    <n v="29.55"/>
    <n v="22.16"/>
    <s v="Debit Card"/>
  </r>
  <r>
    <s v="ORD-02427"/>
    <x v="271"/>
    <x v="3"/>
    <s v="Indiana"/>
    <s v="Fort Wayne"/>
    <s v="Jamie Miller"/>
    <x v="0"/>
    <x v="2"/>
    <s v="Desks"/>
    <s v="Executive Desk"/>
    <n v="7"/>
    <n v="511.84"/>
    <n v="0.15"/>
    <n v="3045.45"/>
    <n v="2241.0700000000002"/>
    <n v="804.38"/>
    <s v="PayPal"/>
  </r>
  <r>
    <s v="ORD-02764"/>
    <x v="271"/>
    <x v="2"/>
    <s v="Massachusetts"/>
    <s v="Springfield"/>
    <s v="Jordan Lee"/>
    <x v="0"/>
    <x v="0"/>
    <s v="Binders"/>
    <s v="3-Ring Binder"/>
    <n v="8"/>
    <n v="20.21"/>
    <n v="0.1"/>
    <n v="145.51"/>
    <n v="98.99"/>
    <n v="46.52"/>
    <s v="PayPal"/>
  </r>
  <r>
    <s v="ORD-01191"/>
    <x v="271"/>
    <x v="3"/>
    <s v="Illinois"/>
    <s v="Chicago"/>
    <s v="Taylor Smith"/>
    <x v="2"/>
    <x v="2"/>
    <s v="Tables"/>
    <s v="Training Table"/>
    <n v="7"/>
    <n v="738.1"/>
    <n v="0.2"/>
    <n v="4133.3599999999997"/>
    <n v="2866.56"/>
    <n v="1266.8"/>
    <s v="Bank Transfer"/>
  </r>
  <r>
    <s v="ORD-00410"/>
    <x v="271"/>
    <x v="1"/>
    <s v="Texas"/>
    <s v="Austin"/>
    <s v="Jamie Miller"/>
    <x v="0"/>
    <x v="1"/>
    <s v="Monitors"/>
    <s v="24in Monitor"/>
    <n v="8"/>
    <n v="462.84"/>
    <n v="0.05"/>
    <n v="3517.58"/>
    <n v="2428.35"/>
    <n v="1089.23"/>
    <s v="Bank Transfer"/>
  </r>
  <r>
    <s v="ORD-01656"/>
    <x v="271"/>
    <x v="3"/>
    <s v="Ohio"/>
    <s v="Cincinnati"/>
    <s v="Morgan Davis"/>
    <x v="0"/>
    <x v="2"/>
    <s v="Chairs"/>
    <s v="Task Chair"/>
    <n v="1"/>
    <n v="428.61"/>
    <n v="0.15"/>
    <n v="364.32"/>
    <n v="237.16"/>
    <n v="127.16"/>
    <s v="Credit Card"/>
  </r>
  <r>
    <s v="ORD-01612"/>
    <x v="271"/>
    <x v="1"/>
    <s v="North Carolina"/>
    <s v="Raleigh"/>
    <s v="Drew Anderson"/>
    <x v="1"/>
    <x v="2"/>
    <s v="Chairs"/>
    <s v="Task Chair"/>
    <n v="5"/>
    <n v="360.19"/>
    <n v="0"/>
    <n v="1800.95"/>
    <n v="1243.6600000000001"/>
    <n v="557.29"/>
    <s v="Credit Card"/>
  </r>
  <r>
    <s v="ORD-00826"/>
    <x v="271"/>
    <x v="0"/>
    <s v="Colorado"/>
    <s v="Colorado Springs"/>
    <s v="Casey Brown"/>
    <x v="0"/>
    <x v="0"/>
    <s v="Printers"/>
    <s v="All-in-One Printer"/>
    <n v="6"/>
    <n v="293.18"/>
    <n v="0.05"/>
    <n v="1671.13"/>
    <n v="1235"/>
    <n v="436.13"/>
    <s v="Credit Card"/>
  </r>
  <r>
    <s v="ORD-00920"/>
    <x v="272"/>
    <x v="0"/>
    <s v="Arizona"/>
    <s v="Phoenix"/>
    <s v="Drew Anderson"/>
    <x v="2"/>
    <x v="2"/>
    <s v="Tables"/>
    <s v="Side Table"/>
    <n v="1"/>
    <n v="517.28"/>
    <n v="0.05"/>
    <n v="491.42"/>
    <n v="282.19"/>
    <n v="209.23"/>
    <s v="Bank Transfer"/>
  </r>
  <r>
    <s v="ORD-00974"/>
    <x v="272"/>
    <x v="3"/>
    <s v="Illinois"/>
    <s v="Chicago"/>
    <s v="Morgan Davis"/>
    <x v="2"/>
    <x v="1"/>
    <s v="Laptops"/>
    <s v="Workstation Laptop"/>
    <n v="1"/>
    <n v="1678.79"/>
    <n v="0.15"/>
    <n v="1426.97"/>
    <n v="852.16"/>
    <n v="574.80999999999995"/>
    <s v="Debit Card"/>
  </r>
  <r>
    <s v="ORD-02523"/>
    <x v="272"/>
    <x v="0"/>
    <s v="Washington"/>
    <s v="Tacoma"/>
    <s v="Riley Wilson"/>
    <x v="2"/>
    <x v="1"/>
    <s v="Headsets"/>
    <s v="Noise-Canceling Headset"/>
    <n v="2"/>
    <n v="60.95"/>
    <n v="0"/>
    <n v="121.9"/>
    <n v="97.61"/>
    <n v="24.29"/>
    <s v="Credit Card"/>
  </r>
  <r>
    <s v="ORD-02587"/>
    <x v="272"/>
    <x v="1"/>
    <s v="Virginia"/>
    <s v="Arlington"/>
    <s v="Casey Brown"/>
    <x v="0"/>
    <x v="1"/>
    <s v="Monitors"/>
    <s v="34in Monitor"/>
    <n v="3"/>
    <n v="257.52999999999997"/>
    <n v="0"/>
    <n v="772.59"/>
    <n v="469.35"/>
    <n v="303.24"/>
    <s v="Debit Card"/>
  </r>
  <r>
    <s v="ORD-02165"/>
    <x v="272"/>
    <x v="1"/>
    <s v="Texas"/>
    <s v="Austin"/>
    <s v="Alex Morgan"/>
    <x v="2"/>
    <x v="1"/>
    <s v="Monitors"/>
    <s v="27in Monitor"/>
    <n v="10"/>
    <n v="296.47000000000003"/>
    <n v="0.15"/>
    <n v="2520"/>
    <n v="1626.9"/>
    <n v="893.1"/>
    <s v="Credit Card"/>
  </r>
  <r>
    <s v="ORD-00649"/>
    <x v="272"/>
    <x v="0"/>
    <s v="California"/>
    <s v="San Diego"/>
    <s v="Morgan Davis"/>
    <x v="2"/>
    <x v="2"/>
    <s v="Desks"/>
    <s v="Standing Desk"/>
    <n v="4"/>
    <n v="601.87"/>
    <n v="0"/>
    <n v="2407.48"/>
    <n v="1709.8"/>
    <n v="697.68"/>
    <s v="Bank Transfer"/>
  </r>
  <r>
    <s v="ORD-02537"/>
    <x v="272"/>
    <x v="3"/>
    <s v="Ohio"/>
    <s v="Columbus"/>
    <s v="Alex Morgan"/>
    <x v="2"/>
    <x v="2"/>
    <s v="Tables"/>
    <s v="Conference Table"/>
    <n v="2"/>
    <n v="376.23"/>
    <n v="0"/>
    <n v="752.46"/>
    <n v="546.08000000000004"/>
    <n v="206.38"/>
    <s v="Bank Transfer"/>
  </r>
  <r>
    <s v="ORD-02979"/>
    <x v="272"/>
    <x v="2"/>
    <s v="New York"/>
    <s v="Buffalo"/>
    <s v="Alex Morgan"/>
    <x v="0"/>
    <x v="0"/>
    <s v="Pens"/>
    <s v="Ballpoint Pens"/>
    <n v="10"/>
    <n v="20.079999999999998"/>
    <n v="0"/>
    <n v="200.8"/>
    <n v="142.04"/>
    <n v="58.76"/>
    <s v="Credit Card"/>
  </r>
  <r>
    <s v="ORD-00848"/>
    <x v="273"/>
    <x v="1"/>
    <s v="Texas"/>
    <s v="Austin"/>
    <s v="Drew Anderson"/>
    <x v="0"/>
    <x v="1"/>
    <s v="Headsets"/>
    <s v="Wireless Headset"/>
    <n v="9"/>
    <n v="185.61"/>
    <n v="0.05"/>
    <n v="1586.97"/>
    <n v="1292.76"/>
    <n v="294.20999999999998"/>
    <s v="Debit Card"/>
  </r>
  <r>
    <s v="ORD-01367"/>
    <x v="273"/>
    <x v="3"/>
    <s v="Ohio"/>
    <s v="Columbus"/>
    <s v="Taylor Smith"/>
    <x v="2"/>
    <x v="2"/>
    <s v="Bookcases"/>
    <s v="3-Shelf Bookcase"/>
    <n v="1"/>
    <n v="468.74"/>
    <n v="0.05"/>
    <n v="445.3"/>
    <n v="256.19"/>
    <n v="189.11"/>
    <s v="Bank Transfer"/>
  </r>
  <r>
    <s v="ORD-01224"/>
    <x v="273"/>
    <x v="3"/>
    <s v="Michigan"/>
    <s v="Detroit"/>
    <s v="Alex Morgan"/>
    <x v="1"/>
    <x v="0"/>
    <s v="Pens"/>
    <s v="Gel Pens"/>
    <n v="10"/>
    <n v="6.22"/>
    <n v="0"/>
    <n v="62.2"/>
    <n v="50.86"/>
    <n v="11.34"/>
    <s v="PayPal"/>
  </r>
  <r>
    <s v="ORD-01752"/>
    <x v="273"/>
    <x v="0"/>
    <s v="Arizona"/>
    <s v="Tucson"/>
    <s v="Jordan Lee"/>
    <x v="0"/>
    <x v="1"/>
    <s v="Headsets"/>
    <s v="Noise-Canceling Headset"/>
    <n v="7"/>
    <n v="140.97999999999999"/>
    <n v="0.2"/>
    <n v="789.49"/>
    <n v="488.02"/>
    <n v="301.47000000000003"/>
    <s v="Bank Transfer"/>
  </r>
  <r>
    <s v="ORD-02747"/>
    <x v="273"/>
    <x v="2"/>
    <s v="Vermont"/>
    <s v="Burlington"/>
    <s v="Riley Wilson"/>
    <x v="0"/>
    <x v="0"/>
    <s v="Paper"/>
    <s v="Recycled Paper"/>
    <n v="2"/>
    <n v="12.49"/>
    <n v="0"/>
    <n v="24.98"/>
    <n v="19.809999999999999"/>
    <n v="5.17"/>
    <s v="PayPal"/>
  </r>
  <r>
    <s v="ORD-01504"/>
    <x v="273"/>
    <x v="3"/>
    <s v="Michigan"/>
    <s v="Grand Rapids"/>
    <s v="Riley Wilson"/>
    <x v="0"/>
    <x v="0"/>
    <s v="Pens"/>
    <s v="Gel Pens"/>
    <n v="8"/>
    <n v="6.48"/>
    <n v="0.05"/>
    <n v="49.25"/>
    <n v="33.6"/>
    <n v="15.65"/>
    <s v="Credit Card"/>
  </r>
  <r>
    <s v="ORD-00418"/>
    <x v="274"/>
    <x v="1"/>
    <s v="Florida"/>
    <s v="Tampa"/>
    <s v="Cameron Clark"/>
    <x v="1"/>
    <x v="1"/>
    <s v="Laptops"/>
    <s v="Ultrabook"/>
    <n v="5"/>
    <n v="676.38"/>
    <n v="0.1"/>
    <n v="3043.71"/>
    <n v="2231.96"/>
    <n v="811.75"/>
    <s v="Credit Card"/>
  </r>
  <r>
    <s v="ORD-01915"/>
    <x v="274"/>
    <x v="0"/>
    <s v="Washington"/>
    <s v="Seattle"/>
    <s v="Riley Wilson"/>
    <x v="2"/>
    <x v="2"/>
    <s v="Bookcases"/>
    <s v="5-Shelf Bookcase"/>
    <n v="7"/>
    <n v="355.94"/>
    <n v="0.1"/>
    <n v="2242.42"/>
    <n v="1295.06"/>
    <n v="947.36"/>
    <s v="PayPal"/>
  </r>
  <r>
    <s v="ORD-01599"/>
    <x v="274"/>
    <x v="0"/>
    <s v="Washington"/>
    <s v="Spokane"/>
    <s v="Drew Anderson"/>
    <x v="1"/>
    <x v="1"/>
    <s v="Monitors"/>
    <s v="24in Monitor"/>
    <n v="7"/>
    <n v="554.26"/>
    <n v="0.1"/>
    <n v="3491.84"/>
    <n v="2832.13"/>
    <n v="659.71"/>
    <s v="Credit Card"/>
  </r>
  <r>
    <s v="ORD-01466"/>
    <x v="274"/>
    <x v="1"/>
    <s v="Texas"/>
    <s v="Dallas"/>
    <s v="Jordan Lee"/>
    <x v="2"/>
    <x v="1"/>
    <s v="Keyboards"/>
    <s v="Ergonomic Keyboard"/>
    <n v="9"/>
    <n v="121.41"/>
    <n v="0.1"/>
    <n v="983.42"/>
    <n v="707.37"/>
    <n v="276.05"/>
    <s v="Bank Transfer"/>
  </r>
  <r>
    <s v="ORD-00875"/>
    <x v="274"/>
    <x v="1"/>
    <s v="Georgia"/>
    <s v="Atlanta"/>
    <s v="Drew Anderson"/>
    <x v="2"/>
    <x v="0"/>
    <s v="Pens"/>
    <s v="Gel Pens"/>
    <n v="4"/>
    <n v="16.2"/>
    <n v="0.15"/>
    <n v="55.08"/>
    <n v="41.7"/>
    <n v="13.38"/>
    <s v="PayPal"/>
  </r>
  <r>
    <s v="ORD-01027"/>
    <x v="274"/>
    <x v="1"/>
    <s v="Virginia"/>
    <s v="Norfolk"/>
    <s v="Morgan Davis"/>
    <x v="0"/>
    <x v="2"/>
    <s v="Bookcases"/>
    <s v="5-Shelf Bookcase"/>
    <n v="6"/>
    <n v="127.38"/>
    <n v="0.15"/>
    <n v="649.64"/>
    <n v="364.76"/>
    <n v="284.88"/>
    <s v="Debit Card"/>
  </r>
  <r>
    <s v="ORD-00997"/>
    <x v="274"/>
    <x v="2"/>
    <s v="Pennsylvania"/>
    <s v="Pittsburgh"/>
    <s v="Taylor Smith"/>
    <x v="1"/>
    <x v="0"/>
    <s v="Pens"/>
    <s v="Gel Pens"/>
    <n v="2"/>
    <n v="15.76"/>
    <n v="0.15"/>
    <n v="26.79"/>
    <n v="17.29"/>
    <n v="9.5"/>
    <s v="Credit Card"/>
  </r>
  <r>
    <s v="ORD-01561"/>
    <x v="274"/>
    <x v="3"/>
    <s v="Ohio"/>
    <s v="Cleveland"/>
    <s v="Casey Brown"/>
    <x v="0"/>
    <x v="2"/>
    <s v="Tables"/>
    <s v="Conference Table"/>
    <n v="3"/>
    <n v="679.45"/>
    <n v="0.05"/>
    <n v="1936.43"/>
    <n v="1180.02"/>
    <n v="756.41"/>
    <s v="Bank Transfer"/>
  </r>
  <r>
    <s v="ORD-02695"/>
    <x v="274"/>
    <x v="0"/>
    <s v="Washington"/>
    <s v="Seattle"/>
    <s v="Riley Wilson"/>
    <x v="1"/>
    <x v="1"/>
    <s v="Keyboards"/>
    <s v="Ergonomic Keyboard"/>
    <n v="4"/>
    <n v="122.07"/>
    <n v="0.15"/>
    <n v="415.04"/>
    <n v="233.34"/>
    <n v="181.7"/>
    <s v="Credit Card"/>
  </r>
  <r>
    <s v="ORD-02289"/>
    <x v="275"/>
    <x v="2"/>
    <s v="Pennsylvania"/>
    <s v="Pittsburgh"/>
    <s v="Jordan Lee"/>
    <x v="1"/>
    <x v="2"/>
    <s v="Chairs"/>
    <s v="Executive Chair"/>
    <n v="4"/>
    <n v="517.08000000000004"/>
    <n v="0.1"/>
    <n v="1861.49"/>
    <n v="1269.79"/>
    <n v="591.70000000000005"/>
    <s v="Bank Transfer"/>
  </r>
  <r>
    <s v="ORD-00909"/>
    <x v="275"/>
    <x v="3"/>
    <s v="Indiana"/>
    <s v="Evansville"/>
    <s v="Jamie Miller"/>
    <x v="0"/>
    <x v="1"/>
    <s v="Headsets"/>
    <s v="Wireless Headset"/>
    <n v="10"/>
    <n v="246.87"/>
    <n v="0.1"/>
    <n v="2221.83"/>
    <n v="1400.54"/>
    <n v="821.29"/>
    <s v="PayPal"/>
  </r>
  <r>
    <s v="ORD-01815"/>
    <x v="275"/>
    <x v="0"/>
    <s v="Colorado"/>
    <s v="Colorado Springs"/>
    <s v="Cameron Clark"/>
    <x v="0"/>
    <x v="1"/>
    <s v="Laptops"/>
    <s v="Ultrabook"/>
    <n v="1"/>
    <n v="1106.55"/>
    <n v="0.1"/>
    <n v="995.9"/>
    <n v="598.30999999999995"/>
    <n v="397.59"/>
    <s v="Debit Card"/>
  </r>
  <r>
    <s v="ORD-01308"/>
    <x v="275"/>
    <x v="0"/>
    <s v="California"/>
    <s v="San Jose"/>
    <s v="Casey Brown"/>
    <x v="2"/>
    <x v="2"/>
    <s v="Bookcases"/>
    <s v="Storage Bookcase"/>
    <n v="2"/>
    <n v="466.84"/>
    <n v="0.05"/>
    <n v="887"/>
    <n v="560.12"/>
    <n v="326.88"/>
    <s v="Credit Card"/>
  </r>
  <r>
    <s v="ORD-02995"/>
    <x v="275"/>
    <x v="1"/>
    <s v="Virginia"/>
    <s v="Arlington"/>
    <s v="Alex Morgan"/>
    <x v="0"/>
    <x v="2"/>
    <s v="Bookcases"/>
    <s v="Storage Bookcase"/>
    <n v="5"/>
    <n v="426.17"/>
    <n v="0.15"/>
    <n v="1811.22"/>
    <n v="1010.4"/>
    <n v="800.82"/>
    <s v="Credit Card"/>
  </r>
  <r>
    <s v="ORD-01282"/>
    <x v="275"/>
    <x v="3"/>
    <s v="Illinois"/>
    <s v="Peoria"/>
    <s v="Alex Morgan"/>
    <x v="0"/>
    <x v="2"/>
    <s v="Tables"/>
    <s v="Training Table"/>
    <n v="10"/>
    <n v="278.08999999999997"/>
    <n v="0.15"/>
    <n v="2363.7600000000002"/>
    <n v="1832.98"/>
    <n v="530.78"/>
    <s v="Debit Card"/>
  </r>
  <r>
    <s v="ORD-02798"/>
    <x v="276"/>
    <x v="0"/>
    <s v="Washington"/>
    <s v="Tacoma"/>
    <s v="Jordan Lee"/>
    <x v="0"/>
    <x v="1"/>
    <s v="Laptops"/>
    <s v="Ultrabook"/>
    <n v="6"/>
    <n v="1484.28"/>
    <n v="0"/>
    <n v="8905.68"/>
    <n v="6414.92"/>
    <n v="2490.7600000000002"/>
    <s v="Debit Card"/>
  </r>
  <r>
    <s v="ORD-02814"/>
    <x v="276"/>
    <x v="0"/>
    <s v="Arizona"/>
    <s v="Phoenix"/>
    <s v="Jordan Lee"/>
    <x v="2"/>
    <x v="0"/>
    <s v="Printers"/>
    <s v="Color Printer"/>
    <n v="1"/>
    <n v="566.86"/>
    <n v="0"/>
    <n v="566.86"/>
    <n v="401.02"/>
    <n v="165.84"/>
    <s v="Bank Transfer"/>
  </r>
  <r>
    <s v="ORD-00655"/>
    <x v="276"/>
    <x v="1"/>
    <s v="Florida"/>
    <s v="Miami"/>
    <s v="Casey Brown"/>
    <x v="1"/>
    <x v="2"/>
    <s v="Bookcases"/>
    <s v="3-Shelf Bookcase"/>
    <n v="9"/>
    <n v="294.77"/>
    <n v="0"/>
    <n v="2652.93"/>
    <n v="1780.12"/>
    <n v="872.81"/>
    <s v="PayPal"/>
  </r>
  <r>
    <s v="ORD-02443"/>
    <x v="276"/>
    <x v="0"/>
    <s v="Oregon"/>
    <s v="Portland"/>
    <s v="Avery Johnson"/>
    <x v="0"/>
    <x v="2"/>
    <s v="Bookcases"/>
    <s v="Storage Bookcase"/>
    <n v="10"/>
    <n v="436.03"/>
    <n v="0.05"/>
    <n v="4142.28"/>
    <n v="2822.23"/>
    <n v="1320.05"/>
    <s v="Debit Card"/>
  </r>
  <r>
    <s v="ORD-02176"/>
    <x v="276"/>
    <x v="3"/>
    <s v="Illinois"/>
    <s v="Peoria"/>
    <s v="Jamie Miller"/>
    <x v="2"/>
    <x v="0"/>
    <s v="Paper"/>
    <s v="Premium Paper"/>
    <n v="9"/>
    <n v="34.83"/>
    <n v="0"/>
    <n v="313.47000000000003"/>
    <n v="179.43"/>
    <n v="134.04"/>
    <s v="Bank Transfer"/>
  </r>
  <r>
    <s v="ORD-00325"/>
    <x v="276"/>
    <x v="1"/>
    <s v="North Carolina"/>
    <s v="Durham"/>
    <s v="Casey Brown"/>
    <x v="0"/>
    <x v="2"/>
    <s v="Desks"/>
    <s v="Standing Desk"/>
    <n v="1"/>
    <n v="783.76"/>
    <n v="0"/>
    <n v="783.76"/>
    <n v="484.94"/>
    <n v="298.82"/>
    <s v="Credit Card"/>
  </r>
  <r>
    <s v="ORD-02686"/>
    <x v="276"/>
    <x v="2"/>
    <s v="Pennsylvania"/>
    <s v="Pittsburgh"/>
    <s v="Riley Wilson"/>
    <x v="0"/>
    <x v="1"/>
    <s v="Headsets"/>
    <s v="Wireless Headset"/>
    <n v="1"/>
    <n v="136.62"/>
    <n v="0.1"/>
    <n v="122.96"/>
    <n v="74.89"/>
    <n v="48.07"/>
    <s v="Bank Transfer"/>
  </r>
  <r>
    <s v="ORD-00988"/>
    <x v="277"/>
    <x v="0"/>
    <s v="Oregon"/>
    <s v="Salem"/>
    <s v="Drew Anderson"/>
    <x v="0"/>
    <x v="1"/>
    <s v="Laptops"/>
    <s v="Ultrabook"/>
    <n v="7"/>
    <n v="796.04"/>
    <n v="0"/>
    <n v="5572.28"/>
    <n v="3294.62"/>
    <n v="2277.66"/>
    <s v="Bank Transfer"/>
  </r>
  <r>
    <s v="ORD-01959"/>
    <x v="277"/>
    <x v="2"/>
    <s v="New Jersey"/>
    <s v="Newark"/>
    <s v="Casey Brown"/>
    <x v="0"/>
    <x v="2"/>
    <s v="Chairs"/>
    <s v="Task Chair"/>
    <n v="4"/>
    <n v="585.16"/>
    <n v="0.05"/>
    <n v="2223.61"/>
    <n v="1529.78"/>
    <n v="693.83"/>
    <s v="PayPal"/>
  </r>
  <r>
    <s v="ORD-01790"/>
    <x v="277"/>
    <x v="1"/>
    <s v="Texas"/>
    <s v="Dallas"/>
    <s v="Morgan Davis"/>
    <x v="0"/>
    <x v="2"/>
    <s v="Tables"/>
    <s v="Training Table"/>
    <n v="6"/>
    <n v="296.25"/>
    <n v="0.15"/>
    <n v="1510.88"/>
    <n v="1072.81"/>
    <n v="438.07"/>
    <s v="Credit Card"/>
  </r>
  <r>
    <s v="ORD-02766"/>
    <x v="277"/>
    <x v="0"/>
    <s v="Colorado"/>
    <s v="Boulder"/>
    <s v="Morgan Davis"/>
    <x v="2"/>
    <x v="2"/>
    <s v="Desks"/>
    <s v="Work Desk"/>
    <n v="8"/>
    <n v="553.66"/>
    <n v="0.05"/>
    <n v="4207.82"/>
    <n v="3248.32"/>
    <n v="959.5"/>
    <s v="Bank Transfer"/>
  </r>
  <r>
    <s v="ORD-01529"/>
    <x v="277"/>
    <x v="1"/>
    <s v="Florida"/>
    <s v="Miami"/>
    <s v="Jamie Miller"/>
    <x v="0"/>
    <x v="0"/>
    <s v="Paper"/>
    <s v="Premium Paper"/>
    <n v="7"/>
    <n v="24.68"/>
    <n v="0"/>
    <n v="172.76"/>
    <n v="134.54"/>
    <n v="38.22"/>
    <s v="Credit Card"/>
  </r>
  <r>
    <s v="ORD-00587"/>
    <x v="277"/>
    <x v="1"/>
    <s v="Georgia"/>
    <s v="Savannah"/>
    <s v="Taylor Smith"/>
    <x v="2"/>
    <x v="2"/>
    <s v="Bookcases"/>
    <s v="3-Shelf Bookcase"/>
    <n v="1"/>
    <n v="277.41000000000003"/>
    <n v="0"/>
    <n v="277.41000000000003"/>
    <n v="193.21"/>
    <n v="84.2"/>
    <s v="Credit Card"/>
  </r>
  <r>
    <s v="ORD-00934"/>
    <x v="277"/>
    <x v="2"/>
    <s v="New Jersey"/>
    <s v="Newark"/>
    <s v="Jordan Lee"/>
    <x v="2"/>
    <x v="2"/>
    <s v="Chairs"/>
    <s v="Task Chair"/>
    <n v="5"/>
    <n v="627.07000000000005"/>
    <n v="0.05"/>
    <n v="2978.58"/>
    <n v="2047.67"/>
    <n v="930.91"/>
    <s v="Bank Transfer"/>
  </r>
  <r>
    <s v="ORD-02685"/>
    <x v="277"/>
    <x v="1"/>
    <s v="North Carolina"/>
    <s v="Durham"/>
    <s v="Casey Brown"/>
    <x v="2"/>
    <x v="0"/>
    <s v="Paper"/>
    <s v="Copy Paper"/>
    <n v="4"/>
    <n v="13.4"/>
    <n v="0.05"/>
    <n v="50.92"/>
    <n v="30.53"/>
    <n v="20.39"/>
    <s v="PayPal"/>
  </r>
  <r>
    <s v="ORD-01045"/>
    <x v="277"/>
    <x v="1"/>
    <s v="Virginia"/>
    <s v="Norfolk"/>
    <s v="Jordan Lee"/>
    <x v="2"/>
    <x v="0"/>
    <s v="Pens"/>
    <s v="Ballpoint Pens"/>
    <n v="8"/>
    <n v="10.69"/>
    <n v="0.05"/>
    <n v="81.239999999999995"/>
    <n v="50.61"/>
    <n v="30.63"/>
    <s v="Credit Card"/>
  </r>
  <r>
    <s v="ORD-01287"/>
    <x v="277"/>
    <x v="1"/>
    <s v="Georgia"/>
    <s v="Savannah"/>
    <s v="Drew Anderson"/>
    <x v="0"/>
    <x v="2"/>
    <s v="Desks"/>
    <s v="Work Desk"/>
    <n v="9"/>
    <n v="746.93"/>
    <n v="0.15"/>
    <n v="5714.01"/>
    <n v="4525.6899999999996"/>
    <n v="1188.32"/>
    <s v="Credit Card"/>
  </r>
  <r>
    <s v="ORD-00509"/>
    <x v="278"/>
    <x v="0"/>
    <s v="California"/>
    <s v="Los Angeles"/>
    <s v="Jamie Miller"/>
    <x v="2"/>
    <x v="0"/>
    <s v="Binders"/>
    <s v="3-Ring Binder"/>
    <n v="7"/>
    <n v="22.48"/>
    <n v="0"/>
    <n v="157.36000000000001"/>
    <n v="109.25"/>
    <n v="48.11"/>
    <s v="PayPal"/>
  </r>
  <r>
    <s v="ORD-00736"/>
    <x v="278"/>
    <x v="3"/>
    <s v="Indiana"/>
    <s v="Indianapolis"/>
    <s v="Alex Morgan"/>
    <x v="1"/>
    <x v="0"/>
    <s v="Pens"/>
    <s v="Ballpoint Pens"/>
    <n v="9"/>
    <n v="10.96"/>
    <n v="0"/>
    <n v="98.64"/>
    <n v="78.37"/>
    <n v="20.27"/>
    <s v="Credit Card"/>
  </r>
  <r>
    <s v="ORD-01099"/>
    <x v="278"/>
    <x v="1"/>
    <s v="North Carolina"/>
    <s v="Charlotte"/>
    <s v="Jordan Lee"/>
    <x v="2"/>
    <x v="0"/>
    <s v="Binders"/>
    <s v="3-Ring Binder"/>
    <n v="1"/>
    <n v="14.02"/>
    <n v="0.1"/>
    <n v="12.62"/>
    <n v="8.1999999999999993"/>
    <n v="4.42"/>
    <s v="Credit Card"/>
  </r>
  <r>
    <s v="ORD-01218"/>
    <x v="278"/>
    <x v="1"/>
    <s v="Florida"/>
    <s v="Tampa"/>
    <s v="Avery Johnson"/>
    <x v="2"/>
    <x v="1"/>
    <s v="Laptops"/>
    <s v="Workstation Laptop"/>
    <n v="6"/>
    <n v="714"/>
    <n v="0.05"/>
    <n v="4069.8"/>
    <n v="2811.16"/>
    <n v="1258.6400000000001"/>
    <s v="PayPal"/>
  </r>
  <r>
    <s v="ORD-00865"/>
    <x v="278"/>
    <x v="0"/>
    <s v="California"/>
    <s v="San Diego"/>
    <s v="Alex Morgan"/>
    <x v="1"/>
    <x v="1"/>
    <s v="Laptops"/>
    <s v="Workstation Laptop"/>
    <n v="10"/>
    <n v="1727.98"/>
    <n v="0"/>
    <n v="17279.8"/>
    <n v="10047.030000000001"/>
    <n v="7232.77"/>
    <s v="Credit Card"/>
  </r>
  <r>
    <s v="ORD-01763"/>
    <x v="278"/>
    <x v="3"/>
    <s v="Illinois"/>
    <s v="Springfield"/>
    <s v="Cameron Clark"/>
    <x v="0"/>
    <x v="0"/>
    <s v="Paper"/>
    <s v="Copy Paper"/>
    <n v="10"/>
    <n v="12.53"/>
    <n v="0"/>
    <n v="125.3"/>
    <n v="85.51"/>
    <n v="39.79"/>
    <s v="Bank Transfer"/>
  </r>
  <r>
    <s v="ORD-01597"/>
    <x v="278"/>
    <x v="0"/>
    <s v="Washington"/>
    <s v="Spokane"/>
    <s v="Avery Johnson"/>
    <x v="2"/>
    <x v="1"/>
    <s v="Keyboards"/>
    <s v="Wireless Keyboard"/>
    <n v="8"/>
    <n v="72.19"/>
    <n v="0.05"/>
    <n v="548.64"/>
    <n v="401.49"/>
    <n v="147.15"/>
    <s v="Bank Transfer"/>
  </r>
  <r>
    <s v="ORD-00086"/>
    <x v="278"/>
    <x v="3"/>
    <s v="Illinois"/>
    <s v="Springfield"/>
    <s v="Avery Johnson"/>
    <x v="2"/>
    <x v="0"/>
    <s v="Printers"/>
    <s v="Laser Printer"/>
    <n v="4"/>
    <n v="494.1"/>
    <n v="0.15"/>
    <n v="1679.94"/>
    <n v="1259.53"/>
    <n v="420.41"/>
    <s v="Bank Transfer"/>
  </r>
  <r>
    <s v="ORD-01668"/>
    <x v="278"/>
    <x v="2"/>
    <s v="New Jersey"/>
    <s v="Trenton"/>
    <s v="Cameron Clark"/>
    <x v="2"/>
    <x v="0"/>
    <s v="Binders"/>
    <s v="3-Ring Binder"/>
    <n v="9"/>
    <n v="24.12"/>
    <n v="0.1"/>
    <n v="195.37"/>
    <n v="148.41999999999999"/>
    <n v="46.95"/>
    <s v="PayPal"/>
  </r>
  <r>
    <s v="ORD-02905"/>
    <x v="278"/>
    <x v="0"/>
    <s v="California"/>
    <s v="San Diego"/>
    <s v="Alex Morgan"/>
    <x v="2"/>
    <x v="2"/>
    <s v="Bookcases"/>
    <s v="Storage Bookcase"/>
    <n v="10"/>
    <n v="374.64"/>
    <n v="0.05"/>
    <n v="3559.08"/>
    <n v="2492.38"/>
    <n v="1066.7"/>
    <s v="PayPal"/>
  </r>
  <r>
    <s v="ORD-02869"/>
    <x v="278"/>
    <x v="0"/>
    <s v="Oregon"/>
    <s v="Salem"/>
    <s v="Drew Anderson"/>
    <x v="0"/>
    <x v="1"/>
    <s v="Laptops"/>
    <s v="Business Laptop"/>
    <n v="10"/>
    <n v="1119.8599999999999"/>
    <n v="0"/>
    <n v="11198.6"/>
    <n v="7438.94"/>
    <n v="3759.66"/>
    <s v="PayPal"/>
  </r>
  <r>
    <s v="ORD-00731"/>
    <x v="279"/>
    <x v="3"/>
    <s v="Indiana"/>
    <s v="Evansville"/>
    <s v="Jordan Lee"/>
    <x v="1"/>
    <x v="0"/>
    <s v="Pens"/>
    <s v="Fine Tip Pens"/>
    <n v="10"/>
    <n v="9.1999999999999993"/>
    <n v="0.05"/>
    <n v="87.4"/>
    <n v="58.52"/>
    <n v="28.88"/>
    <s v="Credit Card"/>
  </r>
  <r>
    <s v="ORD-01614"/>
    <x v="279"/>
    <x v="2"/>
    <s v="Massachusetts"/>
    <s v="Worcester"/>
    <s v="Jordan Lee"/>
    <x v="0"/>
    <x v="0"/>
    <s v="Binders"/>
    <s v="Presentation Binder"/>
    <n v="1"/>
    <n v="21.28"/>
    <n v="0.05"/>
    <n v="20.22"/>
    <n v="15.44"/>
    <n v="4.78"/>
    <s v="Credit Card"/>
  </r>
  <r>
    <s v="ORD-02532"/>
    <x v="279"/>
    <x v="1"/>
    <s v="Texas"/>
    <s v="Dallas"/>
    <s v="Avery Johnson"/>
    <x v="1"/>
    <x v="1"/>
    <s v="Monitors"/>
    <s v="24in Monitor"/>
    <n v="3"/>
    <n v="375.26"/>
    <n v="0.05"/>
    <n v="1069.49"/>
    <n v="838.04"/>
    <n v="231.45"/>
    <s v="Bank Transfer"/>
  </r>
  <r>
    <s v="ORD-02928"/>
    <x v="279"/>
    <x v="1"/>
    <s v="Florida"/>
    <s v="Tampa"/>
    <s v="Jamie Miller"/>
    <x v="0"/>
    <x v="0"/>
    <s v="Printers"/>
    <s v="Color Printer"/>
    <n v="3"/>
    <n v="431.33"/>
    <n v="0.1"/>
    <n v="1164.5899999999999"/>
    <n v="781.59"/>
    <n v="383"/>
    <s v="Bank Transfer"/>
  </r>
  <r>
    <s v="ORD-00562"/>
    <x v="280"/>
    <x v="3"/>
    <s v="Ohio"/>
    <s v="Columbus"/>
    <s v="Riley Wilson"/>
    <x v="1"/>
    <x v="0"/>
    <s v="Pens"/>
    <s v="Gel Pens"/>
    <n v="9"/>
    <n v="20.72"/>
    <n v="0.1"/>
    <n v="167.83"/>
    <n v="132.07"/>
    <n v="35.76"/>
    <s v="Bank Transfer"/>
  </r>
  <r>
    <s v="ORD-00703"/>
    <x v="280"/>
    <x v="2"/>
    <s v="Massachusetts"/>
    <s v="Springfield"/>
    <s v="Cameron Clark"/>
    <x v="0"/>
    <x v="1"/>
    <s v="Headsets"/>
    <s v="USB Headset"/>
    <n v="1"/>
    <n v="177.16"/>
    <n v="0"/>
    <n v="177.16"/>
    <n v="98.77"/>
    <n v="78.39"/>
    <s v="Credit Card"/>
  </r>
  <r>
    <s v="ORD-01519"/>
    <x v="280"/>
    <x v="0"/>
    <s v="Arizona"/>
    <s v="Tucson"/>
    <s v="Jordan Lee"/>
    <x v="1"/>
    <x v="0"/>
    <s v="Pens"/>
    <s v="Ballpoint Pens"/>
    <n v="10"/>
    <n v="11.4"/>
    <n v="0.15"/>
    <n v="96.9"/>
    <n v="57.63"/>
    <n v="39.270000000000003"/>
    <s v="Debit Card"/>
  </r>
  <r>
    <s v="ORD-02119"/>
    <x v="280"/>
    <x v="2"/>
    <s v="Massachusetts"/>
    <s v="Springfield"/>
    <s v="Cameron Clark"/>
    <x v="1"/>
    <x v="0"/>
    <s v="Printers"/>
    <s v="Laser Printer"/>
    <n v="2"/>
    <n v="165.99"/>
    <n v="0.1"/>
    <n v="298.77999999999997"/>
    <n v="178.72"/>
    <n v="120.06"/>
    <s v="Debit Card"/>
  </r>
  <r>
    <s v="ORD-00713"/>
    <x v="280"/>
    <x v="2"/>
    <s v="Pennsylvania"/>
    <s v="Philadelphia"/>
    <s v="Riley Wilson"/>
    <x v="2"/>
    <x v="2"/>
    <s v="Bookcases"/>
    <s v="Storage Bookcase"/>
    <n v="2"/>
    <n v="485.78"/>
    <n v="0.05"/>
    <n v="922.98"/>
    <n v="676.92"/>
    <n v="246.06"/>
    <s v="Debit Card"/>
  </r>
  <r>
    <s v="ORD-01139"/>
    <x v="280"/>
    <x v="0"/>
    <s v="Colorado"/>
    <s v="Colorado Springs"/>
    <s v="Taylor Smith"/>
    <x v="2"/>
    <x v="0"/>
    <s v="Binders"/>
    <s v="3-Ring Binder"/>
    <n v="8"/>
    <n v="25.6"/>
    <n v="0.1"/>
    <n v="184.32"/>
    <n v="130.41"/>
    <n v="53.91"/>
    <s v="Credit Card"/>
  </r>
  <r>
    <s v="ORD-00641"/>
    <x v="280"/>
    <x v="1"/>
    <s v="Virginia"/>
    <s v="Arlington"/>
    <s v="Taylor Smith"/>
    <x v="1"/>
    <x v="0"/>
    <s v="Pens"/>
    <s v="Fine Tip Pens"/>
    <n v="10"/>
    <n v="8.25"/>
    <n v="0.1"/>
    <n v="74.25"/>
    <n v="51.66"/>
    <n v="22.59"/>
    <s v="Debit Card"/>
  </r>
  <r>
    <s v="ORD-00851"/>
    <x v="280"/>
    <x v="3"/>
    <s v="Illinois"/>
    <s v="Peoria"/>
    <s v="Morgan Davis"/>
    <x v="0"/>
    <x v="1"/>
    <s v="Headsets"/>
    <s v="Wireless Headset"/>
    <n v="9"/>
    <n v="204.83"/>
    <n v="0.1"/>
    <n v="1659.12"/>
    <n v="1294.28"/>
    <n v="364.84"/>
    <s v="Credit Card"/>
  </r>
  <r>
    <s v="ORD-01865"/>
    <x v="281"/>
    <x v="0"/>
    <s v="California"/>
    <s v="San Diego"/>
    <s v="Taylor Smith"/>
    <x v="2"/>
    <x v="0"/>
    <s v="Binders"/>
    <s v="Heavy-Duty Binder"/>
    <n v="9"/>
    <n v="17.78"/>
    <n v="0"/>
    <n v="160.02000000000001"/>
    <n v="106.02"/>
    <n v="54"/>
    <s v="Debit Card"/>
  </r>
  <r>
    <s v="ORD-00887"/>
    <x v="281"/>
    <x v="2"/>
    <s v="Vermont"/>
    <s v="Montpelier"/>
    <s v="Alex Morgan"/>
    <x v="0"/>
    <x v="1"/>
    <s v="Keyboards"/>
    <s v="Ergonomic Keyboard"/>
    <n v="2"/>
    <n v="104.73"/>
    <n v="0"/>
    <n v="209.46"/>
    <n v="159.59"/>
    <n v="49.87"/>
    <s v="PayPal"/>
  </r>
  <r>
    <s v="ORD-01132"/>
    <x v="281"/>
    <x v="1"/>
    <s v="North Carolina"/>
    <s v="Raleigh"/>
    <s v="Cameron Clark"/>
    <x v="0"/>
    <x v="1"/>
    <s v="Monitors"/>
    <s v="27in Monitor"/>
    <n v="1"/>
    <n v="535.26"/>
    <n v="0.05"/>
    <n v="508.5"/>
    <n v="284.39"/>
    <n v="224.11"/>
    <s v="Credit Card"/>
  </r>
  <r>
    <s v="ORD-00901"/>
    <x v="281"/>
    <x v="2"/>
    <s v="Vermont"/>
    <s v="Montpelier"/>
    <s v="Riley Wilson"/>
    <x v="0"/>
    <x v="2"/>
    <s v="Tables"/>
    <s v="Conference Table"/>
    <n v="6"/>
    <n v="696.88"/>
    <n v="0"/>
    <n v="4181.28"/>
    <n v="3413.83"/>
    <n v="767.45"/>
    <s v="Debit Card"/>
  </r>
  <r>
    <s v="ORD-02515"/>
    <x v="281"/>
    <x v="2"/>
    <s v="Massachusetts"/>
    <s v="Springfield"/>
    <s v="Drew Anderson"/>
    <x v="0"/>
    <x v="1"/>
    <s v="Laptops"/>
    <s v="Ultrabook"/>
    <n v="9"/>
    <n v="1479.5"/>
    <n v="0"/>
    <n v="13315.5"/>
    <n v="8483.4699999999993"/>
    <n v="4832.03"/>
    <s v="Credit Card"/>
  </r>
  <r>
    <s v="ORD-00953"/>
    <x v="281"/>
    <x v="2"/>
    <s v="Vermont"/>
    <s v="Rutland"/>
    <s v="Riley Wilson"/>
    <x v="0"/>
    <x v="1"/>
    <s v="Laptops"/>
    <s v="Ultrabook"/>
    <n v="6"/>
    <n v="1785.24"/>
    <n v="0"/>
    <n v="10711.44"/>
    <n v="6235.97"/>
    <n v="4475.47"/>
    <s v="Debit Card"/>
  </r>
  <r>
    <s v="ORD-00575"/>
    <x v="281"/>
    <x v="3"/>
    <s v="Indiana"/>
    <s v="Evansville"/>
    <s v="Taylor Smith"/>
    <x v="0"/>
    <x v="0"/>
    <s v="Paper"/>
    <s v="Recycled Paper"/>
    <n v="5"/>
    <n v="13.16"/>
    <n v="0.05"/>
    <n v="62.51"/>
    <n v="40.1"/>
    <n v="22.41"/>
    <s v="Credit Card"/>
  </r>
  <r>
    <s v="ORD-01306"/>
    <x v="281"/>
    <x v="3"/>
    <s v="Ohio"/>
    <s v="Columbus"/>
    <s v="Casey Brown"/>
    <x v="2"/>
    <x v="2"/>
    <s v="Bookcases"/>
    <s v="3-Shelf Bookcase"/>
    <n v="9"/>
    <n v="328.55"/>
    <n v="0.05"/>
    <n v="2809.1"/>
    <n v="1782.52"/>
    <n v="1026.58"/>
    <s v="Bank Transfer"/>
  </r>
  <r>
    <s v="ORD-01141"/>
    <x v="282"/>
    <x v="1"/>
    <s v="Texas"/>
    <s v="Austin"/>
    <s v="Riley Wilson"/>
    <x v="0"/>
    <x v="0"/>
    <s v="Pens"/>
    <s v="Fine Tip Pens"/>
    <n v="4"/>
    <n v="23.81"/>
    <n v="0.1"/>
    <n v="85.72"/>
    <n v="69.47"/>
    <n v="16.25"/>
    <s v="Credit Card"/>
  </r>
  <r>
    <s v="ORD-02594"/>
    <x v="282"/>
    <x v="0"/>
    <s v="Oregon"/>
    <s v="Eugene"/>
    <s v="Alex Morgan"/>
    <x v="2"/>
    <x v="1"/>
    <s v="Keyboards"/>
    <s v="Mechanical Keyboard"/>
    <n v="2"/>
    <n v="125.36"/>
    <n v="0.1"/>
    <n v="225.65"/>
    <n v="166.05"/>
    <n v="59.6"/>
    <s v="Credit Card"/>
  </r>
  <r>
    <s v="ORD-00567"/>
    <x v="282"/>
    <x v="1"/>
    <s v="Georgia"/>
    <s v="Augusta"/>
    <s v="Drew Anderson"/>
    <x v="2"/>
    <x v="1"/>
    <s v="Headsets"/>
    <s v="Wireless Headset"/>
    <n v="6"/>
    <n v="243.69"/>
    <n v="0.1"/>
    <n v="1315.93"/>
    <n v="949.61"/>
    <n v="366.32"/>
    <s v="Bank Transfer"/>
  </r>
  <r>
    <s v="ORD-00393"/>
    <x v="282"/>
    <x v="0"/>
    <s v="Arizona"/>
    <s v="Mesa"/>
    <s v="Cameron Clark"/>
    <x v="0"/>
    <x v="2"/>
    <s v="Bookcases"/>
    <s v="Storage Bookcase"/>
    <n v="3"/>
    <n v="386.78"/>
    <n v="0.15"/>
    <n v="986.29"/>
    <n v="688.04"/>
    <n v="298.25"/>
    <s v="Bank Transfer"/>
  </r>
  <r>
    <s v="ORD-00076"/>
    <x v="282"/>
    <x v="1"/>
    <s v="Texas"/>
    <s v="Dallas"/>
    <s v="Jordan Lee"/>
    <x v="2"/>
    <x v="1"/>
    <s v="Monitors"/>
    <s v="27in Monitor"/>
    <n v="7"/>
    <n v="258.87"/>
    <n v="0.1"/>
    <n v="1630.88"/>
    <n v="966.12"/>
    <n v="664.76"/>
    <s v="Bank Transfer"/>
  </r>
  <r>
    <s v="ORD-02696"/>
    <x v="282"/>
    <x v="1"/>
    <s v="North Carolina"/>
    <s v="Durham"/>
    <s v="Casey Brown"/>
    <x v="0"/>
    <x v="1"/>
    <s v="Monitors"/>
    <s v="24in Monitor"/>
    <n v="4"/>
    <n v="491.71"/>
    <n v="0"/>
    <n v="1966.84"/>
    <n v="1299.33"/>
    <n v="667.51"/>
    <s v="PayPal"/>
  </r>
  <r>
    <s v="ORD-02484"/>
    <x v="282"/>
    <x v="0"/>
    <s v="Arizona"/>
    <s v="Tucson"/>
    <s v="Casey Brown"/>
    <x v="0"/>
    <x v="1"/>
    <s v="Monitors"/>
    <s v="34in Monitor"/>
    <n v="6"/>
    <n v="356.79"/>
    <n v="0.1"/>
    <n v="1926.67"/>
    <n v="1193.05"/>
    <n v="733.62"/>
    <s v="Bank Transfer"/>
  </r>
  <r>
    <s v="ORD-02450"/>
    <x v="282"/>
    <x v="2"/>
    <s v="Pennsylvania"/>
    <s v="Pittsburgh"/>
    <s v="Cameron Clark"/>
    <x v="0"/>
    <x v="1"/>
    <s v="Keyboards"/>
    <s v="Mechanical Keyboard"/>
    <n v="8"/>
    <n v="172.13"/>
    <n v="0"/>
    <n v="1377.04"/>
    <n v="783.43"/>
    <n v="593.61"/>
    <s v="Bank Transfer"/>
  </r>
  <r>
    <s v="ORD-00331"/>
    <x v="282"/>
    <x v="2"/>
    <s v="New Jersey"/>
    <s v="Trenton"/>
    <s v="Morgan Davis"/>
    <x v="0"/>
    <x v="0"/>
    <s v="Pens"/>
    <s v="Fine Tip Pens"/>
    <n v="10"/>
    <n v="11.63"/>
    <n v="0.1"/>
    <n v="104.67"/>
    <n v="64.16"/>
    <n v="40.51"/>
    <s v="Bank Transfer"/>
  </r>
  <r>
    <s v="ORD-01515"/>
    <x v="282"/>
    <x v="0"/>
    <s v="Arizona"/>
    <s v="Phoenix"/>
    <s v="Avery Johnson"/>
    <x v="2"/>
    <x v="0"/>
    <s v="Pens"/>
    <s v="Fine Tip Pens"/>
    <n v="7"/>
    <n v="21.59"/>
    <n v="0.2"/>
    <n v="120.9"/>
    <n v="88.29"/>
    <n v="32.61"/>
    <s v="Bank Transfer"/>
  </r>
  <r>
    <s v="ORD-00632"/>
    <x v="283"/>
    <x v="0"/>
    <s v="Washington"/>
    <s v="Seattle"/>
    <s v="Cameron Clark"/>
    <x v="2"/>
    <x v="1"/>
    <s v="Monitors"/>
    <s v="24in Monitor"/>
    <n v="7"/>
    <n v="238.84"/>
    <n v="0.1"/>
    <n v="1504.69"/>
    <n v="1144.74"/>
    <n v="359.95"/>
    <s v="Debit Card"/>
  </r>
  <r>
    <s v="ORD-02371"/>
    <x v="283"/>
    <x v="0"/>
    <s v="California"/>
    <s v="San Jose"/>
    <s v="Riley Wilson"/>
    <x v="2"/>
    <x v="1"/>
    <s v="Monitors"/>
    <s v="27in Monitor"/>
    <n v="8"/>
    <n v="535.54999999999995"/>
    <n v="0.15"/>
    <n v="3641.74"/>
    <n v="2967.8"/>
    <n v="673.94"/>
    <s v="Debit Card"/>
  </r>
  <r>
    <s v="ORD-01639"/>
    <x v="283"/>
    <x v="2"/>
    <s v="Pennsylvania"/>
    <s v="Pittsburgh"/>
    <s v="Casey Brown"/>
    <x v="1"/>
    <x v="2"/>
    <s v="Tables"/>
    <s v="Training Table"/>
    <n v="6"/>
    <n v="500.9"/>
    <n v="0"/>
    <n v="3005.4"/>
    <n v="2177.21"/>
    <n v="828.19"/>
    <s v="Credit Card"/>
  </r>
  <r>
    <s v="ORD-00210"/>
    <x v="283"/>
    <x v="2"/>
    <s v="New Jersey"/>
    <s v="Jersey City"/>
    <s v="Taylor Smith"/>
    <x v="1"/>
    <x v="0"/>
    <s v="Pens"/>
    <s v="Gel Pens"/>
    <n v="10"/>
    <n v="11.31"/>
    <n v="0.1"/>
    <n v="101.79"/>
    <n v="77.97"/>
    <n v="23.82"/>
    <s v="PayPal"/>
  </r>
  <r>
    <s v="ORD-00473"/>
    <x v="283"/>
    <x v="3"/>
    <s v="Minnesota"/>
    <s v="St. Paul"/>
    <s v="Avery Johnson"/>
    <x v="0"/>
    <x v="1"/>
    <s v="Keyboards"/>
    <s v="Mechanical Keyboard"/>
    <n v="9"/>
    <n v="174.36"/>
    <n v="0.05"/>
    <n v="1490.78"/>
    <n v="1222.2"/>
    <n v="268.58"/>
    <s v="Debit Card"/>
  </r>
  <r>
    <s v="ORD-02565"/>
    <x v="283"/>
    <x v="1"/>
    <s v="Texas"/>
    <s v="Austin"/>
    <s v="Casey Brown"/>
    <x v="2"/>
    <x v="2"/>
    <s v="Tables"/>
    <s v="Side Table"/>
    <n v="4"/>
    <n v="793.23"/>
    <n v="0"/>
    <n v="3172.92"/>
    <n v="2448.0300000000002"/>
    <n v="724.89"/>
    <s v="Bank Transfer"/>
  </r>
  <r>
    <s v="ORD-01349"/>
    <x v="284"/>
    <x v="0"/>
    <s v="Washington"/>
    <s v="Tacoma"/>
    <s v="Jordan Lee"/>
    <x v="0"/>
    <x v="1"/>
    <s v="Headsets"/>
    <s v="Wireless Headset"/>
    <n v="7"/>
    <n v="247.23"/>
    <n v="0.2"/>
    <n v="1384.49"/>
    <n v="1111.93"/>
    <n v="272.56"/>
    <s v="Credit Card"/>
  </r>
  <r>
    <s v="ORD-02868"/>
    <x v="284"/>
    <x v="1"/>
    <s v="North Carolina"/>
    <s v="Charlotte"/>
    <s v="Avery Johnson"/>
    <x v="1"/>
    <x v="2"/>
    <s v="Desks"/>
    <s v="Standing Desk"/>
    <n v="3"/>
    <n v="286.72000000000003"/>
    <n v="0.1"/>
    <n v="774.14"/>
    <n v="529.82000000000005"/>
    <n v="244.32"/>
    <s v="PayPal"/>
  </r>
  <r>
    <s v="ORD-01723"/>
    <x v="284"/>
    <x v="3"/>
    <s v="Ohio"/>
    <s v="Cincinnati"/>
    <s v="Cameron Clark"/>
    <x v="0"/>
    <x v="2"/>
    <s v="Bookcases"/>
    <s v="Storage Bookcase"/>
    <n v="6"/>
    <n v="358.72"/>
    <n v="0.15"/>
    <n v="1829.47"/>
    <n v="1162.1600000000001"/>
    <n v="667.31"/>
    <s v="Credit Card"/>
  </r>
  <r>
    <s v="ORD-00682"/>
    <x v="284"/>
    <x v="2"/>
    <s v="New York"/>
    <s v="Rochester"/>
    <s v="Casey Brown"/>
    <x v="0"/>
    <x v="0"/>
    <s v="Binders"/>
    <s v="3-Ring Binder"/>
    <n v="10"/>
    <n v="27.76"/>
    <n v="0"/>
    <n v="277.60000000000002"/>
    <n v="168.29"/>
    <n v="109.31"/>
    <s v="Credit Card"/>
  </r>
  <r>
    <s v="ORD-02020"/>
    <x v="284"/>
    <x v="0"/>
    <s v="Oregon"/>
    <s v="Portland"/>
    <s v="Jamie Miller"/>
    <x v="2"/>
    <x v="1"/>
    <s v="Monitors"/>
    <s v="34in Monitor"/>
    <n v="8"/>
    <n v="640.80999999999995"/>
    <n v="0.1"/>
    <n v="4613.83"/>
    <n v="2601.38"/>
    <n v="2012.45"/>
    <s v="Bank Transfer"/>
  </r>
  <r>
    <s v="ORD-01092"/>
    <x v="284"/>
    <x v="3"/>
    <s v="Ohio"/>
    <s v="Cincinnati"/>
    <s v="Alex Morgan"/>
    <x v="0"/>
    <x v="1"/>
    <s v="Laptops"/>
    <s v="Workstation Laptop"/>
    <n v="10"/>
    <n v="1770.78"/>
    <n v="0.1"/>
    <n v="15937.02"/>
    <n v="9461.5"/>
    <n v="6475.52"/>
    <s v="Debit Card"/>
  </r>
  <r>
    <s v="ORD-00041"/>
    <x v="284"/>
    <x v="3"/>
    <s v="Indiana"/>
    <s v="Evansville"/>
    <s v="Taylor Smith"/>
    <x v="0"/>
    <x v="2"/>
    <s v="Chairs"/>
    <s v="Ergonomic Chair"/>
    <n v="7"/>
    <n v="642.79999999999995"/>
    <n v="0.1"/>
    <n v="4049.64"/>
    <n v="2500.0300000000002"/>
    <n v="1549.61"/>
    <s v="Bank Transfer"/>
  </r>
  <r>
    <s v="ORD-01221"/>
    <x v="284"/>
    <x v="2"/>
    <s v="Vermont"/>
    <s v="Montpelier"/>
    <s v="Taylor Smith"/>
    <x v="2"/>
    <x v="0"/>
    <s v="Binders"/>
    <s v="3-Ring Binder"/>
    <n v="6"/>
    <n v="21.04"/>
    <n v="0.1"/>
    <n v="113.62"/>
    <n v="64.89"/>
    <n v="48.73"/>
    <s v="Bank Transfer"/>
  </r>
  <r>
    <s v="ORD-01887"/>
    <x v="284"/>
    <x v="1"/>
    <s v="Georgia"/>
    <s v="Atlanta"/>
    <s v="Jordan Lee"/>
    <x v="1"/>
    <x v="1"/>
    <s v="Monitors"/>
    <s v="24in Monitor"/>
    <n v="1"/>
    <n v="464.01"/>
    <n v="0.2"/>
    <n v="371.21"/>
    <n v="291.33999999999997"/>
    <n v="79.87"/>
    <s v="Debit Card"/>
  </r>
  <r>
    <s v="ORD-01304"/>
    <x v="285"/>
    <x v="1"/>
    <s v="Georgia"/>
    <s v="Savannah"/>
    <s v="Alex Morgan"/>
    <x v="0"/>
    <x v="2"/>
    <s v="Bookcases"/>
    <s v="Storage Bookcase"/>
    <n v="2"/>
    <n v="214.43"/>
    <n v="0.2"/>
    <n v="343.09"/>
    <n v="226.9"/>
    <n v="116.19"/>
    <s v="Bank Transfer"/>
  </r>
  <r>
    <s v="ORD-01720"/>
    <x v="285"/>
    <x v="2"/>
    <s v="New York"/>
    <s v="Buffalo"/>
    <s v="Cameron Clark"/>
    <x v="2"/>
    <x v="2"/>
    <s v="Desks"/>
    <s v="Work Desk"/>
    <n v="9"/>
    <n v="432.23"/>
    <n v="0.15"/>
    <n v="3306.56"/>
    <n v="2684.73"/>
    <n v="621.83000000000004"/>
    <s v="Credit Card"/>
  </r>
  <r>
    <s v="ORD-01400"/>
    <x v="285"/>
    <x v="2"/>
    <s v="Pennsylvania"/>
    <s v="Pittsburgh"/>
    <s v="Jordan Lee"/>
    <x v="1"/>
    <x v="2"/>
    <s v="Tables"/>
    <s v="Conference Table"/>
    <n v="10"/>
    <n v="501.76"/>
    <n v="0.15"/>
    <n v="4264.96"/>
    <n v="2834.71"/>
    <n v="1430.25"/>
    <s v="Bank Transfer"/>
  </r>
  <r>
    <s v="ORD-00090"/>
    <x v="285"/>
    <x v="1"/>
    <s v="Florida"/>
    <s v="Orlando"/>
    <s v="Morgan Davis"/>
    <x v="0"/>
    <x v="1"/>
    <s v="Headsets"/>
    <s v="Wireless Headset"/>
    <n v="5"/>
    <n v="185.57"/>
    <n v="0.15"/>
    <n v="788.67"/>
    <n v="509.81"/>
    <n v="278.86"/>
    <s v="Bank Transfer"/>
  </r>
  <r>
    <s v="ORD-02275"/>
    <x v="285"/>
    <x v="0"/>
    <s v="Colorado"/>
    <s v="Colorado Springs"/>
    <s v="Alex Morgan"/>
    <x v="0"/>
    <x v="0"/>
    <s v="Pens"/>
    <s v="Gel Pens"/>
    <n v="6"/>
    <n v="24.56"/>
    <n v="0.15"/>
    <n v="125.26"/>
    <n v="98.06"/>
    <n v="27.2"/>
    <s v="Bank Transfer"/>
  </r>
  <r>
    <s v="ORD-00718"/>
    <x v="285"/>
    <x v="0"/>
    <s v="Oregon"/>
    <s v="Portland"/>
    <s v="Drew Anderson"/>
    <x v="0"/>
    <x v="0"/>
    <s v="Binders"/>
    <s v="3-Ring Binder"/>
    <n v="9"/>
    <n v="24.45"/>
    <n v="0.2"/>
    <n v="176.04"/>
    <n v="142.61000000000001"/>
    <n v="33.43"/>
    <s v="Bank Transfer"/>
  </r>
  <r>
    <s v="ORD-00742"/>
    <x v="285"/>
    <x v="1"/>
    <s v="North Carolina"/>
    <s v="Charlotte"/>
    <s v="Riley Wilson"/>
    <x v="0"/>
    <x v="1"/>
    <s v="Keyboards"/>
    <s v="Ergonomic Keyboard"/>
    <n v="9"/>
    <n v="120.22"/>
    <n v="0.1"/>
    <n v="973.78"/>
    <n v="774.8"/>
    <n v="198.98"/>
    <s v="Debit Card"/>
  </r>
  <r>
    <s v="ORD-00057"/>
    <x v="285"/>
    <x v="0"/>
    <s v="Arizona"/>
    <s v="Tucson"/>
    <s v="Casey Brown"/>
    <x v="0"/>
    <x v="1"/>
    <s v="Monitors"/>
    <s v="34in Monitor"/>
    <n v="6"/>
    <n v="571.42999999999995"/>
    <n v="0.05"/>
    <n v="3257.15"/>
    <n v="2643.21"/>
    <n v="613.94000000000005"/>
    <s v="PayPal"/>
  </r>
  <r>
    <s v="ORD-01140"/>
    <x v="285"/>
    <x v="2"/>
    <s v="Vermont"/>
    <s v="Burlington"/>
    <s v="Alex Morgan"/>
    <x v="0"/>
    <x v="1"/>
    <s v="Laptops"/>
    <s v="Workstation Laptop"/>
    <n v="1"/>
    <n v="1670.31"/>
    <n v="0"/>
    <n v="1670.31"/>
    <n v="1002.7"/>
    <n v="667.61"/>
    <s v="Credit Card"/>
  </r>
  <r>
    <s v="ORD-01458"/>
    <x v="286"/>
    <x v="0"/>
    <s v="Arizona"/>
    <s v="Phoenix"/>
    <s v="Jordan Lee"/>
    <x v="0"/>
    <x v="0"/>
    <s v="Paper"/>
    <s v="Recycled Paper"/>
    <n v="7"/>
    <n v="16.18"/>
    <n v="0.2"/>
    <n v="90.61"/>
    <n v="51.76"/>
    <n v="38.85"/>
    <s v="PayPal"/>
  </r>
  <r>
    <s v="ORD-00724"/>
    <x v="286"/>
    <x v="2"/>
    <s v="Massachusetts"/>
    <s v="Worcester"/>
    <s v="Riley Wilson"/>
    <x v="0"/>
    <x v="1"/>
    <s v="Laptops"/>
    <s v="Business Laptop"/>
    <n v="5"/>
    <n v="1077.43"/>
    <n v="0.05"/>
    <n v="5117.79"/>
    <n v="3019.34"/>
    <n v="2098.4499999999998"/>
    <s v="PayPal"/>
  </r>
  <r>
    <s v="ORD-00634"/>
    <x v="286"/>
    <x v="2"/>
    <s v="New York"/>
    <s v="Buffalo"/>
    <s v="Jordan Lee"/>
    <x v="0"/>
    <x v="0"/>
    <s v="Printers"/>
    <s v="All-in-One Printer"/>
    <n v="10"/>
    <n v="400.86"/>
    <n v="0"/>
    <n v="4008.6"/>
    <n v="2775.69"/>
    <n v="1232.9100000000001"/>
    <s v="Credit Card"/>
  </r>
  <r>
    <s v="ORD-00472"/>
    <x v="286"/>
    <x v="0"/>
    <s v="Colorado"/>
    <s v="Boulder"/>
    <s v="Drew Anderson"/>
    <x v="0"/>
    <x v="2"/>
    <s v="Chairs"/>
    <s v="Executive Chair"/>
    <n v="1"/>
    <n v="574.22"/>
    <n v="0.1"/>
    <n v="516.79999999999995"/>
    <n v="334.94"/>
    <n v="181.86"/>
    <s v="Bank Transfer"/>
  </r>
  <r>
    <s v="ORD-01438"/>
    <x v="286"/>
    <x v="2"/>
    <s v="New York"/>
    <s v="Buffalo"/>
    <s v="Taylor Smith"/>
    <x v="1"/>
    <x v="1"/>
    <s v="Laptops"/>
    <s v="Ultrabook"/>
    <n v="5"/>
    <n v="1582.87"/>
    <n v="0.1"/>
    <n v="7122.92"/>
    <n v="4363.8500000000004"/>
    <n v="2759.07"/>
    <s v="Debit Card"/>
  </r>
  <r>
    <s v="ORD-00066"/>
    <x v="286"/>
    <x v="1"/>
    <s v="North Carolina"/>
    <s v="Durham"/>
    <s v="Morgan Davis"/>
    <x v="1"/>
    <x v="0"/>
    <s v="Pens"/>
    <s v="Gel Pens"/>
    <n v="3"/>
    <n v="6.32"/>
    <n v="0"/>
    <n v="18.96"/>
    <n v="10.82"/>
    <n v="8.14"/>
    <s v="Debit Card"/>
  </r>
  <r>
    <s v="ORD-00332"/>
    <x v="286"/>
    <x v="2"/>
    <s v="Vermont"/>
    <s v="Rutland"/>
    <s v="Avery Johnson"/>
    <x v="0"/>
    <x v="0"/>
    <s v="Binders"/>
    <s v="Presentation Binder"/>
    <n v="9"/>
    <n v="21.44"/>
    <n v="0.1"/>
    <n v="173.66"/>
    <n v="104.4"/>
    <n v="69.260000000000005"/>
    <s v="Bank Transfer"/>
  </r>
  <r>
    <s v="ORD-02586"/>
    <x v="286"/>
    <x v="1"/>
    <s v="Georgia"/>
    <s v="Atlanta"/>
    <s v="Riley Wilson"/>
    <x v="0"/>
    <x v="1"/>
    <s v="Headsets"/>
    <s v="Noise-Canceling Headset"/>
    <n v="1"/>
    <n v="125.9"/>
    <n v="0.1"/>
    <n v="113.31"/>
    <n v="84.67"/>
    <n v="28.64"/>
    <s v="Credit Card"/>
  </r>
  <r>
    <s v="ORD-00698"/>
    <x v="286"/>
    <x v="1"/>
    <s v="North Carolina"/>
    <s v="Raleigh"/>
    <s v="Casey Brown"/>
    <x v="2"/>
    <x v="0"/>
    <s v="Pens"/>
    <s v="Fine Tip Pens"/>
    <n v="8"/>
    <n v="19.440000000000001"/>
    <n v="0"/>
    <n v="155.52000000000001"/>
    <n v="119.94"/>
    <n v="35.58"/>
    <s v="PayPal"/>
  </r>
  <r>
    <s v="ORD-00306"/>
    <x v="286"/>
    <x v="2"/>
    <s v="Pennsylvania"/>
    <s v="Pittsburgh"/>
    <s v="Morgan Davis"/>
    <x v="1"/>
    <x v="1"/>
    <s v="Monitors"/>
    <s v="34in Monitor"/>
    <n v="9"/>
    <n v="366.41"/>
    <n v="0"/>
    <n v="3297.69"/>
    <n v="2478.12"/>
    <n v="819.57"/>
    <s v="Credit Card"/>
  </r>
  <r>
    <s v="ORD-01216"/>
    <x v="286"/>
    <x v="2"/>
    <s v="Vermont"/>
    <s v="Montpelier"/>
    <s v="Cameron Clark"/>
    <x v="0"/>
    <x v="2"/>
    <s v="Bookcases"/>
    <s v="5-Shelf Bookcase"/>
    <n v="10"/>
    <n v="477.41"/>
    <n v="0"/>
    <n v="4774.1000000000004"/>
    <n v="3619.37"/>
    <n v="1154.73"/>
    <s v="Bank Transfer"/>
  </r>
  <r>
    <s v="ORD-00196"/>
    <x v="286"/>
    <x v="1"/>
    <s v="North Carolina"/>
    <s v="Raleigh"/>
    <s v="Casey Brown"/>
    <x v="2"/>
    <x v="1"/>
    <s v="Headsets"/>
    <s v="USB Headset"/>
    <n v="1"/>
    <n v="222.13"/>
    <n v="0.15"/>
    <n v="188.81"/>
    <n v="107.38"/>
    <n v="81.430000000000007"/>
    <s v="Bank Transfer"/>
  </r>
  <r>
    <s v="ORD-02062"/>
    <x v="286"/>
    <x v="1"/>
    <s v="North Carolina"/>
    <s v="Durham"/>
    <s v="Riley Wilson"/>
    <x v="0"/>
    <x v="2"/>
    <s v="Chairs"/>
    <s v="Ergonomic Chair"/>
    <n v="3"/>
    <n v="327.98"/>
    <n v="0.05"/>
    <n v="934.74"/>
    <n v="556.48"/>
    <n v="378.26"/>
    <s v="Debit Card"/>
  </r>
  <r>
    <s v="ORD-00436"/>
    <x v="286"/>
    <x v="0"/>
    <s v="Washington"/>
    <s v="Spokane"/>
    <s v="Jamie Miller"/>
    <x v="2"/>
    <x v="1"/>
    <s v="Monitors"/>
    <s v="24in Monitor"/>
    <n v="5"/>
    <n v="605.58000000000004"/>
    <n v="0.15"/>
    <n v="2573.7199999999998"/>
    <n v="1578.29"/>
    <n v="995.43"/>
    <s v="Debit Card"/>
  </r>
  <r>
    <s v="ORD-00431"/>
    <x v="286"/>
    <x v="2"/>
    <s v="Massachusetts"/>
    <s v="Springfield"/>
    <s v="Jordan Lee"/>
    <x v="2"/>
    <x v="0"/>
    <s v="Pens"/>
    <s v="Fine Tip Pens"/>
    <n v="3"/>
    <n v="18.86"/>
    <n v="0.05"/>
    <n v="53.75"/>
    <n v="33.89"/>
    <n v="19.86"/>
    <s v="Bank Transfer"/>
  </r>
  <r>
    <s v="ORD-02838"/>
    <x v="287"/>
    <x v="2"/>
    <s v="New Jersey"/>
    <s v="Jersey City"/>
    <s v="Cameron Clark"/>
    <x v="2"/>
    <x v="2"/>
    <s v="Desks"/>
    <s v="Work Desk"/>
    <n v="2"/>
    <n v="347.75"/>
    <n v="0.15"/>
    <n v="591.16999999999996"/>
    <n v="378.94"/>
    <n v="212.23"/>
    <s v="Credit Card"/>
  </r>
  <r>
    <s v="ORD-02709"/>
    <x v="287"/>
    <x v="0"/>
    <s v="Oregon"/>
    <s v="Salem"/>
    <s v="Riley Wilson"/>
    <x v="1"/>
    <x v="1"/>
    <s v="Monitors"/>
    <s v="24in Monitor"/>
    <n v="4"/>
    <n v="313.95999999999998"/>
    <n v="0"/>
    <n v="1255.8399999999999"/>
    <n v="976.67"/>
    <n v="279.17"/>
    <s v="Credit Card"/>
  </r>
  <r>
    <s v="ORD-00670"/>
    <x v="287"/>
    <x v="3"/>
    <s v="Illinois"/>
    <s v="Peoria"/>
    <s v="Morgan Davis"/>
    <x v="1"/>
    <x v="1"/>
    <s v="Keyboards"/>
    <s v="Wireless Keyboard"/>
    <n v="9"/>
    <n v="78.97"/>
    <n v="0"/>
    <n v="710.73"/>
    <n v="441.13"/>
    <n v="269.60000000000002"/>
    <s v="PayPal"/>
  </r>
  <r>
    <s v="ORD-02829"/>
    <x v="287"/>
    <x v="3"/>
    <s v="Illinois"/>
    <s v="Springfield"/>
    <s v="Casey Brown"/>
    <x v="1"/>
    <x v="2"/>
    <s v="Bookcases"/>
    <s v="3-Shelf Bookcase"/>
    <n v="3"/>
    <n v="268.73"/>
    <n v="0.05"/>
    <n v="765.88"/>
    <n v="429.46"/>
    <n v="336.42"/>
    <s v="Bank Transfer"/>
  </r>
  <r>
    <s v="ORD-01253"/>
    <x v="288"/>
    <x v="0"/>
    <s v="California"/>
    <s v="Los Angeles"/>
    <s v="Jordan Lee"/>
    <x v="0"/>
    <x v="0"/>
    <s v="Binders"/>
    <s v="3-Ring Binder"/>
    <n v="5"/>
    <n v="7.91"/>
    <n v="0.15"/>
    <n v="33.619999999999997"/>
    <n v="21.88"/>
    <n v="11.74"/>
    <s v="Credit Card"/>
  </r>
  <r>
    <s v="ORD-00642"/>
    <x v="288"/>
    <x v="1"/>
    <s v="Florida"/>
    <s v="Orlando"/>
    <s v="Alex Morgan"/>
    <x v="0"/>
    <x v="1"/>
    <s v="Monitors"/>
    <s v="24in Monitor"/>
    <n v="10"/>
    <n v="239.56"/>
    <n v="0.15"/>
    <n v="2036.26"/>
    <n v="1179.3"/>
    <n v="856.96"/>
    <s v="Debit Card"/>
  </r>
  <r>
    <s v="ORD-01452"/>
    <x v="288"/>
    <x v="2"/>
    <s v="New York"/>
    <s v="Rochester"/>
    <s v="Cameron Clark"/>
    <x v="1"/>
    <x v="1"/>
    <s v="Headsets"/>
    <s v="Noise-Canceling Headset"/>
    <n v="7"/>
    <n v="89.22"/>
    <n v="0.1"/>
    <n v="562.09"/>
    <n v="424.02"/>
    <n v="138.07"/>
    <s v="Credit Card"/>
  </r>
  <r>
    <s v="ORD-02346"/>
    <x v="288"/>
    <x v="0"/>
    <s v="Oregon"/>
    <s v="Eugene"/>
    <s v="Taylor Smith"/>
    <x v="0"/>
    <x v="0"/>
    <s v="Paper"/>
    <s v="Copy Paper"/>
    <n v="7"/>
    <n v="12.96"/>
    <n v="0.15"/>
    <n v="77.11"/>
    <n v="49.34"/>
    <n v="27.77"/>
    <s v="Credit Card"/>
  </r>
  <r>
    <s v="ORD-01685"/>
    <x v="288"/>
    <x v="3"/>
    <s v="Illinois"/>
    <s v="Peoria"/>
    <s v="Cameron Clark"/>
    <x v="1"/>
    <x v="2"/>
    <s v="Tables"/>
    <s v="Side Table"/>
    <n v="7"/>
    <n v="625.19000000000005"/>
    <n v="0"/>
    <n v="4376.33"/>
    <n v="2915.17"/>
    <n v="1461.16"/>
    <s v="Debit Card"/>
  </r>
  <r>
    <s v="ORD-01942"/>
    <x v="288"/>
    <x v="0"/>
    <s v="Oregon"/>
    <s v="Salem"/>
    <s v="Casey Brown"/>
    <x v="0"/>
    <x v="0"/>
    <s v="Printers"/>
    <s v="Color Printer"/>
    <n v="2"/>
    <n v="231.94"/>
    <n v="0.1"/>
    <n v="417.49"/>
    <n v="328.27"/>
    <n v="89.22"/>
    <s v="Credit Card"/>
  </r>
  <r>
    <s v="ORD-02394"/>
    <x v="288"/>
    <x v="3"/>
    <s v="Illinois"/>
    <s v="Springfield"/>
    <s v="Taylor Smith"/>
    <x v="0"/>
    <x v="1"/>
    <s v="Keyboards"/>
    <s v="Wireless Keyboard"/>
    <n v="5"/>
    <n v="123.81"/>
    <n v="0.1"/>
    <n v="557.14"/>
    <n v="323.42"/>
    <n v="233.72"/>
    <s v="Credit Card"/>
  </r>
  <r>
    <s v="ORD-00008"/>
    <x v="288"/>
    <x v="2"/>
    <s v="Pennsylvania"/>
    <s v="Allentown"/>
    <s v="Alex Morgan"/>
    <x v="0"/>
    <x v="1"/>
    <s v="Headsets"/>
    <s v="USB Headset"/>
    <n v="6"/>
    <n v="194.65"/>
    <n v="0"/>
    <n v="1167.9000000000001"/>
    <n v="740.6"/>
    <n v="427.3"/>
    <s v="Credit Card"/>
  </r>
  <r>
    <s v="ORD-00700"/>
    <x v="288"/>
    <x v="3"/>
    <s v="Illinois"/>
    <s v="Springfield"/>
    <s v="Drew Anderson"/>
    <x v="2"/>
    <x v="1"/>
    <s v="Monitors"/>
    <s v="24in Monitor"/>
    <n v="7"/>
    <n v="356.42"/>
    <n v="0"/>
    <n v="2494.94"/>
    <n v="1985.18"/>
    <n v="509.76"/>
    <s v="Credit Card"/>
  </r>
  <r>
    <s v="ORD-02340"/>
    <x v="288"/>
    <x v="2"/>
    <s v="New York"/>
    <s v="Buffalo"/>
    <s v="Drew Anderson"/>
    <x v="0"/>
    <x v="0"/>
    <s v="Paper"/>
    <s v="Copy Paper"/>
    <n v="9"/>
    <n v="12.98"/>
    <n v="0.15"/>
    <n v="99.3"/>
    <n v="64.78"/>
    <n v="34.520000000000003"/>
    <s v="PayPal"/>
  </r>
  <r>
    <s v="ORD-00225"/>
    <x v="288"/>
    <x v="1"/>
    <s v="Georgia"/>
    <s v="Savannah"/>
    <s v="Morgan Davis"/>
    <x v="2"/>
    <x v="0"/>
    <s v="Printers"/>
    <s v="Laser Printer"/>
    <n v="10"/>
    <n v="525.52"/>
    <n v="0.1"/>
    <n v="4729.68"/>
    <n v="3401.33"/>
    <n v="1328.35"/>
    <s v="Credit Card"/>
  </r>
  <r>
    <s v="ORD-00042"/>
    <x v="289"/>
    <x v="3"/>
    <s v="Ohio"/>
    <s v="Columbus"/>
    <s v="Morgan Davis"/>
    <x v="2"/>
    <x v="1"/>
    <s v="Headsets"/>
    <s v="Noise-Canceling Headset"/>
    <n v="9"/>
    <n v="59"/>
    <n v="0"/>
    <n v="531"/>
    <n v="312.92"/>
    <n v="218.08"/>
    <s v="Credit Card"/>
  </r>
  <r>
    <s v="ORD-02677"/>
    <x v="289"/>
    <x v="2"/>
    <s v="New York"/>
    <s v="New York City"/>
    <s v="Jordan Lee"/>
    <x v="0"/>
    <x v="0"/>
    <s v="Paper"/>
    <s v="Copy Paper"/>
    <n v="7"/>
    <n v="8.9499999999999993"/>
    <n v="0"/>
    <n v="62.65"/>
    <n v="49.84"/>
    <n v="12.81"/>
    <s v="PayPal"/>
  </r>
  <r>
    <s v="ORD-00266"/>
    <x v="289"/>
    <x v="1"/>
    <s v="Florida"/>
    <s v="Miami"/>
    <s v="Avery Johnson"/>
    <x v="0"/>
    <x v="1"/>
    <s v="Keyboards"/>
    <s v="Mechanical Keyboard"/>
    <n v="1"/>
    <n v="120.69"/>
    <n v="0.15"/>
    <n v="102.59"/>
    <n v="82.52"/>
    <n v="20.07"/>
    <s v="Bank Transfer"/>
  </r>
  <r>
    <s v="ORD-02773"/>
    <x v="290"/>
    <x v="0"/>
    <s v="California"/>
    <s v="San Jose"/>
    <s v="Jordan Lee"/>
    <x v="1"/>
    <x v="2"/>
    <s v="Desks"/>
    <s v="Standing Desk"/>
    <n v="1"/>
    <n v="801.2"/>
    <n v="0.05"/>
    <n v="761.14"/>
    <n v="500.97"/>
    <n v="260.17"/>
    <s v="Bank Transfer"/>
  </r>
  <r>
    <s v="ORD-01799"/>
    <x v="290"/>
    <x v="3"/>
    <s v="Minnesota"/>
    <s v="Rochester"/>
    <s v="Jordan Lee"/>
    <x v="1"/>
    <x v="0"/>
    <s v="Paper"/>
    <s v="Recycled Paper"/>
    <n v="5"/>
    <n v="27.61"/>
    <n v="0.05"/>
    <n v="131.15"/>
    <n v="103.51"/>
    <n v="27.64"/>
    <s v="Bank Transfer"/>
  </r>
  <r>
    <s v="ORD-00189"/>
    <x v="290"/>
    <x v="3"/>
    <s v="Minnesota"/>
    <s v="Minneapolis"/>
    <s v="Morgan Davis"/>
    <x v="2"/>
    <x v="1"/>
    <s v="Laptops"/>
    <s v="Ultrabook"/>
    <n v="8"/>
    <n v="1386.31"/>
    <n v="0.15"/>
    <n v="9426.91"/>
    <n v="6926.33"/>
    <n v="2500.58"/>
    <s v="Bank Transfer"/>
  </r>
  <r>
    <s v="ORD-01150"/>
    <x v="290"/>
    <x v="2"/>
    <s v="Pennsylvania"/>
    <s v="Allentown"/>
    <s v="Cameron Clark"/>
    <x v="0"/>
    <x v="2"/>
    <s v="Chairs"/>
    <s v="Task Chair"/>
    <n v="1"/>
    <n v="547.13"/>
    <n v="0.2"/>
    <n v="437.7"/>
    <n v="294.77"/>
    <n v="142.93"/>
    <s v="Debit Card"/>
  </r>
  <r>
    <s v="ORD-00621"/>
    <x v="290"/>
    <x v="0"/>
    <s v="Arizona"/>
    <s v="Tucson"/>
    <s v="Alex Morgan"/>
    <x v="0"/>
    <x v="0"/>
    <s v="Binders"/>
    <s v="Heavy-Duty Binder"/>
    <n v="9"/>
    <n v="18.010000000000002"/>
    <n v="0.1"/>
    <n v="145.88"/>
    <n v="101.98"/>
    <n v="43.9"/>
    <s v="Credit Card"/>
  </r>
  <r>
    <s v="ORD-00157"/>
    <x v="290"/>
    <x v="3"/>
    <s v="Ohio"/>
    <s v="Columbus"/>
    <s v="Riley Wilson"/>
    <x v="0"/>
    <x v="0"/>
    <s v="Paper"/>
    <s v="Premium Paper"/>
    <n v="2"/>
    <n v="19.46"/>
    <n v="0"/>
    <n v="38.92"/>
    <n v="27.86"/>
    <n v="11.06"/>
    <s v="Debit Card"/>
  </r>
  <r>
    <s v="ORD-02348"/>
    <x v="291"/>
    <x v="1"/>
    <s v="Florida"/>
    <s v="Tampa"/>
    <s v="Cameron Clark"/>
    <x v="1"/>
    <x v="1"/>
    <s v="Laptops"/>
    <s v="Ultrabook"/>
    <n v="7"/>
    <n v="1207.6300000000001"/>
    <n v="0.05"/>
    <n v="8030.74"/>
    <n v="5897.28"/>
    <n v="2133.46"/>
    <s v="Bank Transfer"/>
  </r>
  <r>
    <s v="ORD-00579"/>
    <x v="291"/>
    <x v="1"/>
    <s v="Texas"/>
    <s v="Houston"/>
    <s v="Taylor Smith"/>
    <x v="2"/>
    <x v="0"/>
    <s v="Paper"/>
    <s v="Premium Paper"/>
    <n v="3"/>
    <n v="15.88"/>
    <n v="0.1"/>
    <n v="42.88"/>
    <n v="28.64"/>
    <n v="14.24"/>
    <s v="Credit Card"/>
  </r>
  <r>
    <s v="ORD-00952"/>
    <x v="291"/>
    <x v="0"/>
    <s v="California"/>
    <s v="San Jose"/>
    <s v="Alex Morgan"/>
    <x v="2"/>
    <x v="0"/>
    <s v="Binders"/>
    <s v="3-Ring Binder"/>
    <n v="6"/>
    <n v="8.2899999999999991"/>
    <n v="0.05"/>
    <n v="47.25"/>
    <n v="37.369999999999997"/>
    <n v="9.8800000000000008"/>
    <s v="PayPal"/>
  </r>
  <r>
    <s v="ORD-00441"/>
    <x v="291"/>
    <x v="2"/>
    <s v="Pennsylvania"/>
    <s v="Allentown"/>
    <s v="Taylor Smith"/>
    <x v="1"/>
    <x v="1"/>
    <s v="Laptops"/>
    <s v="Business Laptop"/>
    <n v="3"/>
    <n v="1104.51"/>
    <n v="0.1"/>
    <n v="2982.18"/>
    <n v="2012.59"/>
    <n v="969.59"/>
    <s v="PayPal"/>
  </r>
  <r>
    <s v="ORD-02984"/>
    <x v="291"/>
    <x v="3"/>
    <s v="Minnesota"/>
    <s v="Minneapolis"/>
    <s v="Taylor Smith"/>
    <x v="0"/>
    <x v="0"/>
    <s v="Binders"/>
    <s v="Heavy-Duty Binder"/>
    <n v="7"/>
    <n v="28.67"/>
    <n v="0.2"/>
    <n v="160.55000000000001"/>
    <n v="118.6"/>
    <n v="41.95"/>
    <s v="Credit Card"/>
  </r>
  <r>
    <s v="ORD-02132"/>
    <x v="291"/>
    <x v="2"/>
    <s v="New York"/>
    <s v="Rochester"/>
    <s v="Riley Wilson"/>
    <x v="2"/>
    <x v="1"/>
    <s v="Keyboards"/>
    <s v="Ergonomic Keyboard"/>
    <n v="4"/>
    <n v="179.42"/>
    <n v="0.1"/>
    <n v="645.91"/>
    <n v="413.66"/>
    <n v="232.25"/>
    <s v="PayPal"/>
  </r>
  <r>
    <s v="ORD-00595"/>
    <x v="291"/>
    <x v="0"/>
    <s v="Colorado"/>
    <s v="Colorado Springs"/>
    <s v="Alex Morgan"/>
    <x v="0"/>
    <x v="0"/>
    <s v="Printers"/>
    <s v="Color Printer"/>
    <n v="10"/>
    <n v="487.03"/>
    <n v="0.05"/>
    <n v="4626.78"/>
    <n v="3589.64"/>
    <n v="1037.1400000000001"/>
    <s v="Credit Card"/>
  </r>
  <r>
    <s v="ORD-02076"/>
    <x v="292"/>
    <x v="3"/>
    <s v="Illinois"/>
    <s v="Springfield"/>
    <s v="Morgan Davis"/>
    <x v="2"/>
    <x v="1"/>
    <s v="Monitors"/>
    <s v="24in Monitor"/>
    <n v="2"/>
    <n v="472.24"/>
    <n v="0"/>
    <n v="944.48"/>
    <n v="688.66"/>
    <n v="255.82"/>
    <s v="Credit Card"/>
  </r>
  <r>
    <s v="ORD-01840"/>
    <x v="292"/>
    <x v="2"/>
    <s v="New York"/>
    <s v="New York City"/>
    <s v="Avery Johnson"/>
    <x v="0"/>
    <x v="1"/>
    <s v="Keyboards"/>
    <s v="Mechanical Keyboard"/>
    <n v="3"/>
    <n v="165.75"/>
    <n v="0"/>
    <n v="497.25"/>
    <n v="299.54000000000002"/>
    <n v="197.71"/>
    <s v="PayPal"/>
  </r>
  <r>
    <s v="ORD-02574"/>
    <x v="292"/>
    <x v="2"/>
    <s v="Pennsylvania"/>
    <s v="Allentown"/>
    <s v="Jamie Miller"/>
    <x v="0"/>
    <x v="0"/>
    <s v="Binders"/>
    <s v="Presentation Binder"/>
    <n v="6"/>
    <n v="26.11"/>
    <n v="0.2"/>
    <n v="125.33"/>
    <n v="69.739999999999995"/>
    <n v="55.59"/>
    <s v="Bank Transfer"/>
  </r>
  <r>
    <s v="ORD-00103"/>
    <x v="292"/>
    <x v="1"/>
    <s v="Virginia"/>
    <s v="Arlington"/>
    <s v="Riley Wilson"/>
    <x v="0"/>
    <x v="0"/>
    <s v="Printers"/>
    <s v="Laser Printer"/>
    <n v="2"/>
    <n v="439.77"/>
    <n v="0.2"/>
    <n v="703.63"/>
    <n v="460.98"/>
    <n v="242.65"/>
    <s v="PayPal"/>
  </r>
  <r>
    <s v="ORD-01633"/>
    <x v="292"/>
    <x v="0"/>
    <s v="Arizona"/>
    <s v="Tucson"/>
    <s v="Jordan Lee"/>
    <x v="0"/>
    <x v="2"/>
    <s v="Tables"/>
    <s v="Side Table"/>
    <n v="3"/>
    <n v="208.31"/>
    <n v="0.05"/>
    <n v="593.67999999999995"/>
    <n v="394.02"/>
    <n v="199.66"/>
    <s v="Bank Transfer"/>
  </r>
  <r>
    <s v="ORD-02546"/>
    <x v="292"/>
    <x v="2"/>
    <s v="New York"/>
    <s v="New York City"/>
    <s v="Cameron Clark"/>
    <x v="0"/>
    <x v="1"/>
    <s v="Laptops"/>
    <s v="Business Laptop"/>
    <n v="6"/>
    <n v="1545.99"/>
    <n v="0.2"/>
    <n v="7420.75"/>
    <n v="5313.87"/>
    <n v="2106.88"/>
    <s v="Bank Transfer"/>
  </r>
  <r>
    <s v="ORD-02229"/>
    <x v="292"/>
    <x v="2"/>
    <s v="Pennsylvania"/>
    <s v="Pittsburgh"/>
    <s v="Morgan Davis"/>
    <x v="2"/>
    <x v="1"/>
    <s v="Headsets"/>
    <s v="Noise-Canceling Headset"/>
    <n v="3"/>
    <n v="239.66"/>
    <n v="0.1"/>
    <n v="647.08000000000004"/>
    <n v="429.47"/>
    <n v="217.61"/>
    <s v="Bank Transfer"/>
  </r>
  <r>
    <s v="ORD-00089"/>
    <x v="292"/>
    <x v="0"/>
    <s v="Arizona"/>
    <s v="Mesa"/>
    <s v="Jordan Lee"/>
    <x v="0"/>
    <x v="2"/>
    <s v="Chairs"/>
    <s v="Executive Chair"/>
    <n v="2"/>
    <n v="542.89"/>
    <n v="0"/>
    <n v="1085.78"/>
    <n v="638.79"/>
    <n v="446.99"/>
    <s v="Credit Card"/>
  </r>
  <r>
    <s v="ORD-00622"/>
    <x v="292"/>
    <x v="1"/>
    <s v="Texas"/>
    <s v="Austin"/>
    <s v="Drew Anderson"/>
    <x v="0"/>
    <x v="1"/>
    <s v="Headsets"/>
    <s v="Noise-Canceling Headset"/>
    <n v="9"/>
    <n v="151.05000000000001"/>
    <n v="0"/>
    <n v="1359.45"/>
    <n v="805.49"/>
    <n v="553.96"/>
    <s v="PayPal"/>
  </r>
  <r>
    <s v="ORD-02474"/>
    <x v="293"/>
    <x v="0"/>
    <s v="Arizona"/>
    <s v="Mesa"/>
    <s v="Jordan Lee"/>
    <x v="0"/>
    <x v="2"/>
    <s v="Tables"/>
    <s v="Side Table"/>
    <n v="5"/>
    <n v="552.41"/>
    <n v="0.15"/>
    <n v="2347.7399999999998"/>
    <n v="1703.48"/>
    <n v="644.26"/>
    <s v="Debit Card"/>
  </r>
  <r>
    <s v="ORD-01730"/>
    <x v="293"/>
    <x v="1"/>
    <s v="Georgia"/>
    <s v="Augusta"/>
    <s v="Casey Brown"/>
    <x v="0"/>
    <x v="0"/>
    <s v="Printers"/>
    <s v="All-in-One Printer"/>
    <n v="1"/>
    <n v="383.75"/>
    <n v="0.05"/>
    <n v="364.56"/>
    <n v="292.62"/>
    <n v="71.94"/>
    <s v="Bank Transfer"/>
  </r>
  <r>
    <s v="ORD-01892"/>
    <x v="293"/>
    <x v="1"/>
    <s v="North Carolina"/>
    <s v="Charlotte"/>
    <s v="Drew Anderson"/>
    <x v="0"/>
    <x v="0"/>
    <s v="Paper"/>
    <s v="Recycled Paper"/>
    <n v="4"/>
    <n v="8.08"/>
    <n v="0.1"/>
    <n v="29.09"/>
    <n v="17"/>
    <n v="12.09"/>
    <s v="Credit Card"/>
  </r>
  <r>
    <s v="ORD-02487"/>
    <x v="293"/>
    <x v="1"/>
    <s v="Georgia"/>
    <s v="Savannah"/>
    <s v="Cameron Clark"/>
    <x v="2"/>
    <x v="0"/>
    <s v="Printers"/>
    <s v="All-in-One Printer"/>
    <n v="5"/>
    <n v="440.91"/>
    <n v="0.05"/>
    <n v="2094.3200000000002"/>
    <n v="1366.09"/>
    <n v="728.23"/>
    <s v="Credit Card"/>
  </r>
  <r>
    <s v="ORD-01492"/>
    <x v="293"/>
    <x v="3"/>
    <s v="Illinois"/>
    <s v="Chicago"/>
    <s v="Cameron Clark"/>
    <x v="2"/>
    <x v="1"/>
    <s v="Keyboards"/>
    <s v="Mechanical Keyboard"/>
    <n v="10"/>
    <n v="74.25"/>
    <n v="0.05"/>
    <n v="705.38"/>
    <n v="445.53"/>
    <n v="259.85000000000002"/>
    <s v="Debit Card"/>
  </r>
  <r>
    <s v="ORD-02014"/>
    <x v="294"/>
    <x v="0"/>
    <s v="Colorado"/>
    <s v="Boulder"/>
    <s v="Drew Anderson"/>
    <x v="0"/>
    <x v="0"/>
    <s v="Printers"/>
    <s v="All-in-One Printer"/>
    <n v="1"/>
    <n v="389.56"/>
    <n v="0.1"/>
    <n v="350.6"/>
    <n v="207.21"/>
    <n v="143.38999999999999"/>
    <s v="PayPal"/>
  </r>
  <r>
    <s v="ORD-00853"/>
    <x v="294"/>
    <x v="2"/>
    <s v="New Jersey"/>
    <s v="Newark"/>
    <s v="Cameron Clark"/>
    <x v="2"/>
    <x v="0"/>
    <s v="Paper"/>
    <s v="Copy Paper"/>
    <n v="7"/>
    <n v="10.89"/>
    <n v="0.1"/>
    <n v="68.61"/>
    <n v="50.56"/>
    <n v="18.05"/>
    <s v="Bank Transfer"/>
  </r>
  <r>
    <s v="ORD-01521"/>
    <x v="294"/>
    <x v="1"/>
    <s v="Virginia"/>
    <s v="Norfolk"/>
    <s v="Alex Morgan"/>
    <x v="2"/>
    <x v="0"/>
    <s v="Pens"/>
    <s v="Ballpoint Pens"/>
    <n v="1"/>
    <n v="8.39"/>
    <n v="0.05"/>
    <n v="7.97"/>
    <n v="5.89"/>
    <n v="2.08"/>
    <s v="Debit Card"/>
  </r>
  <r>
    <s v="ORD-02959"/>
    <x v="294"/>
    <x v="3"/>
    <s v="Ohio"/>
    <s v="Cincinnati"/>
    <s v="Jamie Miller"/>
    <x v="1"/>
    <x v="1"/>
    <s v="Monitors"/>
    <s v="34in Monitor"/>
    <n v="10"/>
    <n v="502.12"/>
    <n v="0.1"/>
    <n v="4519.08"/>
    <n v="2828.83"/>
    <n v="1690.25"/>
    <s v="Bank Transfer"/>
  </r>
  <r>
    <s v="ORD-00343"/>
    <x v="294"/>
    <x v="3"/>
    <s v="Illinois"/>
    <s v="Chicago"/>
    <s v="Casey Brown"/>
    <x v="2"/>
    <x v="1"/>
    <s v="Keyboards"/>
    <s v="Wireless Keyboard"/>
    <n v="7"/>
    <n v="45.49"/>
    <n v="0.1"/>
    <n v="286.58999999999997"/>
    <n v="184.42"/>
    <n v="102.17"/>
    <s v="PayPal"/>
  </r>
  <r>
    <s v="ORD-00476"/>
    <x v="294"/>
    <x v="0"/>
    <s v="Colorado"/>
    <s v="Colorado Springs"/>
    <s v="Alex Morgan"/>
    <x v="2"/>
    <x v="2"/>
    <s v="Chairs"/>
    <s v="Executive Chair"/>
    <n v="1"/>
    <n v="440.52"/>
    <n v="0.1"/>
    <n v="396.47"/>
    <n v="276.87"/>
    <n v="119.6"/>
    <s v="PayPal"/>
  </r>
  <r>
    <s v="ORD-02510"/>
    <x v="295"/>
    <x v="0"/>
    <s v="Oregon"/>
    <s v="Eugene"/>
    <s v="Taylor Smith"/>
    <x v="2"/>
    <x v="0"/>
    <s v="Binders"/>
    <s v="3-Ring Binder"/>
    <n v="2"/>
    <n v="9.42"/>
    <n v="0.2"/>
    <n v="15.07"/>
    <n v="8.99"/>
    <n v="6.08"/>
    <s v="Debit Card"/>
  </r>
  <r>
    <s v="ORD-00539"/>
    <x v="295"/>
    <x v="2"/>
    <s v="Vermont"/>
    <s v="Burlington"/>
    <s v="Drew Anderson"/>
    <x v="0"/>
    <x v="1"/>
    <s v="Laptops"/>
    <s v="Business Laptop"/>
    <n v="1"/>
    <n v="1428.35"/>
    <n v="0.15"/>
    <n v="1214.0999999999999"/>
    <n v="911.88"/>
    <n v="302.22000000000003"/>
    <s v="Debit Card"/>
  </r>
  <r>
    <s v="ORD-02419"/>
    <x v="295"/>
    <x v="2"/>
    <s v="Vermont"/>
    <s v="Montpelier"/>
    <s v="Drew Anderson"/>
    <x v="0"/>
    <x v="0"/>
    <s v="Pens"/>
    <s v="Ballpoint Pens"/>
    <n v="7"/>
    <n v="5.68"/>
    <n v="0.05"/>
    <n v="37.770000000000003"/>
    <n v="29.37"/>
    <n v="8.4"/>
    <s v="Credit Card"/>
  </r>
  <r>
    <s v="ORD-01482"/>
    <x v="295"/>
    <x v="2"/>
    <s v="Pennsylvania"/>
    <s v="Pittsburgh"/>
    <s v="Jordan Lee"/>
    <x v="2"/>
    <x v="0"/>
    <s v="Binders"/>
    <s v="Presentation Binder"/>
    <n v="6"/>
    <n v="6.97"/>
    <n v="0"/>
    <n v="41.82"/>
    <n v="25.43"/>
    <n v="16.39"/>
    <s v="PayPal"/>
  </r>
  <r>
    <s v="ORD-02854"/>
    <x v="295"/>
    <x v="1"/>
    <s v="Florida"/>
    <s v="Miami"/>
    <s v="Alex Morgan"/>
    <x v="1"/>
    <x v="1"/>
    <s v="Laptops"/>
    <s v="Workstation Laptop"/>
    <n v="8"/>
    <n v="728.32"/>
    <n v="0.15"/>
    <n v="4952.58"/>
    <n v="3907.51"/>
    <n v="1045.07"/>
    <s v="Bank Transfer"/>
  </r>
  <r>
    <s v="ORD-02374"/>
    <x v="295"/>
    <x v="0"/>
    <s v="Colorado"/>
    <s v="Boulder"/>
    <s v="Alex Morgan"/>
    <x v="2"/>
    <x v="1"/>
    <s v="Monitors"/>
    <s v="24in Monitor"/>
    <n v="8"/>
    <n v="456.76"/>
    <n v="0"/>
    <n v="3654.08"/>
    <n v="2027.9"/>
    <n v="1626.18"/>
    <s v="PayPal"/>
  </r>
  <r>
    <s v="ORD-00301"/>
    <x v="295"/>
    <x v="2"/>
    <s v="New Jersey"/>
    <s v="Newark"/>
    <s v="Morgan Davis"/>
    <x v="2"/>
    <x v="1"/>
    <s v="Monitors"/>
    <s v="34in Monitor"/>
    <n v="6"/>
    <n v="645.69000000000005"/>
    <n v="0.05"/>
    <n v="3680.43"/>
    <n v="2828.61"/>
    <n v="851.82"/>
    <s v="PayPal"/>
  </r>
  <r>
    <s v="ORD-01600"/>
    <x v="295"/>
    <x v="2"/>
    <s v="Pennsylvania"/>
    <s v="Pittsburgh"/>
    <s v="Alex Morgan"/>
    <x v="2"/>
    <x v="2"/>
    <s v="Desks"/>
    <s v="Work Desk"/>
    <n v="5"/>
    <n v="248.15"/>
    <n v="0.1"/>
    <n v="1116.68"/>
    <n v="707.17"/>
    <n v="409.51"/>
    <s v="Bank Transfer"/>
  </r>
  <r>
    <s v="ORD-01046"/>
    <x v="295"/>
    <x v="3"/>
    <s v="Ohio"/>
    <s v="Columbus"/>
    <s v="Morgan Davis"/>
    <x v="2"/>
    <x v="0"/>
    <s v="Binders"/>
    <s v="Heavy-Duty Binder"/>
    <n v="7"/>
    <n v="15.5"/>
    <n v="0.2"/>
    <n v="86.8"/>
    <n v="52.84"/>
    <n v="33.96"/>
    <s v="PayPal"/>
  </r>
  <r>
    <s v="ORD-01921"/>
    <x v="295"/>
    <x v="3"/>
    <s v="Minnesota"/>
    <s v="St. Paul"/>
    <s v="Casey Brown"/>
    <x v="0"/>
    <x v="1"/>
    <s v="Laptops"/>
    <s v="Business Laptop"/>
    <n v="1"/>
    <n v="1581.24"/>
    <n v="0.05"/>
    <n v="1502.18"/>
    <n v="1038.3800000000001"/>
    <n v="463.8"/>
    <s v="PayPal"/>
  </r>
  <r>
    <s v="ORD-02468"/>
    <x v="296"/>
    <x v="2"/>
    <s v="Pennsylvania"/>
    <s v="Philadelphia"/>
    <s v="Drew Anderson"/>
    <x v="1"/>
    <x v="2"/>
    <s v="Bookcases"/>
    <s v="5-Shelf Bookcase"/>
    <n v="5"/>
    <n v="288.25"/>
    <n v="0.15"/>
    <n v="1225.06"/>
    <n v="878.54"/>
    <n v="346.52"/>
    <s v="PayPal"/>
  </r>
  <r>
    <s v="ORD-02336"/>
    <x v="296"/>
    <x v="0"/>
    <s v="California"/>
    <s v="San Jose"/>
    <s v="Taylor Smith"/>
    <x v="2"/>
    <x v="1"/>
    <s v="Headsets"/>
    <s v="USB Headset"/>
    <n v="7"/>
    <n v="98.32"/>
    <n v="0.1"/>
    <n v="619.41999999999996"/>
    <n v="452.25"/>
    <n v="167.17"/>
    <s v="Bank Transfer"/>
  </r>
  <r>
    <s v="ORD-01026"/>
    <x v="296"/>
    <x v="1"/>
    <s v="Texas"/>
    <s v="Houston"/>
    <s v="Alex Morgan"/>
    <x v="0"/>
    <x v="1"/>
    <s v="Headsets"/>
    <s v="Wireless Headset"/>
    <n v="6"/>
    <n v="148.41999999999999"/>
    <n v="0.05"/>
    <n v="845.99"/>
    <n v="569.71"/>
    <n v="276.27999999999997"/>
    <s v="Debit Card"/>
  </r>
  <r>
    <s v="ORD-02382"/>
    <x v="296"/>
    <x v="2"/>
    <s v="Vermont"/>
    <s v="Burlington"/>
    <s v="Morgan Davis"/>
    <x v="2"/>
    <x v="0"/>
    <s v="Pens"/>
    <s v="Gel Pens"/>
    <n v="3"/>
    <n v="14.05"/>
    <n v="0.05"/>
    <n v="40.04"/>
    <n v="25.35"/>
    <n v="14.69"/>
    <s v="PayPal"/>
  </r>
  <r>
    <s v="ORD-02665"/>
    <x v="296"/>
    <x v="1"/>
    <s v="North Carolina"/>
    <s v="Raleigh"/>
    <s v="Alex Morgan"/>
    <x v="1"/>
    <x v="2"/>
    <s v="Chairs"/>
    <s v="Executive Chair"/>
    <n v="2"/>
    <n v="680.46"/>
    <n v="0.05"/>
    <n v="1292.8699999999999"/>
    <n v="870.12"/>
    <n v="422.75"/>
    <s v="Credit Card"/>
  </r>
  <r>
    <s v="ORD-00013"/>
    <x v="296"/>
    <x v="3"/>
    <s v="Michigan"/>
    <s v="Detroit"/>
    <s v="Avery Johnson"/>
    <x v="0"/>
    <x v="0"/>
    <s v="Printers"/>
    <s v="All-in-One Printer"/>
    <n v="3"/>
    <n v="178.65"/>
    <n v="0.15"/>
    <n v="455.56"/>
    <n v="264"/>
    <n v="191.56"/>
    <s v="Debit Card"/>
  </r>
  <r>
    <s v="ORD-02934"/>
    <x v="296"/>
    <x v="2"/>
    <s v="New York"/>
    <s v="Buffalo"/>
    <s v="Jordan Lee"/>
    <x v="1"/>
    <x v="1"/>
    <s v="Headsets"/>
    <s v="Noise-Canceling Headset"/>
    <n v="9"/>
    <n v="173.68"/>
    <n v="0.05"/>
    <n v="1484.96"/>
    <n v="1119.73"/>
    <n v="365.23"/>
    <s v="PayPal"/>
  </r>
  <r>
    <s v="ORD-02758"/>
    <x v="296"/>
    <x v="0"/>
    <s v="Arizona"/>
    <s v="Tucson"/>
    <s v="Morgan Davis"/>
    <x v="2"/>
    <x v="0"/>
    <s v="Pens"/>
    <s v="Ballpoint Pens"/>
    <n v="4"/>
    <n v="5.4"/>
    <n v="0.1"/>
    <n v="19.440000000000001"/>
    <n v="11.37"/>
    <n v="8.07"/>
    <s v="Debit Card"/>
  </r>
  <r>
    <s v="ORD-00719"/>
    <x v="296"/>
    <x v="0"/>
    <s v="Arizona"/>
    <s v="Phoenix"/>
    <s v="Avery Johnson"/>
    <x v="0"/>
    <x v="0"/>
    <s v="Pens"/>
    <s v="Gel Pens"/>
    <n v="10"/>
    <n v="20.36"/>
    <n v="0.1"/>
    <n v="183.24"/>
    <n v="109.93"/>
    <n v="73.31"/>
    <s v="Debit Card"/>
  </r>
  <r>
    <s v="ORD-01112"/>
    <x v="297"/>
    <x v="2"/>
    <s v="Vermont"/>
    <s v="Rutland"/>
    <s v="Jordan Lee"/>
    <x v="0"/>
    <x v="0"/>
    <s v="Binders"/>
    <s v="Presentation Binder"/>
    <n v="6"/>
    <n v="24.65"/>
    <n v="0.1"/>
    <n v="133.11000000000001"/>
    <n v="91.88"/>
    <n v="41.23"/>
    <s v="Bank Transfer"/>
  </r>
  <r>
    <s v="ORD-02475"/>
    <x v="297"/>
    <x v="0"/>
    <s v="California"/>
    <s v="San Diego"/>
    <s v="Jamie Miller"/>
    <x v="0"/>
    <x v="2"/>
    <s v="Bookcases"/>
    <s v="5-Shelf Bookcase"/>
    <n v="3"/>
    <n v="354.82"/>
    <n v="0"/>
    <n v="1064.46"/>
    <n v="745.6"/>
    <n v="318.86"/>
    <s v="Bank Transfer"/>
  </r>
  <r>
    <s v="ORD-02933"/>
    <x v="297"/>
    <x v="2"/>
    <s v="New Jersey"/>
    <s v="Jersey City"/>
    <s v="Riley Wilson"/>
    <x v="2"/>
    <x v="0"/>
    <s v="Binders"/>
    <s v="3-Ring Binder"/>
    <n v="4"/>
    <n v="20.83"/>
    <n v="0.2"/>
    <n v="66.66"/>
    <n v="52.96"/>
    <n v="13.7"/>
    <s v="Credit Card"/>
  </r>
  <r>
    <s v="ORD-01242"/>
    <x v="297"/>
    <x v="0"/>
    <s v="Oregon"/>
    <s v="Portland"/>
    <s v="Morgan Davis"/>
    <x v="2"/>
    <x v="0"/>
    <s v="Binders"/>
    <s v="Presentation Binder"/>
    <n v="3"/>
    <n v="10.54"/>
    <n v="0.05"/>
    <n v="30.04"/>
    <n v="22.4"/>
    <n v="7.64"/>
    <s v="PayPal"/>
  </r>
  <r>
    <s v="ORD-02855"/>
    <x v="297"/>
    <x v="1"/>
    <s v="Florida"/>
    <s v="Orlando"/>
    <s v="Drew Anderson"/>
    <x v="0"/>
    <x v="1"/>
    <s v="Laptops"/>
    <s v="Ultrabook"/>
    <n v="8"/>
    <n v="1275.8800000000001"/>
    <n v="0.05"/>
    <n v="9696.69"/>
    <n v="6798.65"/>
    <n v="2898.04"/>
    <s v="Credit Card"/>
  </r>
  <r>
    <s v="ORD-02376"/>
    <x v="297"/>
    <x v="0"/>
    <s v="California"/>
    <s v="San Jose"/>
    <s v="Jamie Miller"/>
    <x v="2"/>
    <x v="0"/>
    <s v="Binders"/>
    <s v="3-Ring Binder"/>
    <n v="7"/>
    <n v="10.97"/>
    <n v="0.05"/>
    <n v="72.95"/>
    <n v="59.06"/>
    <n v="13.89"/>
    <s v="PayPal"/>
  </r>
  <r>
    <s v="ORD-01544"/>
    <x v="297"/>
    <x v="2"/>
    <s v="New York"/>
    <s v="Rochester"/>
    <s v="Riley Wilson"/>
    <x v="1"/>
    <x v="0"/>
    <s v="Binders"/>
    <s v="3-Ring Binder"/>
    <n v="3"/>
    <n v="26.19"/>
    <n v="0"/>
    <n v="78.569999999999993"/>
    <n v="51.48"/>
    <n v="27.09"/>
    <s v="Bank Transfer"/>
  </r>
  <r>
    <s v="ORD-02392"/>
    <x v="297"/>
    <x v="1"/>
    <s v="Texas"/>
    <s v="Dallas"/>
    <s v="Jamie Miller"/>
    <x v="1"/>
    <x v="1"/>
    <s v="Keyboards"/>
    <s v="Wireless Keyboard"/>
    <n v="5"/>
    <n v="96.6"/>
    <n v="0.15"/>
    <n v="410.55"/>
    <n v="283.05"/>
    <n v="127.5"/>
    <s v="PayPal"/>
  </r>
  <r>
    <s v="ORD-02358"/>
    <x v="297"/>
    <x v="3"/>
    <s v="Ohio"/>
    <s v="Cincinnati"/>
    <s v="Jamie Miller"/>
    <x v="2"/>
    <x v="0"/>
    <s v="Paper"/>
    <s v="Copy Paper"/>
    <n v="10"/>
    <n v="14.36"/>
    <n v="0.05"/>
    <n v="136.41999999999999"/>
    <n v="104.54"/>
    <n v="31.88"/>
    <s v="Bank Transfer"/>
  </r>
  <r>
    <s v="ORD-02597"/>
    <x v="298"/>
    <x v="3"/>
    <s v="Minnesota"/>
    <s v="St. Paul"/>
    <s v="Riley Wilson"/>
    <x v="0"/>
    <x v="0"/>
    <s v="Pens"/>
    <s v="Gel Pens"/>
    <n v="7"/>
    <n v="6.11"/>
    <n v="0.05"/>
    <n v="40.630000000000003"/>
    <n v="25.76"/>
    <n v="14.87"/>
    <s v="Credit Card"/>
  </r>
  <r>
    <s v="ORD-02788"/>
    <x v="298"/>
    <x v="2"/>
    <s v="New Jersey"/>
    <s v="Jersey City"/>
    <s v="Avery Johnson"/>
    <x v="0"/>
    <x v="1"/>
    <s v="Monitors"/>
    <s v="24in Monitor"/>
    <n v="3"/>
    <n v="200.25"/>
    <n v="0"/>
    <n v="600.75"/>
    <n v="387.07"/>
    <n v="213.68"/>
    <s v="Bank Transfer"/>
  </r>
  <r>
    <s v="ORD-02491"/>
    <x v="298"/>
    <x v="3"/>
    <s v="Michigan"/>
    <s v="Detroit"/>
    <s v="Riley Wilson"/>
    <x v="0"/>
    <x v="1"/>
    <s v="Headsets"/>
    <s v="USB Headset"/>
    <n v="4"/>
    <n v="167.43"/>
    <n v="0.1"/>
    <n v="602.75"/>
    <n v="388.36"/>
    <n v="214.39"/>
    <s v="Credit Card"/>
  </r>
  <r>
    <s v="ORD-01970"/>
    <x v="298"/>
    <x v="2"/>
    <s v="Vermont"/>
    <s v="Burlington"/>
    <s v="Alex Morgan"/>
    <x v="0"/>
    <x v="0"/>
    <s v="Binders"/>
    <s v="Heavy-Duty Binder"/>
    <n v="7"/>
    <n v="18.5"/>
    <n v="0.1"/>
    <n v="116.55"/>
    <n v="80.75"/>
    <n v="35.799999999999997"/>
    <s v="Bank Transfer"/>
  </r>
  <r>
    <s v="ORD-00589"/>
    <x v="298"/>
    <x v="0"/>
    <s v="Colorado"/>
    <s v="Colorado Springs"/>
    <s v="Alex Morgan"/>
    <x v="1"/>
    <x v="0"/>
    <s v="Paper"/>
    <s v="Premium Paper"/>
    <n v="10"/>
    <n v="14.36"/>
    <n v="0.15"/>
    <n v="122.06"/>
    <n v="94.04"/>
    <n v="28.02"/>
    <s v="Bank Transfer"/>
  </r>
  <r>
    <s v="ORD-00861"/>
    <x v="298"/>
    <x v="0"/>
    <s v="Arizona"/>
    <s v="Mesa"/>
    <s v="Jordan Lee"/>
    <x v="0"/>
    <x v="0"/>
    <s v="Pens"/>
    <s v="Gel Pens"/>
    <n v="7"/>
    <n v="18.02"/>
    <n v="0"/>
    <n v="126.14"/>
    <n v="99.66"/>
    <n v="26.48"/>
    <s v="Credit Card"/>
  </r>
  <r>
    <s v="ORD-01707"/>
    <x v="298"/>
    <x v="3"/>
    <s v="Illinois"/>
    <s v="Chicago"/>
    <s v="Taylor Smith"/>
    <x v="0"/>
    <x v="2"/>
    <s v="Bookcases"/>
    <s v="5-Shelf Bookcase"/>
    <n v="7"/>
    <n v="448.64"/>
    <n v="0"/>
    <n v="3140.48"/>
    <n v="2008.62"/>
    <n v="1131.8599999999999"/>
    <s v="PayPal"/>
  </r>
  <r>
    <s v="ORD-00903"/>
    <x v="299"/>
    <x v="1"/>
    <s v="North Carolina"/>
    <s v="Durham"/>
    <s v="Alex Morgan"/>
    <x v="2"/>
    <x v="0"/>
    <s v="Binders"/>
    <s v="Heavy-Duty Binder"/>
    <n v="9"/>
    <n v="29.37"/>
    <n v="0.15"/>
    <n v="224.68"/>
    <n v="139.91999999999999"/>
    <n v="84.76"/>
    <s v="Debit Card"/>
  </r>
  <r>
    <s v="ORD-02257"/>
    <x v="299"/>
    <x v="3"/>
    <s v="Indiana"/>
    <s v="Fort Wayne"/>
    <s v="Cameron Clark"/>
    <x v="2"/>
    <x v="1"/>
    <s v="Keyboards"/>
    <s v="Ergonomic Keyboard"/>
    <n v="7"/>
    <n v="143.01"/>
    <n v="0.15"/>
    <n v="850.91"/>
    <n v="595.41999999999996"/>
    <n v="255.49"/>
    <s v="Bank Transfer"/>
  </r>
  <r>
    <s v="ORD-00100"/>
    <x v="299"/>
    <x v="2"/>
    <s v="New York"/>
    <s v="Buffalo"/>
    <s v="Avery Johnson"/>
    <x v="2"/>
    <x v="0"/>
    <s v="Printers"/>
    <s v="Color Printer"/>
    <n v="5"/>
    <n v="245.91"/>
    <n v="0.05"/>
    <n v="1168.07"/>
    <n v="804.05"/>
    <n v="364.02"/>
    <s v="Debit Card"/>
  </r>
  <r>
    <s v="ORD-01514"/>
    <x v="299"/>
    <x v="2"/>
    <s v="Massachusetts"/>
    <s v="Worcester"/>
    <s v="Morgan Davis"/>
    <x v="0"/>
    <x v="1"/>
    <s v="Headsets"/>
    <s v="Noise-Canceling Headset"/>
    <n v="10"/>
    <n v="191.95"/>
    <n v="0.15"/>
    <n v="1631.58"/>
    <n v="1221.8"/>
    <n v="409.78"/>
    <s v="Bank Transfer"/>
  </r>
  <r>
    <s v="ORD-02204"/>
    <x v="299"/>
    <x v="3"/>
    <s v="Indiana"/>
    <s v="Indianapolis"/>
    <s v="Casey Brown"/>
    <x v="1"/>
    <x v="1"/>
    <s v="Headsets"/>
    <s v="Wireless Headset"/>
    <n v="10"/>
    <n v="130.56"/>
    <n v="0.05"/>
    <n v="1240.32"/>
    <n v="1012.65"/>
    <n v="227.67"/>
    <s v="PayPal"/>
  </r>
  <r>
    <s v="ORD-01399"/>
    <x v="299"/>
    <x v="0"/>
    <s v="California"/>
    <s v="San Diego"/>
    <s v="Casey Brown"/>
    <x v="0"/>
    <x v="2"/>
    <s v="Tables"/>
    <s v="Side Table"/>
    <n v="6"/>
    <n v="744.55"/>
    <n v="0"/>
    <n v="4467.3"/>
    <n v="2741.33"/>
    <n v="1725.97"/>
    <s v="PayPal"/>
  </r>
  <r>
    <s v="ORD-01197"/>
    <x v="299"/>
    <x v="1"/>
    <s v="Georgia"/>
    <s v="Atlanta"/>
    <s v="Avery Johnson"/>
    <x v="2"/>
    <x v="0"/>
    <s v="Binders"/>
    <s v="Presentation Binder"/>
    <n v="6"/>
    <n v="11.95"/>
    <n v="0.05"/>
    <n v="68.11"/>
    <n v="43.54"/>
    <n v="24.57"/>
    <s v="Credit Card"/>
  </r>
  <r>
    <s v="ORD-01451"/>
    <x v="299"/>
    <x v="0"/>
    <s v="Arizona"/>
    <s v="Tucson"/>
    <s v="Morgan Davis"/>
    <x v="2"/>
    <x v="2"/>
    <s v="Chairs"/>
    <s v="Ergonomic Chair"/>
    <n v="6"/>
    <n v="490.99"/>
    <n v="0.05"/>
    <n v="2798.64"/>
    <n v="2003.79"/>
    <n v="794.85"/>
    <s v="Credit Card"/>
  </r>
  <r>
    <s v="ORD-02490"/>
    <x v="299"/>
    <x v="3"/>
    <s v="Ohio"/>
    <s v="Columbus"/>
    <s v="Drew Anderson"/>
    <x v="0"/>
    <x v="1"/>
    <s v="Headsets"/>
    <s v="Wireless Headset"/>
    <n v="5"/>
    <n v="121.49"/>
    <n v="0"/>
    <n v="607.45000000000005"/>
    <n v="420.09"/>
    <n v="187.36"/>
    <s v="PayPal"/>
  </r>
  <r>
    <s v="ORD-02618"/>
    <x v="299"/>
    <x v="3"/>
    <s v="Illinois"/>
    <s v="Springfield"/>
    <s v="Taylor Smith"/>
    <x v="2"/>
    <x v="0"/>
    <s v="Pens"/>
    <s v="Ballpoint Pens"/>
    <n v="6"/>
    <n v="17.37"/>
    <n v="0.1"/>
    <n v="93.8"/>
    <n v="53.25"/>
    <n v="40.549999999999997"/>
    <s v="PayPal"/>
  </r>
  <r>
    <s v="ORD-01442"/>
    <x v="300"/>
    <x v="1"/>
    <s v="North Carolina"/>
    <s v="Durham"/>
    <s v="Cameron Clark"/>
    <x v="0"/>
    <x v="1"/>
    <s v="Keyboards"/>
    <s v="Mechanical Keyboard"/>
    <n v="4"/>
    <n v="59.22"/>
    <n v="0.05"/>
    <n v="225.04"/>
    <n v="146.96"/>
    <n v="78.08"/>
    <s v="PayPal"/>
  </r>
  <r>
    <s v="ORD-02281"/>
    <x v="300"/>
    <x v="1"/>
    <s v="Florida"/>
    <s v="Orlando"/>
    <s v="Alex Morgan"/>
    <x v="1"/>
    <x v="2"/>
    <s v="Chairs"/>
    <s v="Executive Chair"/>
    <n v="1"/>
    <n v="130.06"/>
    <n v="0.1"/>
    <n v="117.05"/>
    <n v="77.11"/>
    <n v="39.94"/>
    <s v="Debit Card"/>
  </r>
  <r>
    <s v="ORD-00773"/>
    <x v="300"/>
    <x v="2"/>
    <s v="New Jersey"/>
    <s v="Newark"/>
    <s v="Drew Anderson"/>
    <x v="0"/>
    <x v="0"/>
    <s v="Printers"/>
    <s v="All-in-One Printer"/>
    <n v="7"/>
    <n v="535.48"/>
    <n v="0.05"/>
    <n v="3560.94"/>
    <n v="2769.48"/>
    <n v="791.46"/>
    <s v="Credit Card"/>
  </r>
  <r>
    <s v="ORD-00954"/>
    <x v="300"/>
    <x v="0"/>
    <s v="Washington"/>
    <s v="Spokane"/>
    <s v="Jamie Miller"/>
    <x v="1"/>
    <x v="0"/>
    <s v="Printers"/>
    <s v="Laser Printer"/>
    <n v="9"/>
    <n v="279.86"/>
    <n v="0.05"/>
    <n v="2392.8000000000002"/>
    <n v="1562.37"/>
    <n v="830.43"/>
    <s v="Credit Card"/>
  </r>
  <r>
    <s v="ORD-01215"/>
    <x v="300"/>
    <x v="1"/>
    <s v="North Carolina"/>
    <s v="Durham"/>
    <s v="Avery Johnson"/>
    <x v="2"/>
    <x v="1"/>
    <s v="Headsets"/>
    <s v="Wireless Headset"/>
    <n v="6"/>
    <n v="114.87"/>
    <n v="0.05"/>
    <n v="654.76"/>
    <n v="405.04"/>
    <n v="249.72"/>
    <s v="PayPal"/>
  </r>
  <r>
    <s v="ORD-02522"/>
    <x v="300"/>
    <x v="1"/>
    <s v="North Carolina"/>
    <s v="Durham"/>
    <s v="Taylor Smith"/>
    <x v="2"/>
    <x v="1"/>
    <s v="Keyboards"/>
    <s v="Mechanical Keyboard"/>
    <n v="4"/>
    <n v="66.5"/>
    <n v="0.1"/>
    <n v="239.4"/>
    <n v="160.80000000000001"/>
    <n v="78.599999999999994"/>
    <s v="Debit Card"/>
  </r>
  <r>
    <s v="ORD-00432"/>
    <x v="300"/>
    <x v="1"/>
    <s v="Texas"/>
    <s v="Austin"/>
    <s v="Avery Johnson"/>
    <x v="1"/>
    <x v="1"/>
    <s v="Keyboards"/>
    <s v="Ergonomic Keyboard"/>
    <n v="2"/>
    <n v="90.94"/>
    <n v="0"/>
    <n v="181.88"/>
    <n v="102.54"/>
    <n v="79.34"/>
    <s v="Debit Card"/>
  </r>
  <r>
    <s v="ORD-00027"/>
    <x v="301"/>
    <x v="1"/>
    <s v="Virginia"/>
    <s v="Arlington"/>
    <s v="Taylor Smith"/>
    <x v="2"/>
    <x v="2"/>
    <s v="Tables"/>
    <s v="Training Table"/>
    <n v="7"/>
    <n v="464.18"/>
    <n v="0"/>
    <n v="3249.26"/>
    <n v="2178.33"/>
    <n v="1070.93"/>
    <s v="Debit Card"/>
  </r>
  <r>
    <s v="ORD-00295"/>
    <x v="301"/>
    <x v="1"/>
    <s v="North Carolina"/>
    <s v="Raleigh"/>
    <s v="Jamie Miller"/>
    <x v="0"/>
    <x v="0"/>
    <s v="Paper"/>
    <s v="Copy Paper"/>
    <n v="9"/>
    <n v="9.4499999999999993"/>
    <n v="0.1"/>
    <n v="76.540000000000006"/>
    <n v="53.39"/>
    <n v="23.15"/>
    <s v="Credit Card"/>
  </r>
  <r>
    <s v="ORD-00906"/>
    <x v="301"/>
    <x v="1"/>
    <s v="Texas"/>
    <s v="Austin"/>
    <s v="Riley Wilson"/>
    <x v="0"/>
    <x v="1"/>
    <s v="Monitors"/>
    <s v="24in Monitor"/>
    <n v="3"/>
    <n v="495.43"/>
    <n v="0"/>
    <n v="1486.29"/>
    <n v="1177.94"/>
    <n v="308.35000000000002"/>
    <s v="Bank Transfer"/>
  </r>
  <r>
    <s v="ORD-02857"/>
    <x v="301"/>
    <x v="1"/>
    <s v="Virginia"/>
    <s v="Norfolk"/>
    <s v="Drew Anderson"/>
    <x v="1"/>
    <x v="1"/>
    <s v="Headsets"/>
    <s v="Wireless Headset"/>
    <n v="7"/>
    <n v="130.27000000000001"/>
    <n v="0"/>
    <n v="911.89"/>
    <n v="648.80999999999995"/>
    <n v="263.08"/>
    <s v="Credit Card"/>
  </r>
  <r>
    <s v="ORD-01473"/>
    <x v="301"/>
    <x v="2"/>
    <s v="Pennsylvania"/>
    <s v="Allentown"/>
    <s v="Casey Brown"/>
    <x v="0"/>
    <x v="0"/>
    <s v="Paper"/>
    <s v="Copy Paper"/>
    <n v="5"/>
    <n v="27.57"/>
    <n v="0"/>
    <n v="137.85"/>
    <n v="106.04"/>
    <n v="31.81"/>
    <s v="Bank Transfer"/>
  </r>
  <r>
    <s v="ORD-00168"/>
    <x v="301"/>
    <x v="3"/>
    <s v="Indiana"/>
    <s v="Indianapolis"/>
    <s v="Jamie Miller"/>
    <x v="2"/>
    <x v="0"/>
    <s v="Paper"/>
    <s v="Premium Paper"/>
    <n v="10"/>
    <n v="9.44"/>
    <n v="0.05"/>
    <n v="89.68"/>
    <n v="72.180000000000007"/>
    <n v="17.5"/>
    <s v="Credit Card"/>
  </r>
  <r>
    <s v="ORD-01564"/>
    <x v="301"/>
    <x v="1"/>
    <s v="Texas"/>
    <s v="Dallas"/>
    <s v="Jamie Miller"/>
    <x v="0"/>
    <x v="1"/>
    <s v="Headsets"/>
    <s v="USB Headset"/>
    <n v="6"/>
    <n v="125.01"/>
    <n v="0.2"/>
    <n v="600.04999999999995"/>
    <n v="414.85"/>
    <n v="185.2"/>
    <s v="Credit Card"/>
  </r>
  <r>
    <s v="ORD-02357"/>
    <x v="301"/>
    <x v="1"/>
    <s v="Georgia"/>
    <s v="Atlanta"/>
    <s v="Cameron Clark"/>
    <x v="1"/>
    <x v="0"/>
    <s v="Paper"/>
    <s v="Recycled Paper"/>
    <n v="2"/>
    <n v="34.85"/>
    <n v="0.1"/>
    <n v="62.73"/>
    <n v="42.22"/>
    <n v="20.51"/>
    <s v="PayPal"/>
  </r>
  <r>
    <s v="ORD-01158"/>
    <x v="302"/>
    <x v="2"/>
    <s v="Massachusetts"/>
    <s v="Springfield"/>
    <s v="Drew Anderson"/>
    <x v="0"/>
    <x v="2"/>
    <s v="Chairs"/>
    <s v="Executive Chair"/>
    <n v="5"/>
    <n v="527.67999999999995"/>
    <n v="0.1"/>
    <n v="2374.56"/>
    <n v="1510.47"/>
    <n v="864.09"/>
    <s v="Debit Card"/>
  </r>
  <r>
    <s v="ORD-00050"/>
    <x v="302"/>
    <x v="1"/>
    <s v="Virginia"/>
    <s v="Richmond"/>
    <s v="Cameron Clark"/>
    <x v="0"/>
    <x v="2"/>
    <s v="Tables"/>
    <s v="Conference Table"/>
    <n v="5"/>
    <n v="171"/>
    <n v="0.05"/>
    <n v="812.25"/>
    <n v="657.9"/>
    <n v="154.35"/>
    <s v="PayPal"/>
  </r>
  <r>
    <s v="ORD-00327"/>
    <x v="302"/>
    <x v="3"/>
    <s v="Indiana"/>
    <s v="Indianapolis"/>
    <s v="Cameron Clark"/>
    <x v="0"/>
    <x v="1"/>
    <s v="Headsets"/>
    <s v="Noise-Canceling Headset"/>
    <n v="10"/>
    <n v="139.22"/>
    <n v="0.1"/>
    <n v="1252.98"/>
    <n v="770.48"/>
    <n v="482.5"/>
    <s v="PayPal"/>
  </r>
  <r>
    <s v="ORD-02195"/>
    <x v="302"/>
    <x v="2"/>
    <s v="New York"/>
    <s v="New York City"/>
    <s v="Riley Wilson"/>
    <x v="0"/>
    <x v="1"/>
    <s v="Laptops"/>
    <s v="Workstation Laptop"/>
    <n v="2"/>
    <n v="1249.26"/>
    <n v="0.05"/>
    <n v="2373.59"/>
    <n v="1371.61"/>
    <n v="1001.98"/>
    <s v="Debit Card"/>
  </r>
  <r>
    <s v="ORD-02193"/>
    <x v="302"/>
    <x v="1"/>
    <s v="Virginia"/>
    <s v="Norfolk"/>
    <s v="Riley Wilson"/>
    <x v="0"/>
    <x v="2"/>
    <s v="Desks"/>
    <s v="Executive Desk"/>
    <n v="7"/>
    <n v="329.25"/>
    <n v="0.05"/>
    <n v="2189.5100000000002"/>
    <n v="1482.42"/>
    <n v="707.09"/>
    <s v="Debit Card"/>
  </r>
  <r>
    <s v="ORD-00260"/>
    <x v="302"/>
    <x v="3"/>
    <s v="Indiana"/>
    <s v="Indianapolis"/>
    <s v="Cameron Clark"/>
    <x v="0"/>
    <x v="1"/>
    <s v="Keyboards"/>
    <s v="Mechanical Keyboard"/>
    <n v="10"/>
    <n v="156.06"/>
    <n v="0"/>
    <n v="1560.6"/>
    <n v="1221.52"/>
    <n v="339.08"/>
    <s v="Credit Card"/>
  </r>
  <r>
    <s v="ORD-01311"/>
    <x v="302"/>
    <x v="3"/>
    <s v="Indiana"/>
    <s v="Evansville"/>
    <s v="Casey Brown"/>
    <x v="0"/>
    <x v="1"/>
    <s v="Keyboards"/>
    <s v="Ergonomic Keyboard"/>
    <n v="4"/>
    <n v="66.77"/>
    <n v="0.1"/>
    <n v="240.37"/>
    <n v="167.06"/>
    <n v="73.31"/>
    <s v="PayPal"/>
  </r>
  <r>
    <s v="ORD-02739"/>
    <x v="303"/>
    <x v="0"/>
    <s v="Oregon"/>
    <s v="Eugene"/>
    <s v="Taylor Smith"/>
    <x v="0"/>
    <x v="2"/>
    <s v="Bookcases"/>
    <s v="5-Shelf Bookcase"/>
    <n v="6"/>
    <n v="181.48"/>
    <n v="0.05"/>
    <n v="1034.44"/>
    <n v="750.1"/>
    <n v="284.33999999999997"/>
    <s v="Credit Card"/>
  </r>
  <r>
    <s v="ORD-00704"/>
    <x v="303"/>
    <x v="0"/>
    <s v="Colorado"/>
    <s v="Colorado Springs"/>
    <s v="Cameron Clark"/>
    <x v="0"/>
    <x v="1"/>
    <s v="Headsets"/>
    <s v="Wireless Headset"/>
    <n v="6"/>
    <n v="76"/>
    <n v="0.1"/>
    <n v="410.4"/>
    <n v="279.47000000000003"/>
    <n v="130.93"/>
    <s v="Credit Card"/>
  </r>
  <r>
    <s v="ORD-00133"/>
    <x v="303"/>
    <x v="2"/>
    <s v="New York"/>
    <s v="New York City"/>
    <s v="Jamie Miller"/>
    <x v="0"/>
    <x v="2"/>
    <s v="Desks"/>
    <s v="Executive Desk"/>
    <n v="7"/>
    <n v="514.41999999999996"/>
    <n v="0"/>
    <n v="3600.94"/>
    <n v="2277.42"/>
    <n v="1323.52"/>
    <s v="Debit Card"/>
  </r>
  <r>
    <s v="ORD-01687"/>
    <x v="303"/>
    <x v="0"/>
    <s v="Colorado"/>
    <s v="Boulder"/>
    <s v="Taylor Smith"/>
    <x v="1"/>
    <x v="0"/>
    <s v="Printers"/>
    <s v="Color Printer"/>
    <n v="6"/>
    <n v="342.96"/>
    <n v="0.05"/>
    <n v="1954.87"/>
    <n v="1134.25"/>
    <n v="820.62"/>
    <s v="PayPal"/>
  </r>
  <r>
    <s v="ORD-01645"/>
    <x v="304"/>
    <x v="2"/>
    <s v="New Jersey"/>
    <s v="Newark"/>
    <s v="Avery Johnson"/>
    <x v="1"/>
    <x v="1"/>
    <s v="Headsets"/>
    <s v="Noise-Canceling Headset"/>
    <n v="8"/>
    <n v="196.22"/>
    <n v="0"/>
    <n v="1569.76"/>
    <n v="964.51"/>
    <n v="605.25"/>
    <s v="Credit Card"/>
  </r>
  <r>
    <s v="ORD-02763"/>
    <x v="304"/>
    <x v="3"/>
    <s v="Indiana"/>
    <s v="Evansville"/>
    <s v="Riley Wilson"/>
    <x v="2"/>
    <x v="0"/>
    <s v="Binders"/>
    <s v="Heavy-Duty Binder"/>
    <n v="7"/>
    <n v="29.31"/>
    <n v="0"/>
    <n v="205.17"/>
    <n v="166.3"/>
    <n v="38.869999999999997"/>
    <s v="Bank Transfer"/>
  </r>
  <r>
    <s v="ORD-00950"/>
    <x v="304"/>
    <x v="2"/>
    <s v="New Jersey"/>
    <s v="Newark"/>
    <s v="Avery Johnson"/>
    <x v="2"/>
    <x v="1"/>
    <s v="Keyboards"/>
    <s v="Ergonomic Keyboard"/>
    <n v="4"/>
    <n v="46.05"/>
    <n v="0.1"/>
    <n v="165.78"/>
    <n v="95.8"/>
    <n v="69.98"/>
    <s v="Bank Transfer"/>
  </r>
  <r>
    <s v="ORD-02133"/>
    <x v="304"/>
    <x v="1"/>
    <s v="Texas"/>
    <s v="Houston"/>
    <s v="Morgan Davis"/>
    <x v="2"/>
    <x v="0"/>
    <s v="Binders"/>
    <s v="Presentation Binder"/>
    <n v="9"/>
    <n v="5.12"/>
    <n v="0.1"/>
    <n v="41.47"/>
    <n v="25.37"/>
    <n v="16.100000000000001"/>
    <s v="Credit Card"/>
  </r>
  <r>
    <s v="ORD-01722"/>
    <x v="305"/>
    <x v="3"/>
    <s v="Illinois"/>
    <s v="Peoria"/>
    <s v="Alex Morgan"/>
    <x v="2"/>
    <x v="2"/>
    <s v="Bookcases"/>
    <s v="5-Shelf Bookcase"/>
    <n v="7"/>
    <n v="242.17"/>
    <n v="0"/>
    <n v="1695.19"/>
    <n v="1230.78"/>
    <n v="464.41"/>
    <s v="Bank Transfer"/>
  </r>
  <r>
    <s v="ORD-02224"/>
    <x v="305"/>
    <x v="2"/>
    <s v="Massachusetts"/>
    <s v="Boston"/>
    <s v="Taylor Smith"/>
    <x v="0"/>
    <x v="0"/>
    <s v="Paper"/>
    <s v="Copy Paper"/>
    <n v="10"/>
    <n v="25.08"/>
    <n v="0"/>
    <n v="250.8"/>
    <n v="192.99"/>
    <n v="57.81"/>
    <s v="Bank Transfer"/>
  </r>
  <r>
    <s v="ORD-02197"/>
    <x v="305"/>
    <x v="3"/>
    <s v="Michigan"/>
    <s v="Grand Rapids"/>
    <s v="Morgan Davis"/>
    <x v="0"/>
    <x v="0"/>
    <s v="Binders"/>
    <s v="Presentation Binder"/>
    <n v="4"/>
    <n v="11.9"/>
    <n v="0.1"/>
    <n v="42.84"/>
    <n v="33.01"/>
    <n v="9.83"/>
    <s v="Debit Card"/>
  </r>
  <r>
    <s v="ORD-02543"/>
    <x v="305"/>
    <x v="2"/>
    <s v="Pennsylvania"/>
    <s v="Pittsburgh"/>
    <s v="Casey Brown"/>
    <x v="2"/>
    <x v="2"/>
    <s v="Bookcases"/>
    <s v="3-Shelf Bookcase"/>
    <n v="5"/>
    <n v="385.05"/>
    <n v="0"/>
    <n v="1925.25"/>
    <n v="1279.3"/>
    <n v="645.95000000000005"/>
    <s v="PayPal"/>
  </r>
  <r>
    <s v="ORD-01043"/>
    <x v="305"/>
    <x v="3"/>
    <s v="Minnesota"/>
    <s v="St. Paul"/>
    <s v="Riley Wilson"/>
    <x v="2"/>
    <x v="0"/>
    <s v="Printers"/>
    <s v="All-in-One Printer"/>
    <n v="4"/>
    <n v="588.95000000000005"/>
    <n v="0"/>
    <n v="2355.8000000000002"/>
    <n v="1482.46"/>
    <n v="873.34"/>
    <s v="PayPal"/>
  </r>
  <r>
    <s v="ORD-00862"/>
    <x v="305"/>
    <x v="2"/>
    <s v="New Jersey"/>
    <s v="Trenton"/>
    <s v="Riley Wilson"/>
    <x v="0"/>
    <x v="0"/>
    <s v="Paper"/>
    <s v="Premium Paper"/>
    <n v="3"/>
    <n v="29.96"/>
    <n v="0.1"/>
    <n v="80.89"/>
    <n v="60.21"/>
    <n v="20.68"/>
    <s v="PayPal"/>
  </r>
  <r>
    <s v="ORD-00868"/>
    <x v="305"/>
    <x v="1"/>
    <s v="North Carolina"/>
    <s v="Durham"/>
    <s v="Alex Morgan"/>
    <x v="0"/>
    <x v="1"/>
    <s v="Monitors"/>
    <s v="34in Monitor"/>
    <n v="5"/>
    <n v="663.38"/>
    <n v="0.1"/>
    <n v="2985.21"/>
    <n v="1711.43"/>
    <n v="1273.78"/>
    <s v="Bank Transfer"/>
  </r>
  <r>
    <s v="ORD-00131"/>
    <x v="305"/>
    <x v="0"/>
    <s v="Colorado"/>
    <s v="Colorado Springs"/>
    <s v="Taylor Smith"/>
    <x v="0"/>
    <x v="0"/>
    <s v="Pens"/>
    <s v="Fine Tip Pens"/>
    <n v="7"/>
    <n v="15.88"/>
    <n v="0.05"/>
    <n v="105.6"/>
    <n v="84.51"/>
    <n v="21.09"/>
    <s v="Debit Card"/>
  </r>
  <r>
    <s v="ORD-02037"/>
    <x v="305"/>
    <x v="1"/>
    <s v="Florida"/>
    <s v="Tampa"/>
    <s v="Jamie Miller"/>
    <x v="1"/>
    <x v="1"/>
    <s v="Headsets"/>
    <s v="Noise-Canceling Headset"/>
    <n v="1"/>
    <n v="244.67"/>
    <n v="0.05"/>
    <n v="232.44"/>
    <n v="183.74"/>
    <n v="48.7"/>
    <s v="Credit Card"/>
  </r>
  <r>
    <s v="ORD-01961"/>
    <x v="305"/>
    <x v="1"/>
    <s v="North Carolina"/>
    <s v="Charlotte"/>
    <s v="Drew Anderson"/>
    <x v="2"/>
    <x v="2"/>
    <s v="Chairs"/>
    <s v="Executive Chair"/>
    <n v="1"/>
    <n v="242.12"/>
    <n v="0.15"/>
    <n v="205.8"/>
    <n v="153.72999999999999"/>
    <n v="52.07"/>
    <s v="Bank Transfer"/>
  </r>
  <r>
    <s v="ORD-01745"/>
    <x v="306"/>
    <x v="1"/>
    <s v="North Carolina"/>
    <s v="Durham"/>
    <s v="Taylor Smith"/>
    <x v="2"/>
    <x v="1"/>
    <s v="Laptops"/>
    <s v="Workstation Laptop"/>
    <n v="3"/>
    <n v="1537.32"/>
    <n v="0"/>
    <n v="4611.96"/>
    <n v="3392.04"/>
    <n v="1219.92"/>
    <s v="Credit Card"/>
  </r>
  <r>
    <s v="ORD-01845"/>
    <x v="306"/>
    <x v="1"/>
    <s v="Texas"/>
    <s v="Houston"/>
    <s v="Casey Brown"/>
    <x v="1"/>
    <x v="1"/>
    <s v="Monitors"/>
    <s v="27in Monitor"/>
    <n v="6"/>
    <n v="682.22"/>
    <n v="0.1"/>
    <n v="3683.99"/>
    <n v="2402.1799999999998"/>
    <n v="1281.81"/>
    <s v="PayPal"/>
  </r>
  <r>
    <s v="ORD-00446"/>
    <x v="306"/>
    <x v="3"/>
    <s v="Michigan"/>
    <s v="Lansing"/>
    <s v="Casey Brown"/>
    <x v="1"/>
    <x v="1"/>
    <s v="Laptops"/>
    <s v="Business Laptop"/>
    <n v="5"/>
    <n v="635.03"/>
    <n v="0.15"/>
    <n v="2698.88"/>
    <n v="1818.04"/>
    <n v="880.84"/>
    <s v="Debit Card"/>
  </r>
  <r>
    <s v="ORD-00521"/>
    <x v="307"/>
    <x v="0"/>
    <s v="Oregon"/>
    <s v="Eugene"/>
    <s v="Riley Wilson"/>
    <x v="0"/>
    <x v="1"/>
    <s v="Monitors"/>
    <s v="24in Monitor"/>
    <n v="3"/>
    <n v="176.89"/>
    <n v="0.05"/>
    <n v="504.14"/>
    <n v="349.82"/>
    <n v="154.32"/>
    <s v="PayPal"/>
  </r>
  <r>
    <s v="ORD-02506"/>
    <x v="307"/>
    <x v="3"/>
    <s v="Indiana"/>
    <s v="Indianapolis"/>
    <s v="Casey Brown"/>
    <x v="0"/>
    <x v="2"/>
    <s v="Tables"/>
    <s v="Side Table"/>
    <n v="4"/>
    <n v="720.87"/>
    <n v="0.05"/>
    <n v="2739.31"/>
    <n v="1585.19"/>
    <n v="1154.1199999999999"/>
    <s v="Debit Card"/>
  </r>
  <r>
    <s v="ORD-02964"/>
    <x v="307"/>
    <x v="1"/>
    <s v="Virginia"/>
    <s v="Richmond"/>
    <s v="Riley Wilson"/>
    <x v="0"/>
    <x v="1"/>
    <s v="Monitors"/>
    <s v="34in Monitor"/>
    <n v="1"/>
    <n v="468.87"/>
    <n v="0.1"/>
    <n v="421.98"/>
    <n v="253.49"/>
    <n v="168.49"/>
    <s v="PayPal"/>
  </r>
  <r>
    <s v="ORD-00750"/>
    <x v="307"/>
    <x v="1"/>
    <s v="Virginia"/>
    <s v="Norfolk"/>
    <s v="Taylor Smith"/>
    <x v="2"/>
    <x v="0"/>
    <s v="Pens"/>
    <s v="Ballpoint Pens"/>
    <n v="3"/>
    <n v="12.84"/>
    <n v="0.2"/>
    <n v="30.82"/>
    <n v="21.94"/>
    <n v="8.8800000000000008"/>
    <s v="PayPal"/>
  </r>
  <r>
    <s v="ORD-00305"/>
    <x v="307"/>
    <x v="1"/>
    <s v="Virginia"/>
    <s v="Richmond"/>
    <s v="Drew Anderson"/>
    <x v="1"/>
    <x v="1"/>
    <s v="Headsets"/>
    <s v="Wireless Headset"/>
    <n v="9"/>
    <n v="203.5"/>
    <n v="0.1"/>
    <n v="1648.35"/>
    <n v="938.75"/>
    <n v="709.6"/>
    <s v="Debit Card"/>
  </r>
  <r>
    <s v="ORD-01767"/>
    <x v="307"/>
    <x v="1"/>
    <s v="Georgia"/>
    <s v="Atlanta"/>
    <s v="Jamie Miller"/>
    <x v="0"/>
    <x v="0"/>
    <s v="Printers"/>
    <s v="All-in-One Printer"/>
    <n v="7"/>
    <n v="475.56"/>
    <n v="0.1"/>
    <n v="2996.03"/>
    <n v="2161.67"/>
    <n v="834.36"/>
    <s v="Bank Transfer"/>
  </r>
  <r>
    <s v="ORD-02692"/>
    <x v="307"/>
    <x v="2"/>
    <s v="Massachusetts"/>
    <s v="Worcester"/>
    <s v="Riley Wilson"/>
    <x v="1"/>
    <x v="0"/>
    <s v="Pens"/>
    <s v="Fine Tip Pens"/>
    <n v="10"/>
    <n v="23.57"/>
    <n v="0.05"/>
    <n v="223.92"/>
    <n v="172.36"/>
    <n v="51.56"/>
    <s v="Debit Card"/>
  </r>
  <r>
    <s v="ORD-00857"/>
    <x v="308"/>
    <x v="3"/>
    <s v="Michigan"/>
    <s v="Lansing"/>
    <s v="Avery Johnson"/>
    <x v="0"/>
    <x v="0"/>
    <s v="Printers"/>
    <s v="All-in-One Printer"/>
    <n v="8"/>
    <n v="197.39"/>
    <n v="0"/>
    <n v="1579.12"/>
    <n v="1211.17"/>
    <n v="367.95"/>
    <s v="PayPal"/>
  </r>
  <r>
    <s v="ORD-01360"/>
    <x v="308"/>
    <x v="3"/>
    <s v="Michigan"/>
    <s v="Detroit"/>
    <s v="Morgan Davis"/>
    <x v="1"/>
    <x v="1"/>
    <s v="Laptops"/>
    <s v="Workstation Laptop"/>
    <n v="3"/>
    <n v="1244.8599999999999"/>
    <n v="0.15"/>
    <n v="3174.39"/>
    <n v="2063.9699999999998"/>
    <n v="1110.42"/>
    <s v="PayPal"/>
  </r>
  <r>
    <s v="ORD-02625"/>
    <x v="308"/>
    <x v="0"/>
    <s v="Oregon"/>
    <s v="Portland"/>
    <s v="Jordan Lee"/>
    <x v="1"/>
    <x v="2"/>
    <s v="Bookcases"/>
    <s v="Storage Bookcase"/>
    <n v="5"/>
    <n v="483.78"/>
    <n v="0.15"/>
    <n v="2056.06"/>
    <n v="1141.8399999999999"/>
    <n v="914.22"/>
    <s v="Debit Card"/>
  </r>
  <r>
    <s v="ORD-00021"/>
    <x v="308"/>
    <x v="1"/>
    <s v="North Carolina"/>
    <s v="Raleigh"/>
    <s v="Jamie Miller"/>
    <x v="1"/>
    <x v="1"/>
    <s v="Headsets"/>
    <s v="USB Headset"/>
    <n v="8"/>
    <n v="102.86"/>
    <n v="0.05"/>
    <n v="781.74"/>
    <n v="636.80999999999995"/>
    <n v="144.93"/>
    <s v="Debit Card"/>
  </r>
  <r>
    <s v="ORD-01586"/>
    <x v="308"/>
    <x v="1"/>
    <s v="Virginia"/>
    <s v="Richmond"/>
    <s v="Morgan Davis"/>
    <x v="0"/>
    <x v="1"/>
    <s v="Monitors"/>
    <s v="27in Monitor"/>
    <n v="3"/>
    <n v="519.51"/>
    <n v="0.05"/>
    <n v="1480.6"/>
    <n v="1036.21"/>
    <n v="444.39"/>
    <s v="PayPal"/>
  </r>
  <r>
    <s v="ORD-00541"/>
    <x v="308"/>
    <x v="3"/>
    <s v="Ohio"/>
    <s v="Cleveland"/>
    <s v="Riley Wilson"/>
    <x v="2"/>
    <x v="1"/>
    <s v="Keyboards"/>
    <s v="Mechanical Keyboard"/>
    <n v="8"/>
    <n v="169.77"/>
    <n v="0.1"/>
    <n v="1222.3399999999999"/>
    <n v="799.5"/>
    <n v="422.84"/>
    <s v="Debit Card"/>
  </r>
  <r>
    <s v="ORD-02628"/>
    <x v="308"/>
    <x v="1"/>
    <s v="North Carolina"/>
    <s v="Durham"/>
    <s v="Casey Brown"/>
    <x v="0"/>
    <x v="1"/>
    <s v="Keyboards"/>
    <s v="Wireless Keyboard"/>
    <n v="9"/>
    <n v="93.16"/>
    <n v="0.05"/>
    <n v="796.52"/>
    <n v="469.67"/>
    <n v="326.85000000000002"/>
    <s v="Debit Card"/>
  </r>
  <r>
    <s v="ORD-02900"/>
    <x v="308"/>
    <x v="1"/>
    <s v="Florida"/>
    <s v="Orlando"/>
    <s v="Riley Wilson"/>
    <x v="1"/>
    <x v="1"/>
    <s v="Monitors"/>
    <s v="27in Monitor"/>
    <n v="3"/>
    <n v="268.06"/>
    <n v="0.1"/>
    <n v="723.76"/>
    <n v="460.05"/>
    <n v="263.70999999999998"/>
    <s v="Bank Transfer"/>
  </r>
  <r>
    <s v="ORD-00666"/>
    <x v="308"/>
    <x v="2"/>
    <s v="Pennsylvania"/>
    <s v="Allentown"/>
    <s v="Cameron Clark"/>
    <x v="1"/>
    <x v="0"/>
    <s v="Paper"/>
    <s v="Copy Paper"/>
    <n v="2"/>
    <n v="31.23"/>
    <n v="0.05"/>
    <n v="59.34"/>
    <n v="44.44"/>
    <n v="14.9"/>
    <s v="Credit Card"/>
  </r>
  <r>
    <s v="ORD-00605"/>
    <x v="308"/>
    <x v="3"/>
    <s v="Indiana"/>
    <s v="Fort Wayne"/>
    <s v="Riley Wilson"/>
    <x v="2"/>
    <x v="1"/>
    <s v="Laptops"/>
    <s v="Ultrabook"/>
    <n v="6"/>
    <n v="1776.89"/>
    <n v="0"/>
    <n v="10661.34"/>
    <n v="8442.2199999999993"/>
    <n v="2219.12"/>
    <s v="Credit Card"/>
  </r>
  <r>
    <s v="ORD-01039"/>
    <x v="309"/>
    <x v="2"/>
    <s v="Massachusetts"/>
    <s v="Springfield"/>
    <s v="Cameron Clark"/>
    <x v="2"/>
    <x v="0"/>
    <s v="Binders"/>
    <s v="Heavy-Duty Binder"/>
    <n v="7"/>
    <n v="27.6"/>
    <n v="0.1"/>
    <n v="173.88"/>
    <n v="121.15"/>
    <n v="52.73"/>
    <s v="Debit Card"/>
  </r>
  <r>
    <s v="ORD-01658"/>
    <x v="309"/>
    <x v="3"/>
    <s v="Minnesota"/>
    <s v="Rochester"/>
    <s v="Alex Morgan"/>
    <x v="0"/>
    <x v="0"/>
    <s v="Paper"/>
    <s v="Premium Paper"/>
    <n v="3"/>
    <n v="25.02"/>
    <n v="0.1"/>
    <n v="67.55"/>
    <n v="38.299999999999997"/>
    <n v="29.25"/>
    <s v="Debit Card"/>
  </r>
  <r>
    <s v="ORD-00508"/>
    <x v="309"/>
    <x v="3"/>
    <s v="Indiana"/>
    <s v="Evansville"/>
    <s v="Morgan Davis"/>
    <x v="0"/>
    <x v="1"/>
    <s v="Headsets"/>
    <s v="USB Headset"/>
    <n v="9"/>
    <n v="51.5"/>
    <n v="0"/>
    <n v="463.5"/>
    <n v="354.49"/>
    <n v="109.01"/>
    <s v="Bank Transfer"/>
  </r>
  <r>
    <s v="ORD-00448"/>
    <x v="309"/>
    <x v="1"/>
    <s v="Texas"/>
    <s v="Austin"/>
    <s v="Jamie Miller"/>
    <x v="0"/>
    <x v="0"/>
    <s v="Pens"/>
    <s v="Gel Pens"/>
    <n v="1"/>
    <n v="11.07"/>
    <n v="0.05"/>
    <n v="10.52"/>
    <n v="6.72"/>
    <n v="3.8"/>
    <s v="Credit Card"/>
  </r>
  <r>
    <s v="ORD-01693"/>
    <x v="309"/>
    <x v="0"/>
    <s v="California"/>
    <s v="San Diego"/>
    <s v="Jordan Lee"/>
    <x v="2"/>
    <x v="0"/>
    <s v="Printers"/>
    <s v="All-in-One Printer"/>
    <n v="4"/>
    <n v="338.14"/>
    <n v="0.2"/>
    <n v="1082.05"/>
    <n v="846.56"/>
    <n v="235.49"/>
    <s v="Debit Card"/>
  </r>
  <r>
    <s v="ORD-00664"/>
    <x v="309"/>
    <x v="1"/>
    <s v="Georgia"/>
    <s v="Atlanta"/>
    <s v="Avery Johnson"/>
    <x v="0"/>
    <x v="2"/>
    <s v="Tables"/>
    <s v="Side Table"/>
    <n v="7"/>
    <n v="254.79"/>
    <n v="0.1"/>
    <n v="1605.18"/>
    <n v="1074.44"/>
    <n v="530.74"/>
    <s v="PayPal"/>
  </r>
  <r>
    <s v="ORD-00125"/>
    <x v="310"/>
    <x v="2"/>
    <s v="Massachusetts"/>
    <s v="Springfield"/>
    <s v="Jamie Miller"/>
    <x v="0"/>
    <x v="1"/>
    <s v="Monitors"/>
    <s v="27in Monitor"/>
    <n v="9"/>
    <n v="366.96"/>
    <n v="0.15"/>
    <n v="2807.24"/>
    <n v="1812.92"/>
    <n v="994.32"/>
    <s v="PayPal"/>
  </r>
  <r>
    <s v="ORD-00570"/>
    <x v="310"/>
    <x v="3"/>
    <s v="Indiana"/>
    <s v="Fort Wayne"/>
    <s v="Morgan Davis"/>
    <x v="2"/>
    <x v="1"/>
    <s v="Laptops"/>
    <s v="Workstation Laptop"/>
    <n v="6"/>
    <n v="1664.39"/>
    <n v="0.15"/>
    <n v="8488.39"/>
    <n v="6545.43"/>
    <n v="1942.96"/>
    <s v="Bank Transfer"/>
  </r>
  <r>
    <s v="ORD-01819"/>
    <x v="310"/>
    <x v="1"/>
    <s v="Virginia"/>
    <s v="Norfolk"/>
    <s v="Jordan Lee"/>
    <x v="0"/>
    <x v="2"/>
    <s v="Tables"/>
    <s v="Conference Table"/>
    <n v="1"/>
    <n v="295.45"/>
    <n v="0.05"/>
    <n v="280.68"/>
    <n v="172.81"/>
    <n v="107.87"/>
    <s v="PayPal"/>
  </r>
  <r>
    <s v="ORD-02640"/>
    <x v="310"/>
    <x v="0"/>
    <s v="Oregon"/>
    <s v="Eugene"/>
    <s v="Alex Morgan"/>
    <x v="1"/>
    <x v="0"/>
    <s v="Pens"/>
    <s v="Ballpoint Pens"/>
    <n v="8"/>
    <n v="12.72"/>
    <n v="0.05"/>
    <n v="96.67"/>
    <n v="56.25"/>
    <n v="40.42"/>
    <s v="Bank Transfer"/>
  </r>
  <r>
    <s v="ORD-01169"/>
    <x v="310"/>
    <x v="3"/>
    <s v="Minnesota"/>
    <s v="Minneapolis"/>
    <s v="Morgan Davis"/>
    <x v="0"/>
    <x v="0"/>
    <s v="Paper"/>
    <s v="Recycled Paper"/>
    <n v="8"/>
    <n v="15.53"/>
    <n v="0.15"/>
    <n v="105.6"/>
    <n v="59.54"/>
    <n v="46.06"/>
    <s v="Credit Card"/>
  </r>
  <r>
    <s v="ORD-01739"/>
    <x v="310"/>
    <x v="3"/>
    <s v="Illinois"/>
    <s v="Springfield"/>
    <s v="Alex Morgan"/>
    <x v="2"/>
    <x v="0"/>
    <s v="Pens"/>
    <s v="Fine Tip Pens"/>
    <n v="10"/>
    <n v="22.38"/>
    <n v="0.15"/>
    <n v="190.23"/>
    <n v="149.21"/>
    <n v="41.02"/>
    <s v="Debit Card"/>
  </r>
  <r>
    <s v="ORD-02108"/>
    <x v="310"/>
    <x v="3"/>
    <s v="Michigan"/>
    <s v="Detroit"/>
    <s v="Alex Morgan"/>
    <x v="0"/>
    <x v="0"/>
    <s v="Paper"/>
    <s v="Premium Paper"/>
    <n v="9"/>
    <n v="13.71"/>
    <n v="0.1"/>
    <n v="111.05"/>
    <n v="62.37"/>
    <n v="48.68"/>
    <s v="PayPal"/>
  </r>
  <r>
    <s v="ORD-00986"/>
    <x v="310"/>
    <x v="1"/>
    <s v="Texas"/>
    <s v="Houston"/>
    <s v="Drew Anderson"/>
    <x v="1"/>
    <x v="0"/>
    <s v="Printers"/>
    <s v="All-in-One Printer"/>
    <n v="10"/>
    <n v="362.34"/>
    <n v="0.15"/>
    <n v="3079.89"/>
    <n v="1973.6"/>
    <n v="1106.29"/>
    <s v="Credit Card"/>
  </r>
  <r>
    <s v="ORD-00015"/>
    <x v="310"/>
    <x v="0"/>
    <s v="Arizona"/>
    <s v="Phoenix"/>
    <s v="Drew Anderson"/>
    <x v="0"/>
    <x v="0"/>
    <s v="Printers"/>
    <s v="Laser Printer"/>
    <n v="8"/>
    <n v="499.47"/>
    <n v="0"/>
    <n v="3995.76"/>
    <n v="3020.84"/>
    <n v="974.92"/>
    <s v="Bank Transfer"/>
  </r>
  <r>
    <s v="ORD-00623"/>
    <x v="310"/>
    <x v="3"/>
    <s v="Indiana"/>
    <s v="Evansville"/>
    <s v="Casey Brown"/>
    <x v="0"/>
    <x v="1"/>
    <s v="Headsets"/>
    <s v="Wireless Headset"/>
    <n v="8"/>
    <n v="207.41"/>
    <n v="0.1"/>
    <n v="1493.35"/>
    <n v="847.37"/>
    <n v="645.98"/>
    <s v="Debit Card"/>
  </r>
  <r>
    <s v="ORD-02225"/>
    <x v="310"/>
    <x v="0"/>
    <s v="Colorado"/>
    <s v="Boulder"/>
    <s v="Jordan Lee"/>
    <x v="2"/>
    <x v="1"/>
    <s v="Laptops"/>
    <s v="Workstation Laptop"/>
    <n v="9"/>
    <n v="1247.03"/>
    <n v="0"/>
    <n v="11223.27"/>
    <n v="7968.05"/>
    <n v="3255.22"/>
    <s v="Credit Card"/>
  </r>
  <r>
    <s v="ORD-01805"/>
    <x v="311"/>
    <x v="2"/>
    <s v="New Jersey"/>
    <s v="Jersey City"/>
    <s v="Jamie Miller"/>
    <x v="2"/>
    <x v="0"/>
    <s v="Paper"/>
    <s v="Copy Paper"/>
    <n v="4"/>
    <n v="11.94"/>
    <n v="0"/>
    <n v="47.76"/>
    <n v="35.86"/>
    <n v="11.9"/>
    <s v="Bank Transfer"/>
  </r>
  <r>
    <s v="ORD-00462"/>
    <x v="311"/>
    <x v="2"/>
    <s v="Massachusetts"/>
    <s v="Boston"/>
    <s v="Alex Morgan"/>
    <x v="1"/>
    <x v="0"/>
    <s v="Pens"/>
    <s v="Gel Pens"/>
    <n v="3"/>
    <n v="7.32"/>
    <n v="0"/>
    <n v="21.96"/>
    <n v="15.23"/>
    <n v="6.73"/>
    <s v="Bank Transfer"/>
  </r>
  <r>
    <s v="ORD-02478"/>
    <x v="311"/>
    <x v="0"/>
    <s v="Oregon"/>
    <s v="Salem"/>
    <s v="Avery Johnson"/>
    <x v="2"/>
    <x v="0"/>
    <s v="Paper"/>
    <s v="Recycled Paper"/>
    <n v="6"/>
    <n v="31.47"/>
    <n v="0.2"/>
    <n v="151.06"/>
    <n v="99.9"/>
    <n v="51.16"/>
    <s v="Bank Transfer"/>
  </r>
  <r>
    <s v="ORD-01456"/>
    <x v="311"/>
    <x v="2"/>
    <s v="New Jersey"/>
    <s v="Newark"/>
    <s v="Casey Brown"/>
    <x v="0"/>
    <x v="2"/>
    <s v="Chairs"/>
    <s v="Executive Chair"/>
    <n v="8"/>
    <n v="201.37"/>
    <n v="0"/>
    <n v="1610.96"/>
    <n v="1219.8599999999999"/>
    <n v="391.1"/>
    <s v="Bank Transfer"/>
  </r>
  <r>
    <s v="ORD-02071"/>
    <x v="311"/>
    <x v="2"/>
    <s v="Vermont"/>
    <s v="Rutland"/>
    <s v="Drew Anderson"/>
    <x v="0"/>
    <x v="2"/>
    <s v="Chairs"/>
    <s v="Ergonomic Chair"/>
    <n v="6"/>
    <n v="286.14999999999998"/>
    <n v="0.1"/>
    <n v="1545.21"/>
    <n v="1168.33"/>
    <n v="376.88"/>
    <s v="Debit Card"/>
  </r>
  <r>
    <s v="ORD-00075"/>
    <x v="311"/>
    <x v="2"/>
    <s v="Massachusetts"/>
    <s v="Boston"/>
    <s v="Casey Brown"/>
    <x v="0"/>
    <x v="2"/>
    <s v="Chairs"/>
    <s v="Executive Chair"/>
    <n v="10"/>
    <n v="369.47"/>
    <n v="0.05"/>
    <n v="3509.96"/>
    <n v="2016.38"/>
    <n v="1493.58"/>
    <s v="Bank Transfer"/>
  </r>
  <r>
    <s v="ORD-01086"/>
    <x v="311"/>
    <x v="2"/>
    <s v="New York"/>
    <s v="Rochester"/>
    <s v="Alex Morgan"/>
    <x v="2"/>
    <x v="0"/>
    <s v="Binders"/>
    <s v="3-Ring Binder"/>
    <n v="1"/>
    <n v="12.25"/>
    <n v="0.05"/>
    <n v="11.64"/>
    <n v="7.53"/>
    <n v="4.1100000000000003"/>
    <s v="PayPal"/>
  </r>
  <r>
    <s v="ORD-00827"/>
    <x v="311"/>
    <x v="3"/>
    <s v="Indiana"/>
    <s v="Fort Wayne"/>
    <s v="Morgan Davis"/>
    <x v="2"/>
    <x v="1"/>
    <s v="Laptops"/>
    <s v="Business Laptop"/>
    <n v="7"/>
    <n v="819.75"/>
    <n v="0.2"/>
    <n v="4590.6000000000004"/>
    <n v="3562.02"/>
    <n v="1028.58"/>
    <s v="Credit Card"/>
  </r>
  <r>
    <s v="ORD-02234"/>
    <x v="311"/>
    <x v="3"/>
    <s v="Minnesota"/>
    <s v="Rochester"/>
    <s v="Alex Morgan"/>
    <x v="1"/>
    <x v="2"/>
    <s v="Desks"/>
    <s v="Standing Desk"/>
    <n v="4"/>
    <n v="318"/>
    <n v="0.05"/>
    <n v="1208.4000000000001"/>
    <n v="865.15"/>
    <n v="343.25"/>
    <s v="Debit Card"/>
  </r>
  <r>
    <s v="ORD-00297"/>
    <x v="311"/>
    <x v="1"/>
    <s v="Virginia"/>
    <s v="Arlington"/>
    <s v="Cameron Clark"/>
    <x v="2"/>
    <x v="1"/>
    <s v="Monitors"/>
    <s v="27in Monitor"/>
    <n v="10"/>
    <n v="651.62"/>
    <n v="0"/>
    <n v="6516.2"/>
    <n v="4758.9399999999996"/>
    <n v="1757.26"/>
    <s v="Debit Card"/>
  </r>
  <r>
    <s v="ORD-01037"/>
    <x v="311"/>
    <x v="0"/>
    <s v="Washington"/>
    <s v="Spokane"/>
    <s v="Morgan Davis"/>
    <x v="0"/>
    <x v="2"/>
    <s v="Chairs"/>
    <s v="Ergonomic Chair"/>
    <n v="2"/>
    <n v="233.54"/>
    <n v="0"/>
    <n v="467.08"/>
    <n v="258.07"/>
    <n v="209.01"/>
    <s v="Bank Transfer"/>
  </r>
  <r>
    <s v="ORD-01071"/>
    <x v="311"/>
    <x v="2"/>
    <s v="Massachusetts"/>
    <s v="Springfield"/>
    <s v="Jordan Lee"/>
    <x v="0"/>
    <x v="0"/>
    <s v="Binders"/>
    <s v="Presentation Binder"/>
    <n v="6"/>
    <n v="10.71"/>
    <n v="0.1"/>
    <n v="57.83"/>
    <n v="35.86"/>
    <n v="21.97"/>
    <s v="PayPal"/>
  </r>
  <r>
    <s v="ORD-02327"/>
    <x v="311"/>
    <x v="1"/>
    <s v="Virginia"/>
    <s v="Norfolk"/>
    <s v="Morgan Davis"/>
    <x v="0"/>
    <x v="2"/>
    <s v="Chairs"/>
    <s v="Executive Chair"/>
    <n v="10"/>
    <n v="327.54000000000002"/>
    <n v="0.05"/>
    <n v="3111.63"/>
    <n v="2123.5500000000002"/>
    <n v="988.08"/>
    <s v="Bank Transfer"/>
  </r>
  <r>
    <s v="ORD-00460"/>
    <x v="311"/>
    <x v="3"/>
    <s v="Minnesota"/>
    <s v="Minneapolis"/>
    <s v="Alex Morgan"/>
    <x v="0"/>
    <x v="2"/>
    <s v="Desks"/>
    <s v="Standing Desk"/>
    <n v="2"/>
    <n v="893.17"/>
    <n v="0.05"/>
    <n v="1697.02"/>
    <n v="1267.8499999999999"/>
    <n v="429.17"/>
    <s v="Credit Card"/>
  </r>
  <r>
    <s v="ORD-01353"/>
    <x v="311"/>
    <x v="3"/>
    <s v="Minnesota"/>
    <s v="Rochester"/>
    <s v="Jamie Miller"/>
    <x v="1"/>
    <x v="2"/>
    <s v="Tables"/>
    <s v="Training Table"/>
    <n v="6"/>
    <n v="154.54"/>
    <n v="0.1"/>
    <n v="834.52"/>
    <n v="536.14"/>
    <n v="298.38"/>
    <s v="Credit Card"/>
  </r>
  <r>
    <s v="ORD-00212"/>
    <x v="311"/>
    <x v="3"/>
    <s v="Indiana"/>
    <s v="Indianapolis"/>
    <s v="Drew Anderson"/>
    <x v="2"/>
    <x v="2"/>
    <s v="Chairs"/>
    <s v="Ergonomic Chair"/>
    <n v="3"/>
    <n v="127.88"/>
    <n v="0.15"/>
    <n v="326.08999999999997"/>
    <n v="223.36"/>
    <n v="102.73"/>
    <s v="Debit Card"/>
  </r>
  <r>
    <s v="ORD-02784"/>
    <x v="312"/>
    <x v="1"/>
    <s v="Florida"/>
    <s v="Tampa"/>
    <s v="Jamie Miller"/>
    <x v="0"/>
    <x v="1"/>
    <s v="Laptops"/>
    <s v="Workstation Laptop"/>
    <n v="4"/>
    <n v="1378.47"/>
    <n v="0.05"/>
    <n v="5238.1899999999996"/>
    <n v="3065.75"/>
    <n v="2172.44"/>
    <s v="Debit Card"/>
  </r>
  <r>
    <s v="ORD-01138"/>
    <x v="312"/>
    <x v="1"/>
    <s v="Georgia"/>
    <s v="Atlanta"/>
    <s v="Avery Johnson"/>
    <x v="0"/>
    <x v="0"/>
    <s v="Printers"/>
    <s v="Laser Printer"/>
    <n v="8"/>
    <n v="529.13"/>
    <n v="0.05"/>
    <n v="4021.39"/>
    <n v="3120.4"/>
    <n v="900.99"/>
    <s v="PayPal"/>
  </r>
  <r>
    <s v="ORD-02115"/>
    <x v="312"/>
    <x v="2"/>
    <s v="Vermont"/>
    <s v="Rutland"/>
    <s v="Jordan Lee"/>
    <x v="0"/>
    <x v="1"/>
    <s v="Laptops"/>
    <s v="Workstation Laptop"/>
    <n v="3"/>
    <n v="1167.81"/>
    <n v="0.15"/>
    <n v="2977.92"/>
    <n v="2050.61"/>
    <n v="927.31"/>
    <s v="PayPal"/>
  </r>
  <r>
    <s v="ORD-00146"/>
    <x v="312"/>
    <x v="3"/>
    <s v="Ohio"/>
    <s v="Cincinnati"/>
    <s v="Avery Johnson"/>
    <x v="0"/>
    <x v="2"/>
    <s v="Bookcases"/>
    <s v="Storage Bookcase"/>
    <n v="8"/>
    <n v="255.06"/>
    <n v="0.05"/>
    <n v="1938.46"/>
    <n v="1507.54"/>
    <n v="430.92"/>
    <s v="PayPal"/>
  </r>
  <r>
    <s v="ORD-01177"/>
    <x v="312"/>
    <x v="3"/>
    <s v="Indiana"/>
    <s v="Fort Wayne"/>
    <s v="Taylor Smith"/>
    <x v="0"/>
    <x v="0"/>
    <s v="Pens"/>
    <s v="Gel Pens"/>
    <n v="2"/>
    <n v="6.81"/>
    <n v="0.05"/>
    <n v="12.94"/>
    <n v="8.9600000000000009"/>
    <n v="3.98"/>
    <s v="Debit Card"/>
  </r>
  <r>
    <s v="ORD-00207"/>
    <x v="312"/>
    <x v="0"/>
    <s v="Washington"/>
    <s v="Spokane"/>
    <s v="Avery Johnson"/>
    <x v="0"/>
    <x v="0"/>
    <s v="Pens"/>
    <s v="Fine Tip Pens"/>
    <n v="8"/>
    <n v="6.76"/>
    <n v="0"/>
    <n v="54.08"/>
    <n v="42.68"/>
    <n v="11.4"/>
    <s v="Credit Card"/>
  </r>
  <r>
    <s v="ORD-01281"/>
    <x v="313"/>
    <x v="1"/>
    <s v="North Carolina"/>
    <s v="Raleigh"/>
    <s v="Drew Anderson"/>
    <x v="1"/>
    <x v="1"/>
    <s v="Headsets"/>
    <s v="USB Headset"/>
    <n v="4"/>
    <n v="135.44999999999999"/>
    <n v="0.15"/>
    <n v="460.53"/>
    <n v="302.89"/>
    <n v="157.63999999999999"/>
    <s v="Credit Card"/>
  </r>
  <r>
    <s v="ORD-00453"/>
    <x v="313"/>
    <x v="1"/>
    <s v="North Carolina"/>
    <s v="Raleigh"/>
    <s v="Alex Morgan"/>
    <x v="0"/>
    <x v="2"/>
    <s v="Bookcases"/>
    <s v="Storage Bookcase"/>
    <n v="5"/>
    <n v="315.52"/>
    <n v="0"/>
    <n v="1577.6"/>
    <n v="932.54"/>
    <n v="645.05999999999995"/>
    <s v="Credit Card"/>
  </r>
  <r>
    <s v="ORD-01315"/>
    <x v="313"/>
    <x v="1"/>
    <s v="North Carolina"/>
    <s v="Charlotte"/>
    <s v="Taylor Smith"/>
    <x v="2"/>
    <x v="0"/>
    <s v="Binders"/>
    <s v="Heavy-Duty Binder"/>
    <n v="4"/>
    <n v="19.690000000000001"/>
    <n v="0.2"/>
    <n v="63.01"/>
    <n v="44.01"/>
    <n v="19"/>
    <s v="Debit Card"/>
  </r>
  <r>
    <s v="ORD-01765"/>
    <x v="313"/>
    <x v="2"/>
    <s v="New Jersey"/>
    <s v="Trenton"/>
    <s v="Cameron Clark"/>
    <x v="0"/>
    <x v="1"/>
    <s v="Keyboards"/>
    <s v="Ergonomic Keyboard"/>
    <n v="9"/>
    <n v="145.84"/>
    <n v="0"/>
    <n v="1312.56"/>
    <n v="982.07"/>
    <n v="330.49"/>
    <s v="Bank Transfer"/>
  </r>
  <r>
    <s v="ORD-02456"/>
    <x v="313"/>
    <x v="2"/>
    <s v="Pennsylvania"/>
    <s v="Pittsburgh"/>
    <s v="Alex Morgan"/>
    <x v="1"/>
    <x v="1"/>
    <s v="Monitors"/>
    <s v="34in Monitor"/>
    <n v="9"/>
    <n v="548.59"/>
    <n v="0"/>
    <n v="4937.3100000000004"/>
    <n v="3680"/>
    <n v="1257.31"/>
    <s v="Credit Card"/>
  </r>
  <r>
    <s v="ORD-00046"/>
    <x v="313"/>
    <x v="0"/>
    <s v="Arizona"/>
    <s v="Phoenix"/>
    <s v="Jordan Lee"/>
    <x v="2"/>
    <x v="1"/>
    <s v="Monitors"/>
    <s v="27in Monitor"/>
    <n v="6"/>
    <n v="550.82000000000005"/>
    <n v="0.05"/>
    <n v="3139.67"/>
    <n v="2554.59"/>
    <n v="585.08000000000004"/>
    <s v="Credit Card"/>
  </r>
  <r>
    <s v="ORD-00959"/>
    <x v="313"/>
    <x v="1"/>
    <s v="Virginia"/>
    <s v="Richmond"/>
    <s v="Jamie Miller"/>
    <x v="2"/>
    <x v="1"/>
    <s v="Monitors"/>
    <s v="34in Monitor"/>
    <n v="1"/>
    <n v="520.98"/>
    <n v="0.05"/>
    <n v="494.93"/>
    <n v="385.07"/>
    <n v="109.86"/>
    <s v="Debit Card"/>
  </r>
  <r>
    <s v="ORD-01951"/>
    <x v="313"/>
    <x v="0"/>
    <s v="California"/>
    <s v="San Diego"/>
    <s v="Alex Morgan"/>
    <x v="0"/>
    <x v="2"/>
    <s v="Tables"/>
    <s v="Training Table"/>
    <n v="3"/>
    <n v="157.38999999999999"/>
    <n v="0.05"/>
    <n v="448.56"/>
    <n v="247.55"/>
    <n v="201.01"/>
    <s v="Credit Card"/>
  </r>
  <r>
    <s v="ORD-00779"/>
    <x v="314"/>
    <x v="0"/>
    <s v="Oregon"/>
    <s v="Eugene"/>
    <s v="Jordan Lee"/>
    <x v="1"/>
    <x v="1"/>
    <s v="Headsets"/>
    <s v="Noise-Canceling Headset"/>
    <n v="6"/>
    <n v="224.14"/>
    <n v="0.1"/>
    <n v="1210.3599999999999"/>
    <n v="917.02"/>
    <n v="293.33999999999997"/>
    <s v="Bank Transfer"/>
  </r>
  <r>
    <s v="ORD-01744"/>
    <x v="314"/>
    <x v="3"/>
    <s v="Michigan"/>
    <s v="Grand Rapids"/>
    <s v="Jordan Lee"/>
    <x v="1"/>
    <x v="0"/>
    <s v="Printers"/>
    <s v="Color Printer"/>
    <n v="10"/>
    <n v="411.73"/>
    <n v="0.05"/>
    <n v="3911.44"/>
    <n v="2704.51"/>
    <n v="1206.93"/>
    <s v="PayPal"/>
  </r>
  <r>
    <s v="ORD-00216"/>
    <x v="314"/>
    <x v="2"/>
    <s v="Massachusetts"/>
    <s v="Springfield"/>
    <s v="Cameron Clark"/>
    <x v="1"/>
    <x v="0"/>
    <s v="Printers"/>
    <s v="Color Printer"/>
    <n v="4"/>
    <n v="213.12"/>
    <n v="0.05"/>
    <n v="809.86"/>
    <n v="611.11"/>
    <n v="198.75"/>
    <s v="PayPal"/>
  </r>
  <r>
    <s v="ORD-01955"/>
    <x v="314"/>
    <x v="3"/>
    <s v="Illinois"/>
    <s v="Peoria"/>
    <s v="Cameron Clark"/>
    <x v="1"/>
    <x v="1"/>
    <s v="Monitors"/>
    <s v="34in Monitor"/>
    <n v="2"/>
    <n v="549.91"/>
    <n v="0"/>
    <n v="1099.82"/>
    <n v="811.93"/>
    <n v="287.89"/>
    <s v="Debit Card"/>
  </r>
  <r>
    <s v="ORD-02172"/>
    <x v="314"/>
    <x v="1"/>
    <s v="Texas"/>
    <s v="Houston"/>
    <s v="Alex Morgan"/>
    <x v="0"/>
    <x v="0"/>
    <s v="Binders"/>
    <s v="Heavy-Duty Binder"/>
    <n v="1"/>
    <n v="15.05"/>
    <n v="0.2"/>
    <n v="12.04"/>
    <n v="8.52"/>
    <n v="3.52"/>
    <s v="Debit Card"/>
  </r>
  <r>
    <s v="ORD-01804"/>
    <x v="314"/>
    <x v="0"/>
    <s v="Arizona"/>
    <s v="Mesa"/>
    <s v="Alex Morgan"/>
    <x v="1"/>
    <x v="0"/>
    <s v="Printers"/>
    <s v="Laser Printer"/>
    <n v="9"/>
    <n v="445.86"/>
    <n v="0.1"/>
    <n v="3611.47"/>
    <n v="2485.7399999999998"/>
    <n v="1125.73"/>
    <s v="Credit Card"/>
  </r>
  <r>
    <s v="ORD-01093"/>
    <x v="314"/>
    <x v="0"/>
    <s v="Oregon"/>
    <s v="Salem"/>
    <s v="Riley Wilson"/>
    <x v="2"/>
    <x v="1"/>
    <s v="Laptops"/>
    <s v="Workstation Laptop"/>
    <n v="8"/>
    <n v="1742.82"/>
    <n v="0.1"/>
    <n v="12548.3"/>
    <n v="9779.8799999999992"/>
    <n v="2768.42"/>
    <s v="Credit Card"/>
  </r>
  <r>
    <s v="ORD-00105"/>
    <x v="315"/>
    <x v="1"/>
    <s v="Florida"/>
    <s v="Tampa"/>
    <s v="Riley Wilson"/>
    <x v="2"/>
    <x v="2"/>
    <s v="Chairs"/>
    <s v="Task Chair"/>
    <n v="3"/>
    <n v="135.63999999999999"/>
    <n v="0.1"/>
    <n v="366.23"/>
    <n v="278.70999999999998"/>
    <n v="87.52"/>
    <s v="Bank Transfer"/>
  </r>
  <r>
    <s v="ORD-02899"/>
    <x v="315"/>
    <x v="1"/>
    <s v="Florida"/>
    <s v="Orlando"/>
    <s v="Taylor Smith"/>
    <x v="0"/>
    <x v="0"/>
    <s v="Paper"/>
    <s v="Premium Paper"/>
    <n v="7"/>
    <n v="22.32"/>
    <n v="0.1"/>
    <n v="140.62"/>
    <n v="86.16"/>
    <n v="54.46"/>
    <s v="Bank Transfer"/>
  </r>
  <r>
    <s v="ORD-02253"/>
    <x v="315"/>
    <x v="3"/>
    <s v="Minnesota"/>
    <s v="St. Paul"/>
    <s v="Cameron Clark"/>
    <x v="0"/>
    <x v="0"/>
    <s v="Binders"/>
    <s v="3-Ring Binder"/>
    <n v="9"/>
    <n v="24.8"/>
    <n v="0"/>
    <n v="223.2"/>
    <n v="178.94"/>
    <n v="44.26"/>
    <s v="Bank Transfer"/>
  </r>
  <r>
    <s v="ORD-01660"/>
    <x v="315"/>
    <x v="0"/>
    <s v="Arizona"/>
    <s v="Mesa"/>
    <s v="Jamie Miller"/>
    <x v="2"/>
    <x v="0"/>
    <s v="Paper"/>
    <s v="Premium Paper"/>
    <n v="10"/>
    <n v="11.92"/>
    <n v="0.1"/>
    <n v="107.28"/>
    <n v="76.91"/>
    <n v="30.37"/>
    <s v="Bank Transfer"/>
  </r>
  <r>
    <s v="ORD-01412"/>
    <x v="315"/>
    <x v="1"/>
    <s v="Virginia"/>
    <s v="Richmond"/>
    <s v="Taylor Smith"/>
    <x v="0"/>
    <x v="1"/>
    <s v="Headsets"/>
    <s v="Wireless Headset"/>
    <n v="3"/>
    <n v="70.13"/>
    <n v="0.15"/>
    <n v="178.83"/>
    <n v="141.74"/>
    <n v="37.090000000000003"/>
    <s v="PayPal"/>
  </r>
  <r>
    <s v="ORD-01704"/>
    <x v="315"/>
    <x v="3"/>
    <s v="Minnesota"/>
    <s v="Minneapolis"/>
    <s v="Jordan Lee"/>
    <x v="2"/>
    <x v="0"/>
    <s v="Pens"/>
    <s v="Gel Pens"/>
    <n v="7"/>
    <n v="12.18"/>
    <n v="0"/>
    <n v="85.26"/>
    <n v="65.680000000000007"/>
    <n v="19.579999999999998"/>
    <s v="PayPal"/>
  </r>
  <r>
    <s v="ORD-01699"/>
    <x v="315"/>
    <x v="2"/>
    <s v="Pennsylvania"/>
    <s v="Philadelphia"/>
    <s v="Jamie Miller"/>
    <x v="1"/>
    <x v="0"/>
    <s v="Printers"/>
    <s v="Laser Printer"/>
    <n v="9"/>
    <n v="309.95999999999998"/>
    <n v="0.05"/>
    <n v="2650.16"/>
    <n v="1959.7"/>
    <n v="690.46"/>
    <s v="Bank Transfer"/>
  </r>
  <r>
    <s v="ORD-02103"/>
    <x v="316"/>
    <x v="2"/>
    <s v="Vermont"/>
    <s v="Montpelier"/>
    <s v="Avery Johnson"/>
    <x v="2"/>
    <x v="0"/>
    <s v="Printers"/>
    <s v="Color Printer"/>
    <n v="4"/>
    <n v="389.5"/>
    <n v="0.05"/>
    <n v="1480.1"/>
    <n v="950.02"/>
    <n v="530.08000000000004"/>
    <s v="Credit Card"/>
  </r>
  <r>
    <s v="ORD-00955"/>
    <x v="316"/>
    <x v="3"/>
    <s v="Indiana"/>
    <s v="Fort Wayne"/>
    <s v="Morgan Davis"/>
    <x v="0"/>
    <x v="0"/>
    <s v="Printers"/>
    <s v="All-in-One Printer"/>
    <n v="4"/>
    <n v="400.96"/>
    <n v="0.2"/>
    <n v="1283.07"/>
    <n v="959.67"/>
    <n v="323.39999999999998"/>
    <s v="Bank Transfer"/>
  </r>
  <r>
    <s v="ORD-02508"/>
    <x v="316"/>
    <x v="1"/>
    <s v="Virginia"/>
    <s v="Arlington"/>
    <s v="Riley Wilson"/>
    <x v="2"/>
    <x v="1"/>
    <s v="Monitors"/>
    <s v="34in Monitor"/>
    <n v="3"/>
    <n v="336.18"/>
    <n v="0.2"/>
    <n v="806.83"/>
    <n v="485.01"/>
    <n v="321.82"/>
    <s v="Credit Card"/>
  </r>
  <r>
    <s v="ORD-02780"/>
    <x v="316"/>
    <x v="3"/>
    <s v="Michigan"/>
    <s v="Lansing"/>
    <s v="Morgan Davis"/>
    <x v="2"/>
    <x v="1"/>
    <s v="Headsets"/>
    <s v="USB Headset"/>
    <n v="6"/>
    <n v="248.76"/>
    <n v="0.05"/>
    <n v="1417.93"/>
    <n v="796.18"/>
    <n v="621.75"/>
    <s v="Debit Card"/>
  </r>
  <r>
    <s v="ORD-00152"/>
    <x v="316"/>
    <x v="3"/>
    <s v="Ohio"/>
    <s v="Cleveland"/>
    <s v="Cameron Clark"/>
    <x v="1"/>
    <x v="2"/>
    <s v="Chairs"/>
    <s v="Executive Chair"/>
    <n v="4"/>
    <n v="293.12"/>
    <n v="0.2"/>
    <n v="937.98"/>
    <n v="678.94"/>
    <n v="259.04000000000002"/>
    <s v="Credit Card"/>
  </r>
  <r>
    <s v="ORD-02890"/>
    <x v="316"/>
    <x v="3"/>
    <s v="Ohio"/>
    <s v="Cleveland"/>
    <s v="Cameron Clark"/>
    <x v="0"/>
    <x v="1"/>
    <s v="Monitors"/>
    <s v="24in Monitor"/>
    <n v="7"/>
    <n v="550.14"/>
    <n v="0.1"/>
    <n v="3465.88"/>
    <n v="1931.83"/>
    <n v="1534.05"/>
    <s v="Debit Card"/>
  </r>
  <r>
    <s v="ORD-00321"/>
    <x v="316"/>
    <x v="0"/>
    <s v="Oregon"/>
    <s v="Eugene"/>
    <s v="Drew Anderson"/>
    <x v="0"/>
    <x v="0"/>
    <s v="Paper"/>
    <s v="Premium Paper"/>
    <n v="8"/>
    <n v="25.41"/>
    <n v="0"/>
    <n v="203.28"/>
    <n v="159"/>
    <n v="44.28"/>
    <s v="PayPal"/>
  </r>
  <r>
    <s v="ORD-00514"/>
    <x v="316"/>
    <x v="1"/>
    <s v="Virginia"/>
    <s v="Richmond"/>
    <s v="Alex Morgan"/>
    <x v="0"/>
    <x v="0"/>
    <s v="Binders"/>
    <s v="3-Ring Binder"/>
    <n v="4"/>
    <n v="16.05"/>
    <n v="0.15"/>
    <n v="54.57"/>
    <n v="35.549999999999997"/>
    <n v="19.02"/>
    <s v="Credit Card"/>
  </r>
  <r>
    <s v="ORD-00809"/>
    <x v="316"/>
    <x v="1"/>
    <s v="Texas"/>
    <s v="Austin"/>
    <s v="Riley Wilson"/>
    <x v="0"/>
    <x v="0"/>
    <s v="Paper"/>
    <s v="Recycled Paper"/>
    <n v="2"/>
    <n v="31.76"/>
    <n v="0"/>
    <n v="63.52"/>
    <n v="35.619999999999997"/>
    <n v="27.9"/>
    <s v="Bank Transfer"/>
  </r>
  <r>
    <s v="ORD-01911"/>
    <x v="316"/>
    <x v="0"/>
    <s v="Colorado"/>
    <s v="Denver"/>
    <s v="Alex Morgan"/>
    <x v="0"/>
    <x v="2"/>
    <s v="Desks"/>
    <s v="Work Desk"/>
    <n v="6"/>
    <n v="671.93"/>
    <n v="0"/>
    <n v="4031.58"/>
    <n v="2727.95"/>
    <n v="1303.6300000000001"/>
    <s v="Bank Transfer"/>
  </r>
  <r>
    <s v="ORD-02288"/>
    <x v="317"/>
    <x v="2"/>
    <s v="New York"/>
    <s v="Buffalo"/>
    <s v="Drew Anderson"/>
    <x v="0"/>
    <x v="0"/>
    <s v="Paper"/>
    <s v="Recycled Paper"/>
    <n v="2"/>
    <n v="34.29"/>
    <n v="0.1"/>
    <n v="61.72"/>
    <n v="37.299999999999997"/>
    <n v="24.42"/>
    <s v="Debit Card"/>
  </r>
  <r>
    <s v="ORD-02385"/>
    <x v="317"/>
    <x v="2"/>
    <s v="Pennsylvania"/>
    <s v="Philadelphia"/>
    <s v="Alex Morgan"/>
    <x v="2"/>
    <x v="2"/>
    <s v="Bookcases"/>
    <s v="Storage Bookcase"/>
    <n v="8"/>
    <n v="182.61"/>
    <n v="0"/>
    <n v="1460.88"/>
    <n v="837.99"/>
    <n v="622.89"/>
    <s v="Credit Card"/>
  </r>
  <r>
    <s v="ORD-01424"/>
    <x v="317"/>
    <x v="3"/>
    <s v="Minnesota"/>
    <s v="Rochester"/>
    <s v="Riley Wilson"/>
    <x v="0"/>
    <x v="1"/>
    <s v="Headsets"/>
    <s v="Wireless Headset"/>
    <n v="1"/>
    <n v="195.28"/>
    <n v="0.15"/>
    <n v="165.99"/>
    <n v="102.26"/>
    <n v="63.73"/>
    <s v="Credit Card"/>
  </r>
  <r>
    <s v="ORD-01357"/>
    <x v="317"/>
    <x v="0"/>
    <s v="Oregon"/>
    <s v="Salem"/>
    <s v="Riley Wilson"/>
    <x v="1"/>
    <x v="0"/>
    <s v="Pens"/>
    <s v="Ballpoint Pens"/>
    <n v="1"/>
    <n v="22.68"/>
    <n v="0"/>
    <n v="22.68"/>
    <n v="18.27"/>
    <n v="4.41"/>
    <s v="Credit Card"/>
  </r>
  <r>
    <s v="ORD-00342"/>
    <x v="317"/>
    <x v="0"/>
    <s v="Colorado"/>
    <s v="Colorado Springs"/>
    <s v="Avery Johnson"/>
    <x v="2"/>
    <x v="1"/>
    <s v="Monitors"/>
    <s v="24in Monitor"/>
    <n v="9"/>
    <n v="392.54"/>
    <n v="0"/>
    <n v="3532.86"/>
    <n v="2303.39"/>
    <n v="1229.47"/>
    <s v="PayPal"/>
  </r>
  <r>
    <s v="ORD-00688"/>
    <x v="317"/>
    <x v="2"/>
    <s v="Massachusetts"/>
    <s v="Springfield"/>
    <s v="Avery Johnson"/>
    <x v="0"/>
    <x v="0"/>
    <s v="Binders"/>
    <s v="Presentation Binder"/>
    <n v="5"/>
    <n v="11.73"/>
    <n v="0.05"/>
    <n v="55.72"/>
    <n v="40.270000000000003"/>
    <n v="15.45"/>
    <s v="PayPal"/>
  </r>
  <r>
    <s v="ORD-00652"/>
    <x v="317"/>
    <x v="0"/>
    <s v="Colorado"/>
    <s v="Boulder"/>
    <s v="Taylor Smith"/>
    <x v="0"/>
    <x v="1"/>
    <s v="Laptops"/>
    <s v="Business Laptop"/>
    <n v="2"/>
    <n v="1704.54"/>
    <n v="0"/>
    <n v="3409.08"/>
    <n v="2763.02"/>
    <n v="646.05999999999995"/>
    <s v="Credit Card"/>
  </r>
  <r>
    <s v="ORD-02274"/>
    <x v="317"/>
    <x v="1"/>
    <s v="North Carolina"/>
    <s v="Charlotte"/>
    <s v="Jamie Miller"/>
    <x v="1"/>
    <x v="0"/>
    <s v="Printers"/>
    <s v="Laser Printer"/>
    <n v="5"/>
    <n v="140.37"/>
    <n v="0.15"/>
    <n v="596.57000000000005"/>
    <n v="375.92"/>
    <n v="220.65"/>
    <s v="Credit Card"/>
  </r>
  <r>
    <s v="ORD-00348"/>
    <x v="317"/>
    <x v="0"/>
    <s v="Oregon"/>
    <s v="Portland"/>
    <s v="Taylor Smith"/>
    <x v="0"/>
    <x v="1"/>
    <s v="Keyboards"/>
    <s v="Wireless Keyboard"/>
    <n v="3"/>
    <n v="59.36"/>
    <n v="0"/>
    <n v="178.08"/>
    <n v="109.56"/>
    <n v="68.52"/>
    <s v="Debit Card"/>
  </r>
  <r>
    <s v="ORD-02363"/>
    <x v="318"/>
    <x v="3"/>
    <s v="Illinois"/>
    <s v="Chicago"/>
    <s v="Alex Morgan"/>
    <x v="0"/>
    <x v="1"/>
    <s v="Headsets"/>
    <s v="Wireless Headset"/>
    <n v="1"/>
    <n v="223.88"/>
    <n v="0.05"/>
    <n v="212.69"/>
    <n v="117.54"/>
    <n v="95.15"/>
    <s v="PayPal"/>
  </r>
  <r>
    <s v="ORD-00273"/>
    <x v="318"/>
    <x v="0"/>
    <s v="Washington"/>
    <s v="Tacoma"/>
    <s v="Drew Anderson"/>
    <x v="2"/>
    <x v="0"/>
    <s v="Printers"/>
    <s v="Laser Printer"/>
    <n v="3"/>
    <n v="492.27"/>
    <n v="0.15"/>
    <n v="1255.29"/>
    <n v="899.65"/>
    <n v="355.64"/>
    <s v="Debit Card"/>
  </r>
  <r>
    <s v="ORD-02716"/>
    <x v="318"/>
    <x v="3"/>
    <s v="Indiana"/>
    <s v="Indianapolis"/>
    <s v="Avery Johnson"/>
    <x v="0"/>
    <x v="2"/>
    <s v="Desks"/>
    <s v="Work Desk"/>
    <n v="6"/>
    <n v="639.77"/>
    <n v="0.1"/>
    <n v="3454.76"/>
    <n v="2396.84"/>
    <n v="1057.92"/>
    <s v="Debit Card"/>
  </r>
  <r>
    <s v="ORD-00845"/>
    <x v="318"/>
    <x v="2"/>
    <s v="Massachusetts"/>
    <s v="Worcester"/>
    <s v="Taylor Smith"/>
    <x v="0"/>
    <x v="1"/>
    <s v="Keyboards"/>
    <s v="Ergonomic Keyboard"/>
    <n v="3"/>
    <n v="170.87"/>
    <n v="0"/>
    <n v="512.61"/>
    <n v="324.7"/>
    <n v="187.91"/>
    <s v="Bank Transfer"/>
  </r>
  <r>
    <s v="ORD-00569"/>
    <x v="318"/>
    <x v="3"/>
    <s v="Illinois"/>
    <s v="Peoria"/>
    <s v="Jordan Lee"/>
    <x v="2"/>
    <x v="0"/>
    <s v="Binders"/>
    <s v="3-Ring Binder"/>
    <n v="10"/>
    <n v="21.06"/>
    <n v="0.05"/>
    <n v="200.07"/>
    <n v="154.38999999999999"/>
    <n v="45.68"/>
    <s v="Debit Card"/>
  </r>
  <r>
    <s v="ORD-00249"/>
    <x v="318"/>
    <x v="2"/>
    <s v="Massachusetts"/>
    <s v="Worcester"/>
    <s v="Avery Johnson"/>
    <x v="2"/>
    <x v="0"/>
    <s v="Printers"/>
    <s v="All-in-One Printer"/>
    <n v="5"/>
    <n v="484.05"/>
    <n v="0"/>
    <n v="2420.25"/>
    <n v="1344.27"/>
    <n v="1075.98"/>
    <s v="Bank Transfer"/>
  </r>
  <r>
    <s v="ORD-01856"/>
    <x v="318"/>
    <x v="1"/>
    <s v="Texas"/>
    <s v="Dallas"/>
    <s v="Alex Morgan"/>
    <x v="0"/>
    <x v="1"/>
    <s v="Monitors"/>
    <s v="34in Monitor"/>
    <n v="3"/>
    <n v="211.3"/>
    <n v="0"/>
    <n v="633.9"/>
    <n v="429.47"/>
    <n v="204.43"/>
    <s v="Debit Card"/>
  </r>
  <r>
    <s v="ORD-02557"/>
    <x v="318"/>
    <x v="0"/>
    <s v="Arizona"/>
    <s v="Phoenix"/>
    <s v="Riley Wilson"/>
    <x v="2"/>
    <x v="0"/>
    <s v="Printers"/>
    <s v="Color Printer"/>
    <n v="5"/>
    <n v="328.51"/>
    <n v="0.2"/>
    <n v="1314.04"/>
    <n v="793.24"/>
    <n v="520.79999999999995"/>
    <s v="PayPal"/>
  </r>
  <r>
    <s v="ORD-01714"/>
    <x v="318"/>
    <x v="2"/>
    <s v="Pennsylvania"/>
    <s v="Philadelphia"/>
    <s v="Taylor Smith"/>
    <x v="1"/>
    <x v="1"/>
    <s v="Laptops"/>
    <s v="Ultrabook"/>
    <n v="10"/>
    <n v="1372.64"/>
    <n v="0.1"/>
    <n v="12353.76"/>
    <n v="8409.4599999999991"/>
    <n v="3944.3"/>
    <s v="PayPal"/>
  </r>
  <r>
    <s v="ORD-01404"/>
    <x v="318"/>
    <x v="1"/>
    <s v="Texas"/>
    <s v="Austin"/>
    <s v="Cameron Clark"/>
    <x v="2"/>
    <x v="1"/>
    <s v="Monitors"/>
    <s v="27in Monitor"/>
    <n v="10"/>
    <n v="588.1"/>
    <n v="0.05"/>
    <n v="5586.95"/>
    <n v="4313.24"/>
    <n v="1273.71"/>
    <s v="Bank Transfer"/>
  </r>
  <r>
    <s v="ORD-00932"/>
    <x v="318"/>
    <x v="0"/>
    <s v="Oregon"/>
    <s v="Eugene"/>
    <s v="Morgan Davis"/>
    <x v="1"/>
    <x v="2"/>
    <s v="Bookcases"/>
    <s v="5-Shelf Bookcase"/>
    <n v="7"/>
    <n v="180.18"/>
    <n v="0.1"/>
    <n v="1135.1300000000001"/>
    <n v="654.16999999999996"/>
    <n v="480.96"/>
    <s v="Credit Card"/>
  </r>
  <r>
    <s v="ORD-02599"/>
    <x v="318"/>
    <x v="3"/>
    <s v="Ohio"/>
    <s v="Cincinnati"/>
    <s v="Casey Brown"/>
    <x v="0"/>
    <x v="1"/>
    <s v="Keyboards"/>
    <s v="Ergonomic Keyboard"/>
    <n v="3"/>
    <n v="177.05"/>
    <n v="0.1"/>
    <n v="478.04"/>
    <n v="292.74"/>
    <n v="185.3"/>
    <s v="Credit Card"/>
  </r>
  <r>
    <s v="ORD-01930"/>
    <x v="319"/>
    <x v="3"/>
    <s v="Indiana"/>
    <s v="Evansville"/>
    <s v="Cameron Clark"/>
    <x v="2"/>
    <x v="0"/>
    <s v="Binders"/>
    <s v="Presentation Binder"/>
    <n v="8"/>
    <n v="28.89"/>
    <n v="0.15"/>
    <n v="196.45"/>
    <n v="135.19"/>
    <n v="61.26"/>
    <s v="Bank Transfer"/>
  </r>
  <r>
    <s v="ORD-01686"/>
    <x v="319"/>
    <x v="2"/>
    <s v="Pennsylvania"/>
    <s v="Allentown"/>
    <s v="Taylor Smith"/>
    <x v="2"/>
    <x v="0"/>
    <s v="Printers"/>
    <s v="Color Printer"/>
    <n v="7"/>
    <n v="129.12"/>
    <n v="0.05"/>
    <n v="858.65"/>
    <n v="488.78"/>
    <n v="369.87"/>
    <s v="Bank Transfer"/>
  </r>
  <r>
    <s v="ORD-00884"/>
    <x v="319"/>
    <x v="0"/>
    <s v="California"/>
    <s v="Los Angeles"/>
    <s v="Jordan Lee"/>
    <x v="0"/>
    <x v="1"/>
    <s v="Monitors"/>
    <s v="24in Monitor"/>
    <n v="10"/>
    <n v="362.98"/>
    <n v="0.15"/>
    <n v="3085.33"/>
    <n v="2378.6"/>
    <n v="706.73"/>
    <s v="PayPal"/>
  </r>
  <r>
    <s v="ORD-02503"/>
    <x v="319"/>
    <x v="2"/>
    <s v="Vermont"/>
    <s v="Montpelier"/>
    <s v="Jordan Lee"/>
    <x v="0"/>
    <x v="0"/>
    <s v="Binders"/>
    <s v="3-Ring Binder"/>
    <n v="4"/>
    <n v="19.38"/>
    <n v="0.05"/>
    <n v="73.64"/>
    <n v="43.97"/>
    <n v="29.67"/>
    <s v="PayPal"/>
  </r>
  <r>
    <s v="ORD-02413"/>
    <x v="319"/>
    <x v="1"/>
    <s v="Virginia"/>
    <s v="Richmond"/>
    <s v="Riley Wilson"/>
    <x v="0"/>
    <x v="1"/>
    <s v="Headsets"/>
    <s v="Noise-Canceling Headset"/>
    <n v="3"/>
    <n v="183.89"/>
    <n v="0.05"/>
    <n v="524.09"/>
    <n v="387.85"/>
    <n v="136.24"/>
    <s v="Debit Card"/>
  </r>
  <r>
    <s v="ORD-01010"/>
    <x v="319"/>
    <x v="0"/>
    <s v="California"/>
    <s v="San Jose"/>
    <s v="Alex Morgan"/>
    <x v="0"/>
    <x v="1"/>
    <s v="Laptops"/>
    <s v="Business Laptop"/>
    <n v="7"/>
    <n v="777.77"/>
    <n v="0.05"/>
    <n v="5172.17"/>
    <n v="3856.58"/>
    <n v="1315.59"/>
    <s v="Bank Transfer"/>
  </r>
  <r>
    <s v="ORD-00878"/>
    <x v="319"/>
    <x v="1"/>
    <s v="North Carolina"/>
    <s v="Charlotte"/>
    <s v="Morgan Davis"/>
    <x v="0"/>
    <x v="2"/>
    <s v="Chairs"/>
    <s v="Executive Chair"/>
    <n v="2"/>
    <n v="389.5"/>
    <n v="0.2"/>
    <n v="623.20000000000005"/>
    <n v="423.78"/>
    <n v="199.42"/>
    <s v="Debit Card"/>
  </r>
  <r>
    <s v="ORD-02903"/>
    <x v="319"/>
    <x v="2"/>
    <s v="Vermont"/>
    <s v="Rutland"/>
    <s v="Jordan Lee"/>
    <x v="1"/>
    <x v="1"/>
    <s v="Headsets"/>
    <s v="USB Headset"/>
    <n v="5"/>
    <n v="196.83"/>
    <n v="0.05"/>
    <n v="934.94"/>
    <n v="766.44"/>
    <n v="168.5"/>
    <s v="Debit Card"/>
  </r>
  <r>
    <s v="ORD-00223"/>
    <x v="320"/>
    <x v="1"/>
    <s v="Texas"/>
    <s v="Dallas"/>
    <s v="Taylor Smith"/>
    <x v="2"/>
    <x v="1"/>
    <s v="Headsets"/>
    <s v="USB Headset"/>
    <n v="5"/>
    <n v="149.9"/>
    <n v="0"/>
    <n v="749.5"/>
    <n v="514.29999999999995"/>
    <n v="235.2"/>
    <s v="Credit Card"/>
  </r>
  <r>
    <s v="ORD-00127"/>
    <x v="320"/>
    <x v="1"/>
    <s v="Virginia"/>
    <s v="Norfolk"/>
    <s v="Jordan Lee"/>
    <x v="2"/>
    <x v="2"/>
    <s v="Chairs"/>
    <s v="Executive Chair"/>
    <n v="9"/>
    <n v="205.66"/>
    <n v="0"/>
    <n v="1850.94"/>
    <n v="1109.9000000000001"/>
    <n v="741.04"/>
    <s v="Debit Card"/>
  </r>
  <r>
    <s v="ORD-00859"/>
    <x v="320"/>
    <x v="1"/>
    <s v="North Carolina"/>
    <s v="Charlotte"/>
    <s v="Drew Anderson"/>
    <x v="2"/>
    <x v="0"/>
    <s v="Pens"/>
    <s v="Gel Pens"/>
    <n v="6"/>
    <n v="19.02"/>
    <n v="0"/>
    <n v="114.12"/>
    <n v="88.87"/>
    <n v="25.25"/>
    <s v="PayPal"/>
  </r>
  <r>
    <s v="ORD-01981"/>
    <x v="320"/>
    <x v="2"/>
    <s v="Vermont"/>
    <s v="Montpelier"/>
    <s v="Morgan Davis"/>
    <x v="1"/>
    <x v="0"/>
    <s v="Printers"/>
    <s v="Color Printer"/>
    <n v="10"/>
    <n v="178.06"/>
    <n v="0.15"/>
    <n v="1513.51"/>
    <n v="1213.58"/>
    <n v="299.93"/>
    <s v="Bank Transfer"/>
  </r>
  <r>
    <s v="ORD-01084"/>
    <x v="321"/>
    <x v="0"/>
    <s v="Washington"/>
    <s v="Seattle"/>
    <s v="Cameron Clark"/>
    <x v="2"/>
    <x v="1"/>
    <s v="Monitors"/>
    <s v="34in Monitor"/>
    <n v="3"/>
    <n v="647.53"/>
    <n v="0.05"/>
    <n v="1845.46"/>
    <n v="1220.1300000000001"/>
    <n v="625.33000000000004"/>
    <s v="Bank Transfer"/>
  </r>
  <r>
    <s v="ORD-01014"/>
    <x v="321"/>
    <x v="3"/>
    <s v="Illinois"/>
    <s v="Peoria"/>
    <s v="Riley Wilson"/>
    <x v="1"/>
    <x v="0"/>
    <s v="Pens"/>
    <s v="Ballpoint Pens"/>
    <n v="3"/>
    <n v="15.31"/>
    <n v="0"/>
    <n v="45.93"/>
    <n v="26.54"/>
    <n v="19.39"/>
    <s v="PayPal"/>
  </r>
  <r>
    <s v="ORD-01135"/>
    <x v="321"/>
    <x v="3"/>
    <s v="Ohio"/>
    <s v="Columbus"/>
    <s v="Casey Brown"/>
    <x v="0"/>
    <x v="0"/>
    <s v="Printers"/>
    <s v="Color Printer"/>
    <n v="6"/>
    <n v="537.65"/>
    <n v="0.05"/>
    <n v="3064.6"/>
    <n v="1743.33"/>
    <n v="1321.27"/>
    <s v="PayPal"/>
  </r>
  <r>
    <s v="ORD-01595"/>
    <x v="321"/>
    <x v="0"/>
    <s v="California"/>
    <s v="San Jose"/>
    <s v="Jordan Lee"/>
    <x v="0"/>
    <x v="1"/>
    <s v="Headsets"/>
    <s v="Noise-Canceling Headset"/>
    <n v="5"/>
    <n v="149.88"/>
    <n v="0"/>
    <n v="749.4"/>
    <n v="437.11"/>
    <n v="312.29000000000002"/>
    <s v="Bank Transfer"/>
  </r>
  <r>
    <s v="ORD-02633"/>
    <x v="321"/>
    <x v="2"/>
    <s v="Massachusetts"/>
    <s v="Boston"/>
    <s v="Morgan Davis"/>
    <x v="2"/>
    <x v="1"/>
    <s v="Keyboards"/>
    <s v="Wireless Keyboard"/>
    <n v="5"/>
    <n v="102.78"/>
    <n v="0.1"/>
    <n v="462.51"/>
    <n v="345.78"/>
    <n v="116.73"/>
    <s v="PayPal"/>
  </r>
  <r>
    <s v="ORD-01484"/>
    <x v="321"/>
    <x v="2"/>
    <s v="New York"/>
    <s v="Buffalo"/>
    <s v="Riley Wilson"/>
    <x v="2"/>
    <x v="0"/>
    <s v="Pens"/>
    <s v="Fine Tip Pens"/>
    <n v="2"/>
    <n v="19.170000000000002"/>
    <n v="0.1"/>
    <n v="34.51"/>
    <n v="25.15"/>
    <n v="9.36"/>
    <s v="Bank Transfer"/>
  </r>
  <r>
    <s v="ORD-02969"/>
    <x v="321"/>
    <x v="3"/>
    <s v="Ohio"/>
    <s v="Columbus"/>
    <s v="Jordan Lee"/>
    <x v="1"/>
    <x v="0"/>
    <s v="Pens"/>
    <s v="Gel Pens"/>
    <n v="7"/>
    <n v="23.59"/>
    <n v="0.15"/>
    <n v="140.36000000000001"/>
    <n v="98.87"/>
    <n v="41.49"/>
    <s v="Credit Card"/>
  </r>
  <r>
    <s v="ORD-00372"/>
    <x v="321"/>
    <x v="0"/>
    <s v="Arizona"/>
    <s v="Tucson"/>
    <s v="Riley Wilson"/>
    <x v="2"/>
    <x v="0"/>
    <s v="Paper"/>
    <s v="Copy Paper"/>
    <n v="3"/>
    <n v="22.12"/>
    <n v="0"/>
    <n v="66.36"/>
    <n v="36.700000000000003"/>
    <n v="29.66"/>
    <s v="Debit Card"/>
  </r>
  <r>
    <s v="ORD-01642"/>
    <x v="321"/>
    <x v="2"/>
    <s v="Vermont"/>
    <s v="Burlington"/>
    <s v="Drew Anderson"/>
    <x v="2"/>
    <x v="2"/>
    <s v="Chairs"/>
    <s v="Ergonomic Chair"/>
    <n v="8"/>
    <n v="407.36"/>
    <n v="0.1"/>
    <n v="2932.99"/>
    <n v="2173.7399999999998"/>
    <n v="759.25"/>
    <s v="PayPal"/>
  </r>
  <r>
    <s v="ORD-02146"/>
    <x v="321"/>
    <x v="0"/>
    <s v="Colorado"/>
    <s v="Denver"/>
    <s v="Jordan Lee"/>
    <x v="2"/>
    <x v="1"/>
    <s v="Headsets"/>
    <s v="Wireless Headset"/>
    <n v="5"/>
    <n v="103.42"/>
    <n v="0.15"/>
    <n v="439.54"/>
    <n v="346.45"/>
    <n v="93.09"/>
    <s v="Bank Transfer"/>
  </r>
  <r>
    <s v="ORD-01830"/>
    <x v="321"/>
    <x v="2"/>
    <s v="Vermont"/>
    <s v="Rutland"/>
    <s v="Casey Brown"/>
    <x v="0"/>
    <x v="1"/>
    <s v="Monitors"/>
    <s v="34in Monitor"/>
    <n v="8"/>
    <n v="326.27"/>
    <n v="0.05"/>
    <n v="2479.65"/>
    <n v="1363.97"/>
    <n v="1115.68"/>
    <s v="Credit Card"/>
  </r>
  <r>
    <s v="ORD-02311"/>
    <x v="321"/>
    <x v="1"/>
    <s v="Georgia"/>
    <s v="Savannah"/>
    <s v="Taylor Smith"/>
    <x v="0"/>
    <x v="0"/>
    <s v="Paper"/>
    <s v="Copy Paper"/>
    <n v="9"/>
    <n v="29.15"/>
    <n v="0.2"/>
    <n v="209.88"/>
    <n v="145.54"/>
    <n v="64.34"/>
    <s v="Debit Card"/>
  </r>
  <r>
    <s v="ORD-00096"/>
    <x v="321"/>
    <x v="1"/>
    <s v="Virginia"/>
    <s v="Norfolk"/>
    <s v="Alex Morgan"/>
    <x v="0"/>
    <x v="2"/>
    <s v="Tables"/>
    <s v="Training Table"/>
    <n v="8"/>
    <n v="234.61"/>
    <n v="0.05"/>
    <n v="1783.04"/>
    <n v="1352.5"/>
    <n v="430.54"/>
    <s v="Debit Card"/>
  </r>
  <r>
    <s v="ORD-00173"/>
    <x v="321"/>
    <x v="3"/>
    <s v="Minnesota"/>
    <s v="St. Paul"/>
    <s v="Jamie Miller"/>
    <x v="2"/>
    <x v="1"/>
    <s v="Monitors"/>
    <s v="34in Monitor"/>
    <n v="7"/>
    <n v="465.19"/>
    <n v="0.05"/>
    <n v="3093.51"/>
    <n v="2157.14"/>
    <n v="936.37"/>
    <s v="PayPal"/>
  </r>
  <r>
    <s v="ORD-00998"/>
    <x v="322"/>
    <x v="0"/>
    <s v="California"/>
    <s v="Los Angeles"/>
    <s v="Taylor Smith"/>
    <x v="2"/>
    <x v="2"/>
    <s v="Tables"/>
    <s v="Conference Table"/>
    <n v="6"/>
    <n v="302.68"/>
    <n v="0.1"/>
    <n v="1634.47"/>
    <n v="1006.53"/>
    <n v="627.94000000000005"/>
    <s v="PayPal"/>
  </r>
  <r>
    <s v="ORD-01413"/>
    <x v="322"/>
    <x v="2"/>
    <s v="Massachusetts"/>
    <s v="Springfield"/>
    <s v="Jordan Lee"/>
    <x v="2"/>
    <x v="2"/>
    <s v="Desks"/>
    <s v="Work Desk"/>
    <n v="4"/>
    <n v="545.62"/>
    <n v="0"/>
    <n v="2182.48"/>
    <n v="1336.31"/>
    <n v="846.17"/>
    <s v="PayPal"/>
  </r>
  <r>
    <s v="ORD-02615"/>
    <x v="322"/>
    <x v="1"/>
    <s v="Virginia"/>
    <s v="Arlington"/>
    <s v="Casey Brown"/>
    <x v="1"/>
    <x v="0"/>
    <s v="Printers"/>
    <s v="Color Printer"/>
    <n v="2"/>
    <n v="301.43"/>
    <n v="0.1"/>
    <n v="542.57000000000005"/>
    <n v="349.19"/>
    <n v="193.38"/>
    <s v="Debit Card"/>
  </r>
  <r>
    <s v="ORD-00771"/>
    <x v="322"/>
    <x v="2"/>
    <s v="Vermont"/>
    <s v="Montpelier"/>
    <s v="Taylor Smith"/>
    <x v="1"/>
    <x v="1"/>
    <s v="Keyboards"/>
    <s v="Wireless Keyboard"/>
    <n v="7"/>
    <n v="81.11"/>
    <n v="0.05"/>
    <n v="539.38"/>
    <n v="302.8"/>
    <n v="236.58"/>
    <s v="Bank Transfer"/>
  </r>
  <r>
    <s v="ORD-00444"/>
    <x v="322"/>
    <x v="0"/>
    <s v="California"/>
    <s v="San Jose"/>
    <s v="Casey Brown"/>
    <x v="1"/>
    <x v="1"/>
    <s v="Laptops"/>
    <s v="Ultrabook"/>
    <n v="9"/>
    <n v="1235.3599999999999"/>
    <n v="0.05"/>
    <n v="10562.33"/>
    <n v="5899.59"/>
    <n v="4662.74"/>
    <s v="Credit Card"/>
  </r>
  <r>
    <s v="ORD-02553"/>
    <x v="322"/>
    <x v="2"/>
    <s v="New Jersey"/>
    <s v="Newark"/>
    <s v="Taylor Smith"/>
    <x v="0"/>
    <x v="0"/>
    <s v="Pens"/>
    <s v="Gel Pens"/>
    <n v="1"/>
    <n v="18.11"/>
    <n v="0.05"/>
    <n v="17.2"/>
    <n v="12.62"/>
    <n v="4.58"/>
    <s v="Bank Transfer"/>
  </r>
  <r>
    <s v="ORD-01784"/>
    <x v="322"/>
    <x v="1"/>
    <s v="Texas"/>
    <s v="Dallas"/>
    <s v="Taylor Smith"/>
    <x v="2"/>
    <x v="2"/>
    <s v="Chairs"/>
    <s v="Executive Chair"/>
    <n v="9"/>
    <n v="374.48"/>
    <n v="0"/>
    <n v="3370.32"/>
    <n v="2384.7800000000002"/>
    <n v="985.54"/>
    <s v="Bank Transfer"/>
  </r>
  <r>
    <s v="ORD-00757"/>
    <x v="322"/>
    <x v="1"/>
    <s v="Virginia"/>
    <s v="Arlington"/>
    <s v="Jamie Miller"/>
    <x v="0"/>
    <x v="0"/>
    <s v="Paper"/>
    <s v="Copy Paper"/>
    <n v="10"/>
    <n v="21.2"/>
    <n v="0.05"/>
    <n v="201.4"/>
    <n v="137.69"/>
    <n v="63.71"/>
    <s v="Bank Transfer"/>
  </r>
  <r>
    <s v="ORD-01657"/>
    <x v="323"/>
    <x v="1"/>
    <s v="Florida"/>
    <s v="Miami"/>
    <s v="Casey Brown"/>
    <x v="1"/>
    <x v="0"/>
    <s v="Binders"/>
    <s v="Heavy-Duty Binder"/>
    <n v="9"/>
    <n v="13.36"/>
    <n v="0.05"/>
    <n v="114.23"/>
    <n v="70.88"/>
    <n v="43.35"/>
    <s v="PayPal"/>
  </r>
  <r>
    <s v="ORD-01869"/>
    <x v="323"/>
    <x v="2"/>
    <s v="New York"/>
    <s v="Rochester"/>
    <s v="Avery Johnson"/>
    <x v="1"/>
    <x v="0"/>
    <s v="Paper"/>
    <s v="Premium Paper"/>
    <n v="3"/>
    <n v="11.57"/>
    <n v="0"/>
    <n v="34.71"/>
    <n v="24.62"/>
    <n v="10.09"/>
    <s v="Credit Card"/>
  </r>
  <r>
    <s v="ORD-00440"/>
    <x v="323"/>
    <x v="3"/>
    <s v="Indiana"/>
    <s v="Indianapolis"/>
    <s v="Jordan Lee"/>
    <x v="0"/>
    <x v="0"/>
    <s v="Paper"/>
    <s v="Premium Paper"/>
    <n v="7"/>
    <n v="31.07"/>
    <n v="0.15"/>
    <n v="184.87"/>
    <n v="117.38"/>
    <n v="67.489999999999995"/>
    <s v="Credit Card"/>
  </r>
  <r>
    <s v="ORD-02765"/>
    <x v="323"/>
    <x v="2"/>
    <s v="New York"/>
    <s v="New York City"/>
    <s v="Cameron Clark"/>
    <x v="1"/>
    <x v="2"/>
    <s v="Tables"/>
    <s v="Training Table"/>
    <n v="7"/>
    <n v="489.41"/>
    <n v="0.1"/>
    <n v="3083.28"/>
    <n v="2155.34"/>
    <n v="927.94"/>
    <s v="Credit Card"/>
  </r>
  <r>
    <s v="ORD-02752"/>
    <x v="323"/>
    <x v="2"/>
    <s v="Massachusetts"/>
    <s v="Boston"/>
    <s v="Jordan Lee"/>
    <x v="2"/>
    <x v="0"/>
    <s v="Paper"/>
    <s v="Copy Paper"/>
    <n v="3"/>
    <n v="10.65"/>
    <n v="0"/>
    <n v="31.95"/>
    <n v="25.38"/>
    <n v="6.57"/>
    <s v="Debit Card"/>
  </r>
  <r>
    <s v="ORD-00082"/>
    <x v="323"/>
    <x v="0"/>
    <s v="Colorado"/>
    <s v="Colorado Springs"/>
    <s v="Drew Anderson"/>
    <x v="0"/>
    <x v="1"/>
    <s v="Monitors"/>
    <s v="34in Monitor"/>
    <n v="8"/>
    <n v="179.03"/>
    <n v="0.15"/>
    <n v="1217.4000000000001"/>
    <n v="961.45"/>
    <n v="255.95"/>
    <s v="PayPal"/>
  </r>
  <r>
    <s v="ORD-01178"/>
    <x v="323"/>
    <x v="0"/>
    <s v="Washington"/>
    <s v="Spokane"/>
    <s v="Jordan Lee"/>
    <x v="2"/>
    <x v="0"/>
    <s v="Printers"/>
    <s v="Laser Printer"/>
    <n v="6"/>
    <n v="492.9"/>
    <n v="0"/>
    <n v="2957.4"/>
    <n v="1943.38"/>
    <n v="1014.02"/>
    <s v="Debit Card"/>
  </r>
  <r>
    <s v="ORD-00914"/>
    <x v="323"/>
    <x v="1"/>
    <s v="Texas"/>
    <s v="Houston"/>
    <s v="Avery Johnson"/>
    <x v="1"/>
    <x v="1"/>
    <s v="Headsets"/>
    <s v="Wireless Headset"/>
    <n v="4"/>
    <n v="83.03"/>
    <n v="0.15"/>
    <n v="282.3"/>
    <n v="173.69"/>
    <n v="108.61"/>
    <s v="Credit Card"/>
  </r>
  <r>
    <s v="ORD-01651"/>
    <x v="324"/>
    <x v="3"/>
    <s v="Ohio"/>
    <s v="Columbus"/>
    <s v="Jordan Lee"/>
    <x v="0"/>
    <x v="1"/>
    <s v="Laptops"/>
    <s v="Business Laptop"/>
    <n v="8"/>
    <n v="1686.66"/>
    <n v="0"/>
    <n v="13493.28"/>
    <n v="10179.76"/>
    <n v="3313.52"/>
    <s v="Debit Card"/>
  </r>
  <r>
    <s v="ORD-00709"/>
    <x v="324"/>
    <x v="0"/>
    <s v="Washington"/>
    <s v="Seattle"/>
    <s v="Casey Brown"/>
    <x v="0"/>
    <x v="1"/>
    <s v="Monitors"/>
    <s v="24in Monitor"/>
    <n v="5"/>
    <n v="659.95"/>
    <n v="0"/>
    <n v="3299.75"/>
    <n v="2528.75"/>
    <n v="771"/>
    <s v="PayPal"/>
  </r>
  <r>
    <s v="ORD-01541"/>
    <x v="324"/>
    <x v="3"/>
    <s v="Minnesota"/>
    <s v="Rochester"/>
    <s v="Avery Johnson"/>
    <x v="0"/>
    <x v="0"/>
    <s v="Paper"/>
    <s v="Copy Paper"/>
    <n v="5"/>
    <n v="25.11"/>
    <n v="0.05"/>
    <n v="119.27"/>
    <n v="83.55"/>
    <n v="35.72"/>
    <s v="PayPal"/>
  </r>
  <r>
    <s v="ORD-00384"/>
    <x v="324"/>
    <x v="2"/>
    <s v="Vermont"/>
    <s v="Rutland"/>
    <s v="Riley Wilson"/>
    <x v="0"/>
    <x v="2"/>
    <s v="Bookcases"/>
    <s v="3-Shelf Bookcase"/>
    <n v="8"/>
    <n v="279.17"/>
    <n v="0.15"/>
    <n v="1898.36"/>
    <n v="1195.3800000000001"/>
    <n v="702.98"/>
    <s v="Debit Card"/>
  </r>
  <r>
    <s v="ORD-00493"/>
    <x v="324"/>
    <x v="2"/>
    <s v="Vermont"/>
    <s v="Montpelier"/>
    <s v="Riley Wilson"/>
    <x v="2"/>
    <x v="1"/>
    <s v="Monitors"/>
    <s v="27in Monitor"/>
    <n v="7"/>
    <n v="205.97"/>
    <n v="0"/>
    <n v="1441.79"/>
    <n v="1096.02"/>
    <n v="345.77"/>
    <s v="PayPal"/>
  </r>
  <r>
    <s v="ORD-01351"/>
    <x v="324"/>
    <x v="0"/>
    <s v="Colorado"/>
    <s v="Boulder"/>
    <s v="Drew Anderson"/>
    <x v="0"/>
    <x v="0"/>
    <s v="Paper"/>
    <s v="Premium Paper"/>
    <n v="8"/>
    <n v="28.28"/>
    <n v="0.15"/>
    <n v="192.3"/>
    <n v="118.38"/>
    <n v="73.92"/>
    <s v="Debit Card"/>
  </r>
  <r>
    <s v="ORD-02600"/>
    <x v="325"/>
    <x v="3"/>
    <s v="Michigan"/>
    <s v="Grand Rapids"/>
    <s v="Morgan Davis"/>
    <x v="2"/>
    <x v="1"/>
    <s v="Keyboards"/>
    <s v="Mechanical Keyboard"/>
    <n v="7"/>
    <n v="94.66"/>
    <n v="0"/>
    <n v="662.62"/>
    <n v="456.18"/>
    <n v="206.44"/>
    <s v="Debit Card"/>
  </r>
  <r>
    <s v="ORD-01509"/>
    <x v="325"/>
    <x v="0"/>
    <s v="Arizona"/>
    <s v="Phoenix"/>
    <s v="Jamie Miller"/>
    <x v="0"/>
    <x v="0"/>
    <s v="Printers"/>
    <s v="Laser Printer"/>
    <n v="4"/>
    <n v="448.6"/>
    <n v="0.1"/>
    <n v="1614.96"/>
    <n v="1292.08"/>
    <n v="322.88"/>
    <s v="Debit Card"/>
  </r>
  <r>
    <s v="ORD-01677"/>
    <x v="325"/>
    <x v="3"/>
    <s v="Michigan"/>
    <s v="Grand Rapids"/>
    <s v="Casey Brown"/>
    <x v="2"/>
    <x v="1"/>
    <s v="Laptops"/>
    <s v="Ultrabook"/>
    <n v="7"/>
    <n v="1738.9"/>
    <n v="0.1"/>
    <n v="10955.07"/>
    <n v="7741.58"/>
    <n v="3213.49"/>
    <s v="Debit Card"/>
  </r>
  <r>
    <s v="ORD-00532"/>
    <x v="325"/>
    <x v="0"/>
    <s v="Arizona"/>
    <s v="Mesa"/>
    <s v="Taylor Smith"/>
    <x v="1"/>
    <x v="0"/>
    <s v="Binders"/>
    <s v="3-Ring Binder"/>
    <n v="10"/>
    <n v="7.23"/>
    <n v="0"/>
    <n v="72.3"/>
    <n v="50.27"/>
    <n v="22.03"/>
    <s v="Debit Card"/>
  </r>
  <r>
    <s v="ORD-00604"/>
    <x v="325"/>
    <x v="1"/>
    <s v="North Carolina"/>
    <s v="Charlotte"/>
    <s v="Jordan Lee"/>
    <x v="0"/>
    <x v="1"/>
    <s v="Laptops"/>
    <s v="Business Laptop"/>
    <n v="8"/>
    <n v="1559.74"/>
    <n v="0"/>
    <n v="12477.92"/>
    <n v="8036.53"/>
    <n v="4441.3900000000003"/>
    <s v="PayPal"/>
  </r>
  <r>
    <s v="ORD-00390"/>
    <x v="325"/>
    <x v="2"/>
    <s v="Massachusetts"/>
    <s v="Boston"/>
    <s v="Cameron Clark"/>
    <x v="2"/>
    <x v="2"/>
    <s v="Tables"/>
    <s v="Side Table"/>
    <n v="5"/>
    <n v="500.36"/>
    <n v="0"/>
    <n v="2501.8000000000002"/>
    <n v="1521.79"/>
    <n v="980.01"/>
    <s v="PayPal"/>
  </r>
  <r>
    <s v="ORD-00012"/>
    <x v="326"/>
    <x v="3"/>
    <s v="Indiana"/>
    <s v="Indianapolis"/>
    <s v="Morgan Davis"/>
    <x v="0"/>
    <x v="0"/>
    <s v="Pens"/>
    <s v="Gel Pens"/>
    <n v="1"/>
    <n v="24.94"/>
    <n v="0.15"/>
    <n v="21.2"/>
    <n v="16.829999999999998"/>
    <n v="4.37"/>
    <s v="PayPal"/>
  </r>
  <r>
    <s v="ORD-02418"/>
    <x v="326"/>
    <x v="1"/>
    <s v="Florida"/>
    <s v="Tampa"/>
    <s v="Riley Wilson"/>
    <x v="0"/>
    <x v="1"/>
    <s v="Laptops"/>
    <s v="Ultrabook"/>
    <n v="3"/>
    <n v="1520.16"/>
    <n v="0.1"/>
    <n v="4104.43"/>
    <n v="3067.44"/>
    <n v="1036.99"/>
    <s v="Bank Transfer"/>
  </r>
  <r>
    <s v="ORD-02849"/>
    <x v="326"/>
    <x v="2"/>
    <s v="Massachusetts"/>
    <s v="Worcester"/>
    <s v="Taylor Smith"/>
    <x v="0"/>
    <x v="1"/>
    <s v="Monitors"/>
    <s v="34in Monitor"/>
    <n v="6"/>
    <n v="601.35"/>
    <n v="0.1"/>
    <n v="3247.29"/>
    <n v="2047.7"/>
    <n v="1199.5899999999999"/>
    <s v="Debit Card"/>
  </r>
  <r>
    <s v="ORD-01673"/>
    <x v="326"/>
    <x v="0"/>
    <s v="Oregon"/>
    <s v="Salem"/>
    <s v="Jordan Lee"/>
    <x v="1"/>
    <x v="0"/>
    <s v="Printers"/>
    <s v="Color Printer"/>
    <n v="6"/>
    <n v="485.14"/>
    <n v="0"/>
    <n v="2910.84"/>
    <n v="1930.41"/>
    <n v="980.43"/>
    <s v="Debit Card"/>
  </r>
  <r>
    <s v="ORD-01318"/>
    <x v="326"/>
    <x v="0"/>
    <s v="Arizona"/>
    <s v="Phoenix"/>
    <s v="Jordan Lee"/>
    <x v="2"/>
    <x v="2"/>
    <s v="Bookcases"/>
    <s v="5-Shelf Bookcase"/>
    <n v="2"/>
    <n v="248.7"/>
    <n v="0.2"/>
    <n v="397.92"/>
    <n v="308.77999999999997"/>
    <n v="89.14"/>
    <s v="Credit Card"/>
  </r>
  <r>
    <s v="ORD-01925"/>
    <x v="326"/>
    <x v="1"/>
    <s v="Virginia"/>
    <s v="Arlington"/>
    <s v="Jamie Miller"/>
    <x v="0"/>
    <x v="0"/>
    <s v="Paper"/>
    <s v="Copy Paper"/>
    <n v="9"/>
    <n v="18.7"/>
    <n v="0.05"/>
    <n v="159.88"/>
    <n v="124.29"/>
    <n v="35.590000000000003"/>
    <s v="PayPal"/>
  </r>
  <r>
    <s v="ORD-00231"/>
    <x v="326"/>
    <x v="1"/>
    <s v="Virginia"/>
    <s v="Arlington"/>
    <s v="Cameron Clark"/>
    <x v="0"/>
    <x v="0"/>
    <s v="Printers"/>
    <s v="All-in-One Printer"/>
    <n v="10"/>
    <n v="124.17"/>
    <n v="0.05"/>
    <n v="1179.6199999999999"/>
    <n v="700.15"/>
    <n v="479.47"/>
    <s v="Credit Card"/>
  </r>
  <r>
    <s v="ORD-02626"/>
    <x v="326"/>
    <x v="1"/>
    <s v="Texas"/>
    <s v="Houston"/>
    <s v="Jordan Lee"/>
    <x v="0"/>
    <x v="0"/>
    <s v="Pens"/>
    <s v="Gel Pens"/>
    <n v="6"/>
    <n v="8.5399999999999991"/>
    <n v="0.1"/>
    <n v="46.12"/>
    <n v="29.31"/>
    <n v="16.809999999999999"/>
    <s v="Debit Card"/>
  </r>
  <r>
    <s v="ORD-02300"/>
    <x v="326"/>
    <x v="0"/>
    <s v="Colorado"/>
    <s v="Boulder"/>
    <s v="Taylor Smith"/>
    <x v="0"/>
    <x v="0"/>
    <s v="Pens"/>
    <s v="Gel Pens"/>
    <n v="9"/>
    <n v="24.28"/>
    <n v="0.1"/>
    <n v="196.67"/>
    <n v="110.19"/>
    <n v="86.48"/>
    <s v="PayPal"/>
  </r>
  <r>
    <s v="ORD-02452"/>
    <x v="326"/>
    <x v="0"/>
    <s v="Colorado"/>
    <s v="Boulder"/>
    <s v="Taylor Smith"/>
    <x v="2"/>
    <x v="1"/>
    <s v="Keyboards"/>
    <s v="Ergonomic Keyboard"/>
    <n v="5"/>
    <n v="175.83"/>
    <n v="0"/>
    <n v="879.15"/>
    <n v="496.38"/>
    <n v="382.77"/>
    <s v="Debit Card"/>
  </r>
  <r>
    <s v="ORD-01813"/>
    <x v="326"/>
    <x v="3"/>
    <s v="Minnesota"/>
    <s v="Minneapolis"/>
    <s v="Taylor Smith"/>
    <x v="2"/>
    <x v="1"/>
    <s v="Headsets"/>
    <s v="Wireless Headset"/>
    <n v="7"/>
    <n v="40.97"/>
    <n v="0.1"/>
    <n v="258.11"/>
    <n v="160.05000000000001"/>
    <n v="98.06"/>
    <s v="Credit Card"/>
  </r>
  <r>
    <s v="ORD-02584"/>
    <x v="326"/>
    <x v="1"/>
    <s v="North Carolina"/>
    <s v="Raleigh"/>
    <s v="Morgan Davis"/>
    <x v="0"/>
    <x v="1"/>
    <s v="Headsets"/>
    <s v="USB Headset"/>
    <n v="1"/>
    <n v="104.9"/>
    <n v="0.05"/>
    <n v="99.66"/>
    <n v="63.88"/>
    <n v="35.78"/>
    <s v="Credit Card"/>
  </r>
  <r>
    <s v="ORD-02200"/>
    <x v="326"/>
    <x v="2"/>
    <s v="Massachusetts"/>
    <s v="Worcester"/>
    <s v="Morgan Davis"/>
    <x v="0"/>
    <x v="0"/>
    <s v="Printers"/>
    <s v="Laser Printer"/>
    <n v="10"/>
    <n v="357.82"/>
    <n v="0.05"/>
    <n v="3399.29"/>
    <n v="1951.02"/>
    <n v="1448.27"/>
    <s v="Bank Transfer"/>
  </r>
  <r>
    <s v="ORD-02605"/>
    <x v="326"/>
    <x v="3"/>
    <s v="Illinois"/>
    <s v="Springfield"/>
    <s v="Jordan Lee"/>
    <x v="0"/>
    <x v="2"/>
    <s v="Chairs"/>
    <s v="Task Chair"/>
    <n v="9"/>
    <n v="373.64"/>
    <n v="0.1"/>
    <n v="3026.48"/>
    <n v="1925.1"/>
    <n v="1101.3800000000001"/>
    <s v="PayPal"/>
  </r>
  <r>
    <s v="ORD-01601"/>
    <x v="327"/>
    <x v="0"/>
    <s v="Arizona"/>
    <s v="Tucson"/>
    <s v="Cameron Clark"/>
    <x v="0"/>
    <x v="2"/>
    <s v="Tables"/>
    <s v="Side Table"/>
    <n v="3"/>
    <n v="342.85"/>
    <n v="0.05"/>
    <n v="977.12"/>
    <n v="633.35"/>
    <n v="343.77"/>
    <s v="Bank Transfer"/>
  </r>
  <r>
    <s v="ORD-01398"/>
    <x v="327"/>
    <x v="3"/>
    <s v="Indiana"/>
    <s v="Indianapolis"/>
    <s v="Jamie Miller"/>
    <x v="0"/>
    <x v="0"/>
    <s v="Binders"/>
    <s v="Presentation Binder"/>
    <n v="2"/>
    <n v="22.13"/>
    <n v="0.1"/>
    <n v="39.83"/>
    <n v="23.57"/>
    <n v="16.260000000000002"/>
    <s v="Credit Card"/>
  </r>
  <r>
    <s v="ORD-02680"/>
    <x v="327"/>
    <x v="3"/>
    <s v="Michigan"/>
    <s v="Detroit"/>
    <s v="Alex Morgan"/>
    <x v="1"/>
    <x v="1"/>
    <s v="Laptops"/>
    <s v="Ultrabook"/>
    <n v="10"/>
    <n v="732.41"/>
    <n v="0.05"/>
    <n v="6957.9"/>
    <n v="3994.26"/>
    <n v="2963.64"/>
    <s v="Credit Card"/>
  </r>
  <r>
    <s v="ORD-01090"/>
    <x v="327"/>
    <x v="1"/>
    <s v="Texas"/>
    <s v="Dallas"/>
    <s v="Jamie Miller"/>
    <x v="0"/>
    <x v="1"/>
    <s v="Keyboards"/>
    <s v="Wireless Keyboard"/>
    <n v="9"/>
    <n v="136.58000000000001"/>
    <n v="0.1"/>
    <n v="1106.3"/>
    <n v="686.27"/>
    <n v="420.03"/>
    <s v="Bank Transfer"/>
  </r>
  <r>
    <s v="ORD-00417"/>
    <x v="327"/>
    <x v="2"/>
    <s v="Massachusetts"/>
    <s v="Worcester"/>
    <s v="Drew Anderson"/>
    <x v="0"/>
    <x v="0"/>
    <s v="Paper"/>
    <s v="Premium Paper"/>
    <n v="10"/>
    <n v="17.55"/>
    <n v="0.1"/>
    <n v="157.94999999999999"/>
    <n v="109.52"/>
    <n v="48.43"/>
    <s v="Bank Transfer"/>
  </r>
  <r>
    <s v="ORD-02856"/>
    <x v="327"/>
    <x v="2"/>
    <s v="New York"/>
    <s v="New York City"/>
    <s v="Jordan Lee"/>
    <x v="0"/>
    <x v="1"/>
    <s v="Headsets"/>
    <s v="Noise-Canceling Headset"/>
    <n v="2"/>
    <n v="109.31"/>
    <n v="0.1"/>
    <n v="196.76"/>
    <n v="116.19"/>
    <n v="80.569999999999993"/>
    <s v="Debit Card"/>
  </r>
  <r>
    <s v="ORD-02558"/>
    <x v="327"/>
    <x v="3"/>
    <s v="Ohio"/>
    <s v="Columbus"/>
    <s v="Taylor Smith"/>
    <x v="0"/>
    <x v="1"/>
    <s v="Keyboards"/>
    <s v="Ergonomic Keyboard"/>
    <n v="4"/>
    <n v="61.53"/>
    <n v="0.1"/>
    <n v="221.51"/>
    <n v="177.97"/>
    <n v="43.54"/>
    <s v="Bank Transfer"/>
  </r>
  <r>
    <s v="ORD-01547"/>
    <x v="327"/>
    <x v="0"/>
    <s v="California"/>
    <s v="Los Angeles"/>
    <s v="Alex Morgan"/>
    <x v="0"/>
    <x v="0"/>
    <s v="Binders"/>
    <s v="3-Ring Binder"/>
    <n v="5"/>
    <n v="21.22"/>
    <n v="0"/>
    <n v="106.1"/>
    <n v="84.08"/>
    <n v="22.02"/>
    <s v="PayPal"/>
  </r>
  <r>
    <s v="ORD-01184"/>
    <x v="327"/>
    <x v="0"/>
    <s v="Colorado"/>
    <s v="Boulder"/>
    <s v="Drew Anderson"/>
    <x v="0"/>
    <x v="0"/>
    <s v="Paper"/>
    <s v="Copy Paper"/>
    <n v="1"/>
    <n v="34.44"/>
    <n v="0"/>
    <n v="34.44"/>
    <n v="21.54"/>
    <n v="12.9"/>
    <s v="Debit Card"/>
  </r>
  <r>
    <s v="ORD-02533"/>
    <x v="328"/>
    <x v="0"/>
    <s v="Colorado"/>
    <s v="Boulder"/>
    <s v="Avery Johnson"/>
    <x v="1"/>
    <x v="0"/>
    <s v="Printers"/>
    <s v="Color Printer"/>
    <n v="6"/>
    <n v="255.49"/>
    <n v="0"/>
    <n v="1532.94"/>
    <n v="1007.47"/>
    <n v="525.47"/>
    <s v="PayPal"/>
  </r>
  <r>
    <s v="ORD-00054"/>
    <x v="328"/>
    <x v="0"/>
    <s v="Washington"/>
    <s v="Seattle"/>
    <s v="Riley Wilson"/>
    <x v="0"/>
    <x v="1"/>
    <s v="Monitors"/>
    <s v="24in Monitor"/>
    <n v="6"/>
    <n v="560.66"/>
    <n v="0.15"/>
    <n v="2859.37"/>
    <n v="1696.65"/>
    <n v="1162.72"/>
    <s v="Credit Card"/>
  </r>
  <r>
    <s v="ORD-02178"/>
    <x v="328"/>
    <x v="0"/>
    <s v="Washington"/>
    <s v="Tacoma"/>
    <s v="Avery Johnson"/>
    <x v="0"/>
    <x v="2"/>
    <s v="Tables"/>
    <s v="Conference Table"/>
    <n v="9"/>
    <n v="434.5"/>
    <n v="0.1"/>
    <n v="3519.45"/>
    <n v="2608.4899999999998"/>
    <n v="910.96"/>
    <s v="Debit Card"/>
  </r>
  <r>
    <s v="ORD-02163"/>
    <x v="328"/>
    <x v="3"/>
    <s v="Indiana"/>
    <s v="Evansville"/>
    <s v="Riley Wilson"/>
    <x v="1"/>
    <x v="0"/>
    <s v="Binders"/>
    <s v="Presentation Binder"/>
    <n v="6"/>
    <n v="22"/>
    <n v="0.1"/>
    <n v="118.8"/>
    <n v="82.6"/>
    <n v="36.200000000000003"/>
    <s v="Credit Card"/>
  </r>
  <r>
    <s v="ORD-02775"/>
    <x v="328"/>
    <x v="0"/>
    <s v="Arizona"/>
    <s v="Phoenix"/>
    <s v="Alex Morgan"/>
    <x v="1"/>
    <x v="2"/>
    <s v="Chairs"/>
    <s v="Executive Chair"/>
    <n v="2"/>
    <n v="308.48"/>
    <n v="0.05"/>
    <n v="586.11"/>
    <n v="340.37"/>
    <n v="245.74"/>
    <s v="Bank Transfer"/>
  </r>
  <r>
    <s v="ORD-00048"/>
    <x v="328"/>
    <x v="3"/>
    <s v="Illinois"/>
    <s v="Chicago"/>
    <s v="Alex Morgan"/>
    <x v="2"/>
    <x v="1"/>
    <s v="Monitors"/>
    <s v="27in Monitor"/>
    <n v="4"/>
    <n v="607.34"/>
    <n v="0.05"/>
    <n v="2307.89"/>
    <n v="1813.32"/>
    <n v="494.57"/>
    <s v="PayPal"/>
  </r>
  <r>
    <s v="ORD-01681"/>
    <x v="328"/>
    <x v="0"/>
    <s v="Washington"/>
    <s v="Tacoma"/>
    <s v="Casey Brown"/>
    <x v="0"/>
    <x v="2"/>
    <s v="Tables"/>
    <s v="Side Table"/>
    <n v="5"/>
    <n v="383.22"/>
    <n v="0.05"/>
    <n v="1820.3"/>
    <n v="1284.1300000000001"/>
    <n v="536.16999999999996"/>
    <s v="PayPal"/>
  </r>
  <r>
    <s v="ORD-01297"/>
    <x v="328"/>
    <x v="3"/>
    <s v="Ohio"/>
    <s v="Columbus"/>
    <s v="Riley Wilson"/>
    <x v="1"/>
    <x v="1"/>
    <s v="Laptops"/>
    <s v="Workstation Laptop"/>
    <n v="3"/>
    <n v="1482.83"/>
    <n v="0.05"/>
    <n v="4226.07"/>
    <n v="3310.79"/>
    <n v="915.28"/>
    <s v="Credit Card"/>
  </r>
  <r>
    <s v="ORD-02210"/>
    <x v="328"/>
    <x v="2"/>
    <s v="Vermont"/>
    <s v="Burlington"/>
    <s v="Avery Johnson"/>
    <x v="0"/>
    <x v="2"/>
    <s v="Desks"/>
    <s v="Work Desk"/>
    <n v="8"/>
    <n v="839.04"/>
    <n v="0"/>
    <n v="6712.32"/>
    <n v="4789.57"/>
    <n v="1922.75"/>
    <s v="Bank Transfer"/>
  </r>
  <r>
    <s v="ORD-02033"/>
    <x v="328"/>
    <x v="3"/>
    <s v="Illinois"/>
    <s v="Chicago"/>
    <s v="Cameron Clark"/>
    <x v="0"/>
    <x v="0"/>
    <s v="Printers"/>
    <s v="Laser Printer"/>
    <n v="1"/>
    <n v="150.97999999999999"/>
    <n v="0.2"/>
    <n v="120.78"/>
    <n v="74.95"/>
    <n v="45.83"/>
    <s v="Debit Card"/>
  </r>
  <r>
    <s v="ORD-01889"/>
    <x v="328"/>
    <x v="3"/>
    <s v="Illinois"/>
    <s v="Chicago"/>
    <s v="Jordan Lee"/>
    <x v="1"/>
    <x v="1"/>
    <s v="Keyboards"/>
    <s v="Ergonomic Keyboard"/>
    <n v="1"/>
    <n v="168.1"/>
    <n v="0"/>
    <n v="168.1"/>
    <n v="97.92"/>
    <n v="70.180000000000007"/>
    <s v="Debit Card"/>
  </r>
  <r>
    <s v="ORD-01302"/>
    <x v="329"/>
    <x v="0"/>
    <s v="Colorado"/>
    <s v="Denver"/>
    <s v="Morgan Davis"/>
    <x v="2"/>
    <x v="1"/>
    <s v="Keyboards"/>
    <s v="Wireless Keyboard"/>
    <n v="2"/>
    <n v="84.98"/>
    <n v="0.1"/>
    <n v="152.96"/>
    <n v="107.81"/>
    <n v="45.15"/>
    <s v="Credit Card"/>
  </r>
  <r>
    <s v="ORD-00039"/>
    <x v="329"/>
    <x v="2"/>
    <s v="Vermont"/>
    <s v="Rutland"/>
    <s v="Casey Brown"/>
    <x v="2"/>
    <x v="1"/>
    <s v="Monitors"/>
    <s v="27in Monitor"/>
    <n v="2"/>
    <n v="423.01"/>
    <n v="0.1"/>
    <n v="761.42"/>
    <n v="435.9"/>
    <n v="325.52"/>
    <s v="Debit Card"/>
  </r>
  <r>
    <s v="ORD-02949"/>
    <x v="329"/>
    <x v="1"/>
    <s v="Virginia"/>
    <s v="Arlington"/>
    <s v="Taylor Smith"/>
    <x v="2"/>
    <x v="0"/>
    <s v="Binders"/>
    <s v="Presentation Binder"/>
    <n v="5"/>
    <n v="9.66"/>
    <n v="0.1"/>
    <n v="43.47"/>
    <n v="30.01"/>
    <n v="13.46"/>
    <s v="Bank Transfer"/>
  </r>
  <r>
    <s v="ORD-00639"/>
    <x v="329"/>
    <x v="1"/>
    <s v="Virginia"/>
    <s v="Arlington"/>
    <s v="Jordan Lee"/>
    <x v="1"/>
    <x v="2"/>
    <s v="Desks"/>
    <s v="Executive Desk"/>
    <n v="7"/>
    <n v="703.89"/>
    <n v="0.15"/>
    <n v="4188.1499999999996"/>
    <n v="2958.09"/>
    <n v="1230.06"/>
    <s v="Debit Card"/>
  </r>
  <r>
    <s v="ORD-01649"/>
    <x v="329"/>
    <x v="2"/>
    <s v="Vermont"/>
    <s v="Montpelier"/>
    <s v="Alex Morgan"/>
    <x v="2"/>
    <x v="0"/>
    <s v="Binders"/>
    <s v="3-Ring Binder"/>
    <n v="1"/>
    <n v="8.5"/>
    <n v="0"/>
    <n v="8.5"/>
    <n v="4.82"/>
    <n v="3.68"/>
    <s v="Bank Transfer"/>
  </r>
  <r>
    <s v="ORD-01680"/>
    <x v="329"/>
    <x v="1"/>
    <s v="Virginia"/>
    <s v="Richmond"/>
    <s v="Morgan Davis"/>
    <x v="2"/>
    <x v="1"/>
    <s v="Headsets"/>
    <s v="USB Headset"/>
    <n v="3"/>
    <n v="58.12"/>
    <n v="0.1"/>
    <n v="156.91999999999999"/>
    <n v="122.39"/>
    <n v="34.53"/>
    <s v="Debit Card"/>
  </r>
  <r>
    <s v="ORD-02469"/>
    <x v="330"/>
    <x v="2"/>
    <s v="New Jersey"/>
    <s v="Newark"/>
    <s v="Morgan Davis"/>
    <x v="2"/>
    <x v="2"/>
    <s v="Desks"/>
    <s v="Executive Desk"/>
    <n v="8"/>
    <n v="701.69"/>
    <n v="0.05"/>
    <n v="5332.84"/>
    <n v="3820.9"/>
    <n v="1511.94"/>
    <s v="Credit Card"/>
  </r>
  <r>
    <s v="ORD-00328"/>
    <x v="330"/>
    <x v="3"/>
    <s v="Illinois"/>
    <s v="Chicago"/>
    <s v="Drew Anderson"/>
    <x v="0"/>
    <x v="2"/>
    <s v="Desks"/>
    <s v="Work Desk"/>
    <n v="10"/>
    <n v="878.11"/>
    <n v="0"/>
    <n v="8781.1"/>
    <n v="6790.55"/>
    <n v="1990.55"/>
    <s v="PayPal"/>
  </r>
  <r>
    <s v="ORD-01610"/>
    <x v="330"/>
    <x v="3"/>
    <s v="Ohio"/>
    <s v="Cleveland"/>
    <s v="Morgan Davis"/>
    <x v="0"/>
    <x v="0"/>
    <s v="Binders"/>
    <s v="3-Ring Binder"/>
    <n v="6"/>
    <n v="11.3"/>
    <n v="0"/>
    <n v="67.8"/>
    <n v="44.07"/>
    <n v="23.73"/>
    <s v="Bank Transfer"/>
  </r>
  <r>
    <s v="ORD-02839"/>
    <x v="330"/>
    <x v="2"/>
    <s v="New York"/>
    <s v="Buffalo"/>
    <s v="Alex Morgan"/>
    <x v="2"/>
    <x v="2"/>
    <s v="Chairs"/>
    <s v="Task Chair"/>
    <n v="9"/>
    <n v="331.98"/>
    <n v="0.05"/>
    <n v="2838.43"/>
    <n v="2204.77"/>
    <n v="633.66"/>
    <s v="Bank Transfer"/>
  </r>
  <r>
    <s v="ORD-02511"/>
    <x v="330"/>
    <x v="0"/>
    <s v="Oregon"/>
    <s v="Eugene"/>
    <s v="Jamie Miller"/>
    <x v="2"/>
    <x v="1"/>
    <s v="Headsets"/>
    <s v="Wireless Headset"/>
    <n v="7"/>
    <n v="154.38999999999999"/>
    <n v="0"/>
    <n v="1080.73"/>
    <n v="653.22"/>
    <n v="427.51"/>
    <s v="Credit Card"/>
  </r>
  <r>
    <s v="ORD-01982"/>
    <x v="330"/>
    <x v="0"/>
    <s v="Oregon"/>
    <s v="Portland"/>
    <s v="Jordan Lee"/>
    <x v="1"/>
    <x v="2"/>
    <s v="Desks"/>
    <s v="Work Desk"/>
    <n v="9"/>
    <n v="891.15"/>
    <n v="0.15"/>
    <n v="6817.3"/>
    <n v="4901.3100000000004"/>
    <n v="1915.99"/>
    <s v="Debit Card"/>
  </r>
  <r>
    <s v="ORD-00804"/>
    <x v="330"/>
    <x v="2"/>
    <s v="New Jersey"/>
    <s v="Newark"/>
    <s v="Drew Anderson"/>
    <x v="0"/>
    <x v="2"/>
    <s v="Desks"/>
    <s v="Standing Desk"/>
    <n v="8"/>
    <n v="556.41999999999996"/>
    <n v="0.05"/>
    <n v="4228.79"/>
    <n v="3172.77"/>
    <n v="1056.02"/>
    <s v="Debit Card"/>
  </r>
  <r>
    <s v="ORD-01421"/>
    <x v="330"/>
    <x v="2"/>
    <s v="New York"/>
    <s v="New York City"/>
    <s v="Jordan Lee"/>
    <x v="0"/>
    <x v="0"/>
    <s v="Paper"/>
    <s v="Copy Paper"/>
    <n v="7"/>
    <n v="24.77"/>
    <n v="0"/>
    <n v="173.39"/>
    <n v="130.91"/>
    <n v="42.48"/>
    <s v="PayPal"/>
  </r>
  <r>
    <s v="ORD-00830"/>
    <x v="330"/>
    <x v="0"/>
    <s v="Colorado"/>
    <s v="Colorado Springs"/>
    <s v="Morgan Davis"/>
    <x v="2"/>
    <x v="1"/>
    <s v="Keyboards"/>
    <s v="Ergonomic Keyboard"/>
    <n v="8"/>
    <n v="125.36"/>
    <n v="0.05"/>
    <n v="952.74"/>
    <n v="543.36"/>
    <n v="409.38"/>
    <s v="PayPal"/>
  </r>
  <r>
    <s v="ORD-02806"/>
    <x v="330"/>
    <x v="3"/>
    <s v="Michigan"/>
    <s v="Detroit"/>
    <s v="Cameron Clark"/>
    <x v="1"/>
    <x v="2"/>
    <s v="Desks"/>
    <s v="Executive Desk"/>
    <n v="4"/>
    <n v="809.6"/>
    <n v="0.15"/>
    <n v="2752.64"/>
    <n v="1636.18"/>
    <n v="1116.46"/>
    <s v="Bank Transfer"/>
  </r>
  <r>
    <s v="ORD-01874"/>
    <x v="330"/>
    <x v="1"/>
    <s v="Florida"/>
    <s v="Orlando"/>
    <s v="Riley Wilson"/>
    <x v="0"/>
    <x v="1"/>
    <s v="Headsets"/>
    <s v="USB Headset"/>
    <n v="7"/>
    <n v="153.52000000000001"/>
    <n v="0.1"/>
    <n v="967.18"/>
    <n v="729.37"/>
    <n v="237.81"/>
    <s v="Bank Transfer"/>
  </r>
  <r>
    <s v="ORD-01336"/>
    <x v="331"/>
    <x v="1"/>
    <s v="Georgia"/>
    <s v="Savannah"/>
    <s v="Jordan Lee"/>
    <x v="0"/>
    <x v="0"/>
    <s v="Binders"/>
    <s v="Heavy-Duty Binder"/>
    <n v="4"/>
    <n v="7.47"/>
    <n v="0.15"/>
    <n v="25.4"/>
    <n v="18.62"/>
    <n v="6.78"/>
    <s v="PayPal"/>
  </r>
  <r>
    <s v="ORD-00355"/>
    <x v="331"/>
    <x v="0"/>
    <s v="California"/>
    <s v="San Jose"/>
    <s v="Jamie Miller"/>
    <x v="0"/>
    <x v="1"/>
    <s v="Headsets"/>
    <s v="Wireless Headset"/>
    <n v="9"/>
    <n v="240.61"/>
    <n v="0"/>
    <n v="2165.4899999999998"/>
    <n v="1586.81"/>
    <n v="578.67999999999995"/>
    <s v="Bank Transfer"/>
  </r>
  <r>
    <s v="ORD-02879"/>
    <x v="331"/>
    <x v="3"/>
    <s v="Indiana"/>
    <s v="Fort Wayne"/>
    <s v="Jamie Miller"/>
    <x v="1"/>
    <x v="0"/>
    <s v="Binders"/>
    <s v="Heavy-Duty Binder"/>
    <n v="9"/>
    <n v="15.06"/>
    <n v="0.05"/>
    <n v="128.76"/>
    <n v="73.489999999999995"/>
    <n v="55.27"/>
    <s v="PayPal"/>
  </r>
  <r>
    <s v="ORD-02729"/>
    <x v="331"/>
    <x v="3"/>
    <s v="Michigan"/>
    <s v="Lansing"/>
    <s v="Cameron Clark"/>
    <x v="0"/>
    <x v="1"/>
    <s v="Laptops"/>
    <s v="Business Laptop"/>
    <n v="7"/>
    <n v="737.2"/>
    <n v="0"/>
    <n v="5160.3999999999996"/>
    <n v="3282.25"/>
    <n v="1878.15"/>
    <s v="Credit Card"/>
  </r>
  <r>
    <s v="ORD-00911"/>
    <x v="331"/>
    <x v="3"/>
    <s v="Michigan"/>
    <s v="Lansing"/>
    <s v="Alex Morgan"/>
    <x v="2"/>
    <x v="2"/>
    <s v="Bookcases"/>
    <s v="Storage Bookcase"/>
    <n v="8"/>
    <n v="394.47"/>
    <n v="0"/>
    <n v="3155.76"/>
    <n v="1740.01"/>
    <n v="1415.75"/>
    <s v="Bank Transfer"/>
  </r>
  <r>
    <s v="ORD-02446"/>
    <x v="331"/>
    <x v="2"/>
    <s v="Massachusetts"/>
    <s v="Springfield"/>
    <s v="Drew Anderson"/>
    <x v="2"/>
    <x v="0"/>
    <s v="Paper"/>
    <s v="Recycled Paper"/>
    <n v="7"/>
    <n v="11.75"/>
    <n v="0.05"/>
    <n v="78.14"/>
    <n v="44.79"/>
    <n v="33.35"/>
    <s v="Debit Card"/>
  </r>
  <r>
    <s v="ORD-00479"/>
    <x v="331"/>
    <x v="2"/>
    <s v="New Jersey"/>
    <s v="Jersey City"/>
    <s v="Casey Brown"/>
    <x v="1"/>
    <x v="1"/>
    <s v="Keyboards"/>
    <s v="Ergonomic Keyboard"/>
    <n v="5"/>
    <n v="51.83"/>
    <n v="0.15"/>
    <n v="220.28"/>
    <n v="177.46"/>
    <n v="42.82"/>
    <s v="Debit Card"/>
  </r>
  <r>
    <s v="ORD-00650"/>
    <x v="331"/>
    <x v="2"/>
    <s v="Vermont"/>
    <s v="Rutland"/>
    <s v="Jordan Lee"/>
    <x v="2"/>
    <x v="2"/>
    <s v="Chairs"/>
    <s v="Executive Chair"/>
    <n v="7"/>
    <n v="226.07"/>
    <n v="0"/>
    <n v="1582.49"/>
    <n v="1069.3699999999999"/>
    <n v="513.12"/>
    <s v="Debit Card"/>
  </r>
  <r>
    <s v="ORD-01867"/>
    <x v="332"/>
    <x v="1"/>
    <s v="North Carolina"/>
    <s v="Raleigh"/>
    <s v="Riley Wilson"/>
    <x v="0"/>
    <x v="2"/>
    <s v="Bookcases"/>
    <s v="5-Shelf Bookcase"/>
    <n v="8"/>
    <n v="334.09"/>
    <n v="0.15"/>
    <n v="2271.81"/>
    <n v="1499.32"/>
    <n v="772.49"/>
    <s v="Credit Card"/>
  </r>
  <r>
    <s v="ORD-02525"/>
    <x v="332"/>
    <x v="3"/>
    <s v="Indiana"/>
    <s v="Indianapolis"/>
    <s v="Taylor Smith"/>
    <x v="0"/>
    <x v="1"/>
    <s v="Headsets"/>
    <s v="Noise-Canceling Headset"/>
    <n v="5"/>
    <n v="58.2"/>
    <n v="0"/>
    <n v="291"/>
    <n v="187.48"/>
    <n v="103.52"/>
    <s v="Credit Card"/>
  </r>
  <r>
    <s v="ORD-02776"/>
    <x v="332"/>
    <x v="0"/>
    <s v="Colorado"/>
    <s v="Denver"/>
    <s v="Avery Johnson"/>
    <x v="2"/>
    <x v="1"/>
    <s v="Keyboards"/>
    <s v="Wireless Keyboard"/>
    <n v="9"/>
    <n v="125.94"/>
    <n v="0.15"/>
    <n v="963.44"/>
    <n v="704.94"/>
    <n v="258.5"/>
    <s v="Debit Card"/>
  </r>
  <r>
    <s v="ORD-01996"/>
    <x v="332"/>
    <x v="2"/>
    <s v="Massachusetts"/>
    <s v="Worcester"/>
    <s v="Cameron Clark"/>
    <x v="1"/>
    <x v="1"/>
    <s v="Headsets"/>
    <s v="USB Headset"/>
    <n v="1"/>
    <n v="147.26"/>
    <n v="0"/>
    <n v="147.26"/>
    <n v="90.96"/>
    <n v="56.3"/>
    <s v="Bank Transfer"/>
  </r>
  <r>
    <s v="ORD-00045"/>
    <x v="332"/>
    <x v="0"/>
    <s v="Oregon"/>
    <s v="Eugene"/>
    <s v="Taylor Smith"/>
    <x v="2"/>
    <x v="0"/>
    <s v="Binders"/>
    <s v="Heavy-Duty Binder"/>
    <n v="1"/>
    <n v="27.02"/>
    <n v="0.05"/>
    <n v="25.67"/>
    <n v="16.38"/>
    <n v="9.2899999999999991"/>
    <s v="Credit Card"/>
  </r>
  <r>
    <s v="ORD-01884"/>
    <x v="332"/>
    <x v="2"/>
    <s v="New Jersey"/>
    <s v="Trenton"/>
    <s v="Taylor Smith"/>
    <x v="1"/>
    <x v="1"/>
    <s v="Headsets"/>
    <s v="Noise-Canceling Headset"/>
    <n v="5"/>
    <n v="127.9"/>
    <n v="0"/>
    <n v="639.5"/>
    <n v="457.83"/>
    <n v="181.67"/>
    <s v="PayPal"/>
  </r>
  <r>
    <s v="ORD-00808"/>
    <x v="332"/>
    <x v="2"/>
    <s v="New Jersey"/>
    <s v="Jersey City"/>
    <s v="Jordan Lee"/>
    <x v="1"/>
    <x v="1"/>
    <s v="Laptops"/>
    <s v="Business Laptop"/>
    <n v="9"/>
    <n v="1490.85"/>
    <n v="0.1"/>
    <n v="12075.88"/>
    <n v="7779.52"/>
    <n v="4296.3599999999997"/>
    <s v="Credit Card"/>
  </r>
  <r>
    <s v="ORD-01243"/>
    <x v="332"/>
    <x v="3"/>
    <s v="Indiana"/>
    <s v="Fort Wayne"/>
    <s v="Morgan Davis"/>
    <x v="1"/>
    <x v="1"/>
    <s v="Laptops"/>
    <s v="Ultrabook"/>
    <n v="6"/>
    <n v="1396.68"/>
    <n v="0.15"/>
    <n v="7123.07"/>
    <n v="4160.1499999999996"/>
    <n v="2962.92"/>
    <s v="Credit Card"/>
  </r>
  <r>
    <s v="ORD-00051"/>
    <x v="332"/>
    <x v="3"/>
    <s v="Ohio"/>
    <s v="Cleveland"/>
    <s v="Casey Brown"/>
    <x v="0"/>
    <x v="2"/>
    <s v="Tables"/>
    <s v="Conference Table"/>
    <n v="10"/>
    <n v="236.91"/>
    <n v="0"/>
    <n v="2369.1"/>
    <n v="1740.54"/>
    <n v="628.55999999999995"/>
    <s v="Credit Card"/>
  </r>
  <r>
    <s v="ORD-01237"/>
    <x v="332"/>
    <x v="2"/>
    <s v="Vermont"/>
    <s v="Montpelier"/>
    <s v="Jordan Lee"/>
    <x v="0"/>
    <x v="2"/>
    <s v="Desks"/>
    <s v="Work Desk"/>
    <n v="4"/>
    <n v="332.04"/>
    <n v="0"/>
    <n v="1328.16"/>
    <n v="974.75"/>
    <n v="353.41"/>
    <s v="Bank Transfer"/>
  </r>
  <r>
    <s v="ORD-01826"/>
    <x v="333"/>
    <x v="2"/>
    <s v="Vermont"/>
    <s v="Rutland"/>
    <s v="Casey Brown"/>
    <x v="2"/>
    <x v="0"/>
    <s v="Printers"/>
    <s v="Laser Printer"/>
    <n v="4"/>
    <n v="209.58"/>
    <n v="0.15"/>
    <n v="712.57"/>
    <n v="535.77"/>
    <n v="176.8"/>
    <s v="Bank Transfer"/>
  </r>
  <r>
    <s v="ORD-00751"/>
    <x v="333"/>
    <x v="0"/>
    <s v="Oregon"/>
    <s v="Eugene"/>
    <s v="Morgan Davis"/>
    <x v="2"/>
    <x v="0"/>
    <s v="Pens"/>
    <s v="Ballpoint Pens"/>
    <n v="2"/>
    <n v="19.46"/>
    <n v="0"/>
    <n v="38.92"/>
    <n v="27.22"/>
    <n v="11.7"/>
    <s v="Bank Transfer"/>
  </r>
  <r>
    <s v="ORD-00020"/>
    <x v="333"/>
    <x v="3"/>
    <s v="Michigan"/>
    <s v="Detroit"/>
    <s v="Cameron Clark"/>
    <x v="0"/>
    <x v="0"/>
    <s v="Paper"/>
    <s v="Recycled Paper"/>
    <n v="4"/>
    <n v="29.02"/>
    <n v="0.1"/>
    <n v="104.47"/>
    <n v="79.25"/>
    <n v="25.22"/>
    <s v="Debit Card"/>
  </r>
  <r>
    <s v="ORD-02038"/>
    <x v="333"/>
    <x v="3"/>
    <s v="Ohio"/>
    <s v="Cleveland"/>
    <s v="Avery Johnson"/>
    <x v="0"/>
    <x v="1"/>
    <s v="Monitors"/>
    <s v="34in Monitor"/>
    <n v="3"/>
    <n v="615.08000000000004"/>
    <n v="0.1"/>
    <n v="1660.72"/>
    <n v="1088.52"/>
    <n v="572.20000000000005"/>
    <s v="Bank Transfer"/>
  </r>
  <r>
    <s v="ORD-01910"/>
    <x v="333"/>
    <x v="2"/>
    <s v="Pennsylvania"/>
    <s v="Pittsburgh"/>
    <s v="Morgan Davis"/>
    <x v="2"/>
    <x v="1"/>
    <s v="Monitors"/>
    <s v="34in Monitor"/>
    <n v="1"/>
    <n v="660.89"/>
    <n v="0"/>
    <n v="660.89"/>
    <n v="508.18"/>
    <n v="152.71"/>
    <s v="Debit Card"/>
  </r>
  <r>
    <s v="ORD-00966"/>
    <x v="333"/>
    <x v="2"/>
    <s v="New Jersey"/>
    <s v="Newark"/>
    <s v="Riley Wilson"/>
    <x v="1"/>
    <x v="1"/>
    <s v="Headsets"/>
    <s v="Wireless Headset"/>
    <n v="9"/>
    <n v="233.18"/>
    <n v="0.1"/>
    <n v="1888.76"/>
    <n v="1439.31"/>
    <n v="449.45"/>
    <s v="Credit Card"/>
  </r>
  <r>
    <s v="ORD-00564"/>
    <x v="333"/>
    <x v="3"/>
    <s v="Illinois"/>
    <s v="Chicago"/>
    <s v="Alex Morgan"/>
    <x v="0"/>
    <x v="0"/>
    <s v="Paper"/>
    <s v="Premium Paper"/>
    <n v="3"/>
    <n v="26.45"/>
    <n v="0.1"/>
    <n v="71.41"/>
    <n v="52.23"/>
    <n v="19.18"/>
    <s v="Debit Card"/>
  </r>
  <r>
    <s v="ORD-00689"/>
    <x v="333"/>
    <x v="3"/>
    <s v="Michigan"/>
    <s v="Detroit"/>
    <s v="Morgan Davis"/>
    <x v="0"/>
    <x v="2"/>
    <s v="Bookcases"/>
    <s v="5-Shelf Bookcase"/>
    <n v="10"/>
    <n v="447.57"/>
    <n v="0.1"/>
    <n v="4028.13"/>
    <n v="2345.36"/>
    <n v="1682.77"/>
    <s v="PayPal"/>
  </r>
  <r>
    <s v="ORD-02811"/>
    <x v="333"/>
    <x v="2"/>
    <s v="New Jersey"/>
    <s v="Newark"/>
    <s v="Riley Wilson"/>
    <x v="2"/>
    <x v="1"/>
    <s v="Keyboards"/>
    <s v="Wireless Keyboard"/>
    <n v="2"/>
    <n v="120.96"/>
    <n v="0"/>
    <n v="241.92"/>
    <n v="138.35"/>
    <n v="103.57"/>
    <s v="Debit Card"/>
  </r>
  <r>
    <s v="ORD-00778"/>
    <x v="334"/>
    <x v="0"/>
    <s v="California"/>
    <s v="San Jose"/>
    <s v="Jamie Miller"/>
    <x v="0"/>
    <x v="2"/>
    <s v="Chairs"/>
    <s v="Ergonomic Chair"/>
    <n v="7"/>
    <n v="545.05999999999995"/>
    <n v="0.1"/>
    <n v="3433.88"/>
    <n v="2539.0100000000002"/>
    <n v="894.87"/>
    <s v="PayPal"/>
  </r>
  <r>
    <s v="ORD-01101"/>
    <x v="334"/>
    <x v="3"/>
    <s v="Ohio"/>
    <s v="Cincinnati"/>
    <s v="Riley Wilson"/>
    <x v="2"/>
    <x v="1"/>
    <s v="Headsets"/>
    <s v="USB Headset"/>
    <n v="1"/>
    <n v="179.85"/>
    <n v="0"/>
    <n v="179.85"/>
    <n v="125.48"/>
    <n v="54.37"/>
    <s v="Credit Card"/>
  </r>
  <r>
    <s v="ORD-02690"/>
    <x v="334"/>
    <x v="0"/>
    <s v="Oregon"/>
    <s v="Portland"/>
    <s v="Cameron Clark"/>
    <x v="2"/>
    <x v="1"/>
    <s v="Laptops"/>
    <s v="Ultrabook"/>
    <n v="8"/>
    <n v="1514.41"/>
    <n v="0.15"/>
    <n v="10297.99"/>
    <n v="7553.03"/>
    <n v="2744.96"/>
    <s v="Credit Card"/>
  </r>
  <r>
    <s v="ORD-00442"/>
    <x v="334"/>
    <x v="0"/>
    <s v="Arizona"/>
    <s v="Mesa"/>
    <s v="Jordan Lee"/>
    <x v="1"/>
    <x v="0"/>
    <s v="Paper"/>
    <s v="Copy Paper"/>
    <n v="1"/>
    <n v="26.03"/>
    <n v="0.05"/>
    <n v="24.73"/>
    <n v="13.73"/>
    <n v="11"/>
    <s v="PayPal"/>
  </r>
  <r>
    <s v="ORD-00290"/>
    <x v="334"/>
    <x v="0"/>
    <s v="Arizona"/>
    <s v="Mesa"/>
    <s v="Avery Johnson"/>
    <x v="2"/>
    <x v="1"/>
    <s v="Monitors"/>
    <s v="24in Monitor"/>
    <n v="5"/>
    <n v="684.09"/>
    <n v="0"/>
    <n v="3420.45"/>
    <n v="2721.66"/>
    <n v="698.79"/>
    <s v="PayPal"/>
  </r>
  <r>
    <s v="ORD-01702"/>
    <x v="335"/>
    <x v="1"/>
    <s v="Virginia"/>
    <s v="Arlington"/>
    <s v="Morgan Davis"/>
    <x v="1"/>
    <x v="2"/>
    <s v="Chairs"/>
    <s v="Task Chair"/>
    <n v="5"/>
    <n v="574.91999999999996"/>
    <n v="0.05"/>
    <n v="2730.87"/>
    <n v="1891.48"/>
    <n v="839.39"/>
    <s v="PayPal"/>
  </r>
  <r>
    <s v="ORD-01581"/>
    <x v="335"/>
    <x v="0"/>
    <s v="Oregon"/>
    <s v="Eugene"/>
    <s v="Taylor Smith"/>
    <x v="0"/>
    <x v="2"/>
    <s v="Tables"/>
    <s v="Conference Table"/>
    <n v="2"/>
    <n v="314.04000000000002"/>
    <n v="0.15"/>
    <n v="533.87"/>
    <n v="372.67"/>
    <n v="161.19999999999999"/>
    <s v="PayPal"/>
  </r>
  <r>
    <s v="ORD-02284"/>
    <x v="335"/>
    <x v="0"/>
    <s v="Arizona"/>
    <s v="Tucson"/>
    <s v="Avery Johnson"/>
    <x v="1"/>
    <x v="0"/>
    <s v="Pens"/>
    <s v="Fine Tip Pens"/>
    <n v="3"/>
    <n v="19.37"/>
    <n v="0.05"/>
    <n v="55.2"/>
    <n v="31.89"/>
    <n v="23.31"/>
    <s v="Bank Transfer"/>
  </r>
  <r>
    <s v="ORD-01919"/>
    <x v="335"/>
    <x v="3"/>
    <s v="Illinois"/>
    <s v="Peoria"/>
    <s v="Drew Anderson"/>
    <x v="1"/>
    <x v="1"/>
    <s v="Laptops"/>
    <s v="Workstation Laptop"/>
    <n v="2"/>
    <n v="755.5"/>
    <n v="0.1"/>
    <n v="1359.9"/>
    <n v="1009.49"/>
    <n v="350.41"/>
    <s v="Debit Card"/>
  </r>
  <r>
    <s v="ORD-02759"/>
    <x v="336"/>
    <x v="1"/>
    <s v="Florida"/>
    <s v="Orlando"/>
    <s v="Alex Morgan"/>
    <x v="2"/>
    <x v="0"/>
    <s v="Printers"/>
    <s v="Color Printer"/>
    <n v="6"/>
    <n v="380.87"/>
    <n v="0.1"/>
    <n v="2056.6999999999998"/>
    <n v="1232.99"/>
    <n v="823.71"/>
    <s v="Bank Transfer"/>
  </r>
  <r>
    <s v="ORD-00044"/>
    <x v="336"/>
    <x v="0"/>
    <s v="California"/>
    <s v="San Jose"/>
    <s v="Alex Morgan"/>
    <x v="1"/>
    <x v="1"/>
    <s v="Laptops"/>
    <s v="Workstation Laptop"/>
    <n v="4"/>
    <n v="1052.05"/>
    <n v="0"/>
    <n v="4208.2"/>
    <n v="2770"/>
    <n v="1438.2"/>
    <s v="PayPal"/>
  </r>
  <r>
    <s v="ORD-00905"/>
    <x v="336"/>
    <x v="3"/>
    <s v="Indiana"/>
    <s v="Fort Wayne"/>
    <s v="Alex Morgan"/>
    <x v="2"/>
    <x v="1"/>
    <s v="Monitors"/>
    <s v="34in Monitor"/>
    <n v="2"/>
    <n v="387.87"/>
    <n v="0.1"/>
    <n v="698.17"/>
    <n v="557.16"/>
    <n v="141.01"/>
    <s v="Debit Card"/>
  </r>
  <r>
    <s v="ORD-00793"/>
    <x v="336"/>
    <x v="2"/>
    <s v="New Jersey"/>
    <s v="Trenton"/>
    <s v="Casey Brown"/>
    <x v="2"/>
    <x v="1"/>
    <s v="Monitors"/>
    <s v="27in Monitor"/>
    <n v="3"/>
    <n v="493.78"/>
    <n v="0.1"/>
    <n v="1333.21"/>
    <n v="899.55"/>
    <n v="433.66"/>
    <s v="Credit Card"/>
  </r>
  <r>
    <s v="ORD-00977"/>
    <x v="336"/>
    <x v="0"/>
    <s v="Washington"/>
    <s v="Tacoma"/>
    <s v="Riley Wilson"/>
    <x v="0"/>
    <x v="2"/>
    <s v="Bookcases"/>
    <s v="3-Shelf Bookcase"/>
    <n v="9"/>
    <n v="186.55"/>
    <n v="0"/>
    <n v="1678.95"/>
    <n v="1254.19"/>
    <n v="424.76"/>
    <s v="Debit Card"/>
  </r>
  <r>
    <s v="ORD-02733"/>
    <x v="336"/>
    <x v="0"/>
    <s v="Colorado"/>
    <s v="Colorado Springs"/>
    <s v="Drew Anderson"/>
    <x v="0"/>
    <x v="0"/>
    <s v="Printers"/>
    <s v="Laser Printer"/>
    <n v="7"/>
    <n v="492.1"/>
    <n v="0.05"/>
    <n v="3272.46"/>
    <n v="1982.89"/>
    <n v="1289.57"/>
    <s v="PayPal"/>
  </r>
  <r>
    <s v="ORD-00972"/>
    <x v="336"/>
    <x v="3"/>
    <s v="Ohio"/>
    <s v="Columbus"/>
    <s v="Avery Johnson"/>
    <x v="1"/>
    <x v="2"/>
    <s v="Bookcases"/>
    <s v="Storage Bookcase"/>
    <n v="10"/>
    <n v="213.89"/>
    <n v="0.05"/>
    <n v="2031.95"/>
    <n v="1321.92"/>
    <n v="710.03"/>
    <s v="Bank Transfer"/>
  </r>
  <r>
    <s v="ORD-00084"/>
    <x v="336"/>
    <x v="0"/>
    <s v="Arizona"/>
    <s v="Phoenix"/>
    <s v="Casey Brown"/>
    <x v="0"/>
    <x v="2"/>
    <s v="Bookcases"/>
    <s v="3-Shelf Bookcase"/>
    <n v="8"/>
    <n v="161.84"/>
    <n v="0.1"/>
    <n v="1165.25"/>
    <n v="794.94"/>
    <n v="370.31"/>
    <s v="Debit Card"/>
  </r>
  <r>
    <s v="ORD-01675"/>
    <x v="336"/>
    <x v="2"/>
    <s v="New Jersey"/>
    <s v="Jersey City"/>
    <s v="Drew Anderson"/>
    <x v="2"/>
    <x v="1"/>
    <s v="Headsets"/>
    <s v="Wireless Headset"/>
    <n v="10"/>
    <n v="169.28"/>
    <n v="0.15"/>
    <n v="1438.88"/>
    <n v="1172.1199999999999"/>
    <n v="266.76"/>
    <s v="Bank Transfer"/>
  </r>
  <r>
    <s v="ORD-02858"/>
    <x v="337"/>
    <x v="2"/>
    <s v="New York"/>
    <s v="New York City"/>
    <s v="Jordan Lee"/>
    <x v="0"/>
    <x v="0"/>
    <s v="Pens"/>
    <s v="Gel Pens"/>
    <n v="1"/>
    <n v="17.2"/>
    <n v="0.1"/>
    <n v="15.48"/>
    <n v="10.08"/>
    <n v="5.4"/>
    <s v="Debit Card"/>
  </r>
  <r>
    <s v="ORD-01844"/>
    <x v="337"/>
    <x v="3"/>
    <s v="Indiana"/>
    <s v="Fort Wayne"/>
    <s v="Taylor Smith"/>
    <x v="0"/>
    <x v="2"/>
    <s v="Tables"/>
    <s v="Side Table"/>
    <n v="4"/>
    <n v="359.7"/>
    <n v="0.1"/>
    <n v="1294.92"/>
    <n v="892.17"/>
    <n v="402.75"/>
    <s v="Bank Transfer"/>
  </r>
  <r>
    <s v="ORD-00533"/>
    <x v="337"/>
    <x v="2"/>
    <s v="New York"/>
    <s v="New York City"/>
    <s v="Drew Anderson"/>
    <x v="0"/>
    <x v="2"/>
    <s v="Tables"/>
    <s v="Conference Table"/>
    <n v="10"/>
    <n v="635.39"/>
    <n v="0.15"/>
    <n v="5400.82"/>
    <n v="3460.54"/>
    <n v="1940.28"/>
    <s v="Credit Card"/>
  </r>
  <r>
    <s v="ORD-02127"/>
    <x v="337"/>
    <x v="2"/>
    <s v="New Jersey"/>
    <s v="Jersey City"/>
    <s v="Avery Johnson"/>
    <x v="2"/>
    <x v="1"/>
    <s v="Laptops"/>
    <s v="Workstation Laptop"/>
    <n v="9"/>
    <n v="878.49"/>
    <n v="0.15"/>
    <n v="6720.45"/>
    <n v="4608.66"/>
    <n v="2111.79"/>
    <s v="Bank Transfer"/>
  </r>
  <r>
    <s v="ORD-01072"/>
    <x v="337"/>
    <x v="1"/>
    <s v="Florida"/>
    <s v="Tampa"/>
    <s v="Drew Anderson"/>
    <x v="0"/>
    <x v="1"/>
    <s v="Keyboards"/>
    <s v="Ergonomic Keyboard"/>
    <n v="6"/>
    <n v="94.6"/>
    <n v="0.2"/>
    <n v="454.08"/>
    <n v="306.36"/>
    <n v="147.72"/>
    <s v="Credit Card"/>
  </r>
  <r>
    <s v="ORD-01624"/>
    <x v="337"/>
    <x v="0"/>
    <s v="Colorado"/>
    <s v="Boulder"/>
    <s v="Taylor Smith"/>
    <x v="1"/>
    <x v="1"/>
    <s v="Keyboards"/>
    <s v="Mechanical Keyboard"/>
    <n v="10"/>
    <n v="51.32"/>
    <n v="0"/>
    <n v="513.20000000000005"/>
    <n v="330.97"/>
    <n v="182.23"/>
    <s v="Credit Card"/>
  </r>
  <r>
    <s v="ORD-01465"/>
    <x v="337"/>
    <x v="3"/>
    <s v="Ohio"/>
    <s v="Cleveland"/>
    <s v="Riley Wilson"/>
    <x v="0"/>
    <x v="0"/>
    <s v="Printers"/>
    <s v="All-in-One Printer"/>
    <n v="2"/>
    <n v="329.09"/>
    <n v="0.1"/>
    <n v="592.36"/>
    <n v="352.24"/>
    <n v="240.12"/>
    <s v="Bank Transfer"/>
  </r>
  <r>
    <s v="ORD-00791"/>
    <x v="338"/>
    <x v="1"/>
    <s v="Georgia"/>
    <s v="Atlanta"/>
    <s v="Avery Johnson"/>
    <x v="1"/>
    <x v="0"/>
    <s v="Paper"/>
    <s v="Premium Paper"/>
    <n v="3"/>
    <n v="11.13"/>
    <n v="0.1"/>
    <n v="30.05"/>
    <n v="24.08"/>
    <n v="5.97"/>
    <s v="PayPal"/>
  </r>
  <r>
    <s v="ORD-01684"/>
    <x v="338"/>
    <x v="2"/>
    <s v="Vermont"/>
    <s v="Burlington"/>
    <s v="Avery Johnson"/>
    <x v="2"/>
    <x v="1"/>
    <s v="Monitors"/>
    <s v="34in Monitor"/>
    <n v="8"/>
    <n v="432.37"/>
    <n v="0.05"/>
    <n v="3286.01"/>
    <n v="2123.87"/>
    <n v="1162.1400000000001"/>
    <s v="Credit Card"/>
  </r>
  <r>
    <s v="ORD-02364"/>
    <x v="338"/>
    <x v="0"/>
    <s v="Washington"/>
    <s v="Spokane"/>
    <s v="Taylor Smith"/>
    <x v="0"/>
    <x v="2"/>
    <s v="Desks"/>
    <s v="Work Desk"/>
    <n v="10"/>
    <n v="424.9"/>
    <n v="0"/>
    <n v="4249"/>
    <n v="3156"/>
    <n v="1093"/>
    <s v="Bank Transfer"/>
  </r>
  <r>
    <s v="ORD-02974"/>
    <x v="338"/>
    <x v="3"/>
    <s v="Ohio"/>
    <s v="Columbus"/>
    <s v="Drew Anderson"/>
    <x v="1"/>
    <x v="0"/>
    <s v="Pens"/>
    <s v="Ballpoint Pens"/>
    <n v="4"/>
    <n v="18.89"/>
    <n v="0.15"/>
    <n v="64.23"/>
    <n v="44.99"/>
    <n v="19.239999999999998"/>
    <s v="Bank Transfer"/>
  </r>
  <r>
    <s v="ORD-00829"/>
    <x v="338"/>
    <x v="3"/>
    <s v="Illinois"/>
    <s v="Springfield"/>
    <s v="Alex Morgan"/>
    <x v="1"/>
    <x v="1"/>
    <s v="Laptops"/>
    <s v="Workstation Laptop"/>
    <n v="5"/>
    <n v="777.71"/>
    <n v="0.05"/>
    <n v="3694.12"/>
    <n v="2217.71"/>
    <n v="1476.41"/>
    <s v="Bank Transfer"/>
  </r>
  <r>
    <s v="ORD-01296"/>
    <x v="338"/>
    <x v="1"/>
    <s v="Florida"/>
    <s v="Orlando"/>
    <s v="Jamie Miller"/>
    <x v="2"/>
    <x v="1"/>
    <s v="Headsets"/>
    <s v="USB Headset"/>
    <n v="10"/>
    <n v="190.2"/>
    <n v="0"/>
    <n v="1902"/>
    <n v="1271.46"/>
    <n v="630.54"/>
    <s v="Bank Transfer"/>
  </r>
  <r>
    <s v="ORD-02808"/>
    <x v="338"/>
    <x v="3"/>
    <s v="Michigan"/>
    <s v="Detroit"/>
    <s v="Jamie Miller"/>
    <x v="0"/>
    <x v="1"/>
    <s v="Keyboards"/>
    <s v="Wireless Keyboard"/>
    <n v="7"/>
    <n v="67.430000000000007"/>
    <n v="0.1"/>
    <n v="424.81"/>
    <n v="332.97"/>
    <n v="91.84"/>
    <s v="Bank Transfer"/>
  </r>
  <r>
    <s v="ORD-02472"/>
    <x v="338"/>
    <x v="1"/>
    <s v="Texas"/>
    <s v="Dallas"/>
    <s v="Morgan Davis"/>
    <x v="1"/>
    <x v="0"/>
    <s v="Pens"/>
    <s v="Fine Tip Pens"/>
    <n v="4"/>
    <n v="19.52"/>
    <n v="0.05"/>
    <n v="74.180000000000007"/>
    <n v="44.41"/>
    <n v="29.77"/>
    <s v="PayPal"/>
  </r>
  <r>
    <s v="ORD-01263"/>
    <x v="338"/>
    <x v="3"/>
    <s v="Illinois"/>
    <s v="Springfield"/>
    <s v="Alex Morgan"/>
    <x v="0"/>
    <x v="1"/>
    <s v="Monitors"/>
    <s v="24in Monitor"/>
    <n v="5"/>
    <n v="244.33"/>
    <n v="0.1"/>
    <n v="1099.49"/>
    <n v="758.74"/>
    <n v="340.75"/>
    <s v="PayPal"/>
  </r>
  <r>
    <s v="ORD-02167"/>
    <x v="338"/>
    <x v="0"/>
    <s v="Washington"/>
    <s v="Tacoma"/>
    <s v="Taylor Smith"/>
    <x v="2"/>
    <x v="2"/>
    <s v="Desks"/>
    <s v="Work Desk"/>
    <n v="6"/>
    <n v="885.07"/>
    <n v="0.2"/>
    <n v="4248.34"/>
    <n v="2741.21"/>
    <n v="1507.13"/>
    <s v="Debit Card"/>
  </r>
  <r>
    <s v="ORD-01015"/>
    <x v="338"/>
    <x v="2"/>
    <s v="New York"/>
    <s v="New York City"/>
    <s v="Riley Wilson"/>
    <x v="0"/>
    <x v="0"/>
    <s v="Printers"/>
    <s v="Laser Printer"/>
    <n v="1"/>
    <n v="131.35"/>
    <n v="0.1"/>
    <n v="118.22"/>
    <n v="83.37"/>
    <n v="34.85"/>
    <s v="Debit Card"/>
  </r>
  <r>
    <s v="ORD-02003"/>
    <x v="338"/>
    <x v="1"/>
    <s v="Virginia"/>
    <s v="Arlington"/>
    <s v="Casey Brown"/>
    <x v="0"/>
    <x v="0"/>
    <s v="Pens"/>
    <s v="Ballpoint Pens"/>
    <n v="4"/>
    <n v="11.39"/>
    <n v="0.15"/>
    <n v="38.729999999999997"/>
    <n v="25.73"/>
    <n v="13"/>
    <s v="PayPal"/>
  </r>
  <r>
    <s v="ORD-01386"/>
    <x v="339"/>
    <x v="0"/>
    <s v="Arizona"/>
    <s v="Tucson"/>
    <s v="Jordan Lee"/>
    <x v="0"/>
    <x v="1"/>
    <s v="Monitors"/>
    <s v="34in Monitor"/>
    <n v="5"/>
    <n v="550.33000000000004"/>
    <n v="0.05"/>
    <n v="2614.0700000000002"/>
    <n v="1972.26"/>
    <n v="641.80999999999995"/>
    <s v="Debit Card"/>
  </r>
  <r>
    <s v="ORD-00389"/>
    <x v="339"/>
    <x v="2"/>
    <s v="Pennsylvania"/>
    <s v="Allentown"/>
    <s v="Cameron Clark"/>
    <x v="0"/>
    <x v="2"/>
    <s v="Desks"/>
    <s v="Standing Desk"/>
    <n v="4"/>
    <n v="830.7"/>
    <n v="0.05"/>
    <n v="3156.66"/>
    <n v="1755.43"/>
    <n v="1401.23"/>
    <s v="Credit Card"/>
  </r>
  <r>
    <s v="ORD-01778"/>
    <x v="339"/>
    <x v="3"/>
    <s v="Minnesota"/>
    <s v="Rochester"/>
    <s v="Cameron Clark"/>
    <x v="2"/>
    <x v="1"/>
    <s v="Keyboards"/>
    <s v="Ergonomic Keyboard"/>
    <n v="5"/>
    <n v="56.7"/>
    <n v="0.05"/>
    <n v="269.32"/>
    <n v="158.79"/>
    <n v="110.53"/>
    <s v="Bank Transfer"/>
  </r>
  <r>
    <s v="ORD-02932"/>
    <x v="339"/>
    <x v="3"/>
    <s v="Ohio"/>
    <s v="Columbus"/>
    <s v="Jamie Miller"/>
    <x v="0"/>
    <x v="1"/>
    <s v="Keyboards"/>
    <s v="Ergonomic Keyboard"/>
    <n v="9"/>
    <n v="96.7"/>
    <n v="0.1"/>
    <n v="783.27"/>
    <n v="522.4"/>
    <n v="260.87"/>
    <s v="Debit Card"/>
  </r>
  <r>
    <s v="ORD-02297"/>
    <x v="339"/>
    <x v="2"/>
    <s v="Massachusetts"/>
    <s v="Springfield"/>
    <s v="Taylor Smith"/>
    <x v="0"/>
    <x v="1"/>
    <s v="Monitors"/>
    <s v="27in Monitor"/>
    <n v="5"/>
    <n v="667.55"/>
    <n v="0.1"/>
    <n v="3003.98"/>
    <n v="1829.83"/>
    <n v="1174.1500000000001"/>
    <s v="PayPal"/>
  </r>
  <r>
    <s v="ORD-01758"/>
    <x v="339"/>
    <x v="2"/>
    <s v="New Jersey"/>
    <s v="Jersey City"/>
    <s v="Casey Brown"/>
    <x v="0"/>
    <x v="1"/>
    <s v="Keyboards"/>
    <s v="Mechanical Keyboard"/>
    <n v="7"/>
    <n v="137.30000000000001"/>
    <n v="0.15"/>
    <n v="816.94"/>
    <n v="560.11"/>
    <n v="256.83"/>
    <s v="PayPal"/>
  </r>
  <r>
    <s v="ORD-02184"/>
    <x v="339"/>
    <x v="1"/>
    <s v="North Carolina"/>
    <s v="Raleigh"/>
    <s v="Morgan Davis"/>
    <x v="2"/>
    <x v="1"/>
    <s v="Keyboards"/>
    <s v="Ergonomic Keyboard"/>
    <n v="5"/>
    <n v="80.61"/>
    <n v="0.2"/>
    <n v="322.44"/>
    <n v="193.59"/>
    <n v="128.85"/>
    <s v="PayPal"/>
  </r>
  <r>
    <s v="ORD-01397"/>
    <x v="339"/>
    <x v="3"/>
    <s v="Minnesota"/>
    <s v="Minneapolis"/>
    <s v="Cameron Clark"/>
    <x v="0"/>
    <x v="2"/>
    <s v="Desks"/>
    <s v="Standing Desk"/>
    <n v="1"/>
    <n v="552.54"/>
    <n v="0"/>
    <n v="552.54"/>
    <n v="361.59"/>
    <n v="190.95"/>
    <s v="Debit Card"/>
  </r>
  <r>
    <s v="ORD-02501"/>
    <x v="339"/>
    <x v="1"/>
    <s v="Florida"/>
    <s v="Miami"/>
    <s v="Riley Wilson"/>
    <x v="0"/>
    <x v="0"/>
    <s v="Printers"/>
    <s v="Color Printer"/>
    <n v="8"/>
    <n v="372.42"/>
    <n v="0"/>
    <n v="2979.36"/>
    <n v="1875.85"/>
    <n v="1103.51"/>
    <s v="PayPal"/>
  </r>
  <r>
    <s v="ORD-02031"/>
    <x v="339"/>
    <x v="3"/>
    <s v="Ohio"/>
    <s v="Cleveland"/>
    <s v="Alex Morgan"/>
    <x v="1"/>
    <x v="0"/>
    <s v="Binders"/>
    <s v="Presentation Binder"/>
    <n v="2"/>
    <n v="8.34"/>
    <n v="0.05"/>
    <n v="15.85"/>
    <n v="10.15"/>
    <n v="5.7"/>
    <s v="Bank Transfer"/>
  </r>
  <r>
    <s v="ORD-01156"/>
    <x v="339"/>
    <x v="2"/>
    <s v="Pennsylvania"/>
    <s v="Pittsburgh"/>
    <s v="Drew Anderson"/>
    <x v="1"/>
    <x v="0"/>
    <s v="Printers"/>
    <s v="Color Printer"/>
    <n v="6"/>
    <n v="382.85"/>
    <n v="0.1"/>
    <n v="2067.39"/>
    <n v="1512.81"/>
    <n v="554.58000000000004"/>
    <s v="PayPal"/>
  </r>
  <r>
    <s v="ORD-02578"/>
    <x v="339"/>
    <x v="2"/>
    <s v="Massachusetts"/>
    <s v="Springfield"/>
    <s v="Taylor Smith"/>
    <x v="0"/>
    <x v="0"/>
    <s v="Paper"/>
    <s v="Premium Paper"/>
    <n v="6"/>
    <n v="25.69"/>
    <n v="0.1"/>
    <n v="138.72999999999999"/>
    <n v="102.1"/>
    <n v="36.630000000000003"/>
    <s v="Debit Card"/>
  </r>
  <r>
    <s v="ORD-01882"/>
    <x v="339"/>
    <x v="1"/>
    <s v="Florida"/>
    <s v="Tampa"/>
    <s v="Jordan Lee"/>
    <x v="1"/>
    <x v="2"/>
    <s v="Tables"/>
    <s v="Training Table"/>
    <n v="9"/>
    <n v="453.75"/>
    <n v="0"/>
    <n v="4083.75"/>
    <n v="3242.97"/>
    <n v="840.78"/>
    <s v="Debit Card"/>
  </r>
  <r>
    <s v="ORD-02293"/>
    <x v="339"/>
    <x v="3"/>
    <s v="Minnesota"/>
    <s v="Minneapolis"/>
    <s v="Jamie Miller"/>
    <x v="2"/>
    <x v="1"/>
    <s v="Monitors"/>
    <s v="34in Monitor"/>
    <n v="6"/>
    <n v="640.45000000000005"/>
    <n v="0.15"/>
    <n v="3266.3"/>
    <n v="2419.7399999999998"/>
    <n v="846.56"/>
    <s v="Bank Transfer"/>
  </r>
  <r>
    <s v="ORD-00085"/>
    <x v="340"/>
    <x v="3"/>
    <s v="Ohio"/>
    <s v="Cincinnati"/>
    <s v="Jamie Miller"/>
    <x v="0"/>
    <x v="1"/>
    <s v="Monitors"/>
    <s v="27in Monitor"/>
    <n v="9"/>
    <n v="518.36"/>
    <n v="0.05"/>
    <n v="4431.9799999999996"/>
    <n v="2987.08"/>
    <n v="1444.9"/>
    <s v="PayPal"/>
  </r>
  <r>
    <s v="ORD-01200"/>
    <x v="340"/>
    <x v="2"/>
    <s v="Massachusetts"/>
    <s v="Boston"/>
    <s v="Jamie Miller"/>
    <x v="1"/>
    <x v="0"/>
    <s v="Paper"/>
    <s v="Copy Paper"/>
    <n v="4"/>
    <n v="34.35"/>
    <n v="0.15"/>
    <n v="116.79"/>
    <n v="65.3"/>
    <n v="51.49"/>
    <s v="PayPal"/>
  </r>
  <r>
    <s v="ORD-02870"/>
    <x v="340"/>
    <x v="3"/>
    <s v="Illinois"/>
    <s v="Springfield"/>
    <s v="Jamie Miller"/>
    <x v="1"/>
    <x v="1"/>
    <s v="Laptops"/>
    <s v="Ultrabook"/>
    <n v="3"/>
    <n v="1499.9"/>
    <n v="0"/>
    <n v="4499.7"/>
    <n v="2866.3"/>
    <n v="1633.4"/>
    <s v="Debit Card"/>
  </r>
  <r>
    <s v="ORD-02768"/>
    <x v="340"/>
    <x v="3"/>
    <s v="Ohio"/>
    <s v="Columbus"/>
    <s v="Drew Anderson"/>
    <x v="2"/>
    <x v="1"/>
    <s v="Headsets"/>
    <s v="Wireless Headset"/>
    <n v="1"/>
    <n v="138.41999999999999"/>
    <n v="0.05"/>
    <n v="131.5"/>
    <n v="78.819999999999993"/>
    <n v="52.68"/>
    <s v="PayPal"/>
  </r>
  <r>
    <s v="ORD-02182"/>
    <x v="340"/>
    <x v="2"/>
    <s v="New York"/>
    <s v="Buffalo"/>
    <s v="Alex Morgan"/>
    <x v="0"/>
    <x v="2"/>
    <s v="Chairs"/>
    <s v="Executive Chair"/>
    <n v="7"/>
    <n v="658.5"/>
    <n v="0.05"/>
    <n v="4379.0200000000004"/>
    <n v="3544.41"/>
    <n v="834.61"/>
    <s v="Debit Card"/>
  </r>
  <r>
    <s v="ORD-00175"/>
    <x v="341"/>
    <x v="0"/>
    <s v="Colorado"/>
    <s v="Colorado Springs"/>
    <s v="Alex Morgan"/>
    <x v="2"/>
    <x v="0"/>
    <s v="Paper"/>
    <s v="Copy Paper"/>
    <n v="3"/>
    <n v="33.11"/>
    <n v="0"/>
    <n v="99.33"/>
    <n v="56.71"/>
    <n v="42.62"/>
    <s v="Debit Card"/>
  </r>
  <r>
    <s v="ORD-00982"/>
    <x v="341"/>
    <x v="0"/>
    <s v="Colorado"/>
    <s v="Denver"/>
    <s v="Drew Anderson"/>
    <x v="0"/>
    <x v="1"/>
    <s v="Monitors"/>
    <s v="24in Monitor"/>
    <n v="4"/>
    <n v="283.56"/>
    <n v="0"/>
    <n v="1134.24"/>
    <n v="698.75"/>
    <n v="435.49"/>
    <s v="Debit Card"/>
  </r>
  <r>
    <s v="ORD-02802"/>
    <x v="341"/>
    <x v="1"/>
    <s v="Florida"/>
    <s v="Orlando"/>
    <s v="Cameron Clark"/>
    <x v="1"/>
    <x v="1"/>
    <s v="Keyboards"/>
    <s v="Wireless Keyboard"/>
    <n v="4"/>
    <n v="114.06"/>
    <n v="0.1"/>
    <n v="410.62"/>
    <n v="321.81"/>
    <n v="88.81"/>
    <s v="Debit Card"/>
  </r>
  <r>
    <s v="ORD-01041"/>
    <x v="341"/>
    <x v="2"/>
    <s v="New York"/>
    <s v="Rochester"/>
    <s v="Cameron Clark"/>
    <x v="2"/>
    <x v="1"/>
    <s v="Laptops"/>
    <s v="Business Laptop"/>
    <n v="9"/>
    <n v="810.47"/>
    <n v="0.1"/>
    <n v="6564.81"/>
    <n v="4965.9399999999996"/>
    <n v="1598.87"/>
    <s v="PayPal"/>
  </r>
  <r>
    <s v="ORD-01843"/>
    <x v="341"/>
    <x v="0"/>
    <s v="Colorado"/>
    <s v="Boulder"/>
    <s v="Morgan Davis"/>
    <x v="2"/>
    <x v="0"/>
    <s v="Paper"/>
    <s v="Premium Paper"/>
    <n v="4"/>
    <n v="32.53"/>
    <n v="0.05"/>
    <n v="123.61"/>
    <n v="78.31"/>
    <n v="45.3"/>
    <s v="Credit Card"/>
  </r>
  <r>
    <s v="ORD-01983"/>
    <x v="341"/>
    <x v="0"/>
    <s v="Arizona"/>
    <s v="Mesa"/>
    <s v="Cameron Clark"/>
    <x v="0"/>
    <x v="1"/>
    <s v="Keyboards"/>
    <s v="Wireless Keyboard"/>
    <n v="9"/>
    <n v="103.14"/>
    <n v="0.15"/>
    <n v="789.02"/>
    <n v="627.99"/>
    <n v="161.03"/>
    <s v="Debit Card"/>
  </r>
  <r>
    <s v="ORD-00618"/>
    <x v="341"/>
    <x v="0"/>
    <s v="California"/>
    <s v="San Diego"/>
    <s v="Cameron Clark"/>
    <x v="0"/>
    <x v="1"/>
    <s v="Keyboards"/>
    <s v="Ergonomic Keyboard"/>
    <n v="9"/>
    <n v="150.38"/>
    <n v="0.15"/>
    <n v="1150.4100000000001"/>
    <n v="876.17"/>
    <n v="274.24"/>
    <s v="Bank Transfer"/>
  </r>
  <r>
    <s v="ORD-01390"/>
    <x v="341"/>
    <x v="2"/>
    <s v="Massachusetts"/>
    <s v="Worcester"/>
    <s v="Jordan Lee"/>
    <x v="2"/>
    <x v="0"/>
    <s v="Binders"/>
    <s v="3-Ring Binder"/>
    <n v="1"/>
    <n v="27.63"/>
    <n v="0.15"/>
    <n v="23.49"/>
    <n v="17.760000000000002"/>
    <n v="5.73"/>
    <s v="PayPal"/>
  </r>
  <r>
    <s v="ORD-00122"/>
    <x v="341"/>
    <x v="2"/>
    <s v="Vermont"/>
    <s v="Montpelier"/>
    <s v="Riley Wilson"/>
    <x v="2"/>
    <x v="0"/>
    <s v="Pens"/>
    <s v="Gel Pens"/>
    <n v="9"/>
    <n v="22.01"/>
    <n v="0"/>
    <n v="198.09"/>
    <n v="118.96"/>
    <n v="79.13"/>
    <s v="PayPal"/>
  </r>
  <r>
    <s v="ORD-02029"/>
    <x v="341"/>
    <x v="1"/>
    <s v="Georgia"/>
    <s v="Savannah"/>
    <s v="Casey Brown"/>
    <x v="2"/>
    <x v="0"/>
    <s v="Paper"/>
    <s v="Recycled Paper"/>
    <n v="1"/>
    <n v="19.25"/>
    <n v="0"/>
    <n v="19.25"/>
    <n v="10.59"/>
    <n v="8.66"/>
    <s v="Debit Card"/>
  </r>
  <r>
    <s v="ORD-00574"/>
    <x v="341"/>
    <x v="1"/>
    <s v="Virginia"/>
    <s v="Arlington"/>
    <s v="Jamie Miller"/>
    <x v="2"/>
    <x v="2"/>
    <s v="Bookcases"/>
    <s v="Storage Bookcase"/>
    <n v="4"/>
    <n v="171.39"/>
    <n v="0"/>
    <n v="685.56"/>
    <n v="419.41"/>
    <n v="266.14999999999998"/>
    <s v="Debit Card"/>
  </r>
  <r>
    <s v="ORD-02465"/>
    <x v="341"/>
    <x v="2"/>
    <s v="Vermont"/>
    <s v="Rutland"/>
    <s v="Alex Morgan"/>
    <x v="2"/>
    <x v="2"/>
    <s v="Chairs"/>
    <s v="Ergonomic Chair"/>
    <n v="3"/>
    <n v="322.8"/>
    <n v="0"/>
    <n v="968.4"/>
    <n v="694.24"/>
    <n v="274.16000000000003"/>
    <s v="Bank Transfer"/>
  </r>
  <r>
    <s v="ORD-00519"/>
    <x v="342"/>
    <x v="0"/>
    <s v="Washington"/>
    <s v="Seattle"/>
    <s v="Riley Wilson"/>
    <x v="0"/>
    <x v="0"/>
    <s v="Printers"/>
    <s v="All-in-One Printer"/>
    <n v="5"/>
    <n v="465.15"/>
    <n v="0.05"/>
    <n v="2209.46"/>
    <n v="1628.34"/>
    <n v="581.12"/>
    <s v="PayPal"/>
  </r>
  <r>
    <s v="ORD-02831"/>
    <x v="342"/>
    <x v="0"/>
    <s v="Oregon"/>
    <s v="Portland"/>
    <s v="Riley Wilson"/>
    <x v="0"/>
    <x v="1"/>
    <s v="Keyboards"/>
    <s v="Mechanical Keyboard"/>
    <n v="4"/>
    <n v="144.63999999999999"/>
    <n v="0.1"/>
    <n v="520.70000000000005"/>
    <n v="327.33"/>
    <n v="193.37"/>
    <s v="PayPal"/>
  </r>
  <r>
    <s v="ORD-00430"/>
    <x v="342"/>
    <x v="0"/>
    <s v="California"/>
    <s v="San Diego"/>
    <s v="Drew Anderson"/>
    <x v="1"/>
    <x v="1"/>
    <s v="Headsets"/>
    <s v="Noise-Canceling Headset"/>
    <n v="10"/>
    <n v="244.75"/>
    <n v="0"/>
    <n v="2447.5"/>
    <n v="1359.97"/>
    <n v="1087.53"/>
    <s v="Debit Card"/>
  </r>
  <r>
    <s v="ORD-00672"/>
    <x v="342"/>
    <x v="1"/>
    <s v="Virginia"/>
    <s v="Richmond"/>
    <s v="Cameron Clark"/>
    <x v="2"/>
    <x v="1"/>
    <s v="Laptops"/>
    <s v="Workstation Laptop"/>
    <n v="3"/>
    <n v="1135.5999999999999"/>
    <n v="0.1"/>
    <n v="3066.12"/>
    <n v="1978.17"/>
    <n v="1087.95"/>
    <s v="Debit Card"/>
  </r>
  <r>
    <s v="ORD-01107"/>
    <x v="342"/>
    <x v="2"/>
    <s v="Massachusetts"/>
    <s v="Springfield"/>
    <s v="Cameron Clark"/>
    <x v="0"/>
    <x v="0"/>
    <s v="Printers"/>
    <s v="Color Printer"/>
    <n v="3"/>
    <n v="591.79"/>
    <n v="0.1"/>
    <n v="1597.83"/>
    <n v="900.03"/>
    <n v="697.8"/>
    <s v="Credit Card"/>
  </r>
  <r>
    <s v="ORD-02124"/>
    <x v="342"/>
    <x v="2"/>
    <s v="New Jersey"/>
    <s v="Newark"/>
    <s v="Morgan Davis"/>
    <x v="1"/>
    <x v="1"/>
    <s v="Headsets"/>
    <s v="Wireless Headset"/>
    <n v="7"/>
    <n v="174.61"/>
    <n v="0.05"/>
    <n v="1161.1600000000001"/>
    <n v="718.62"/>
    <n v="442.54"/>
    <s v="Bank Transfer"/>
  </r>
  <r>
    <s v="ORD-00496"/>
    <x v="342"/>
    <x v="3"/>
    <s v="Minnesota"/>
    <s v="Minneapolis"/>
    <s v="Jordan Lee"/>
    <x v="1"/>
    <x v="0"/>
    <s v="Binders"/>
    <s v="Presentation Binder"/>
    <n v="1"/>
    <n v="10.39"/>
    <n v="0.05"/>
    <n v="9.8699999999999992"/>
    <n v="7.53"/>
    <n v="2.34"/>
    <s v="Debit Card"/>
  </r>
  <r>
    <s v="ORD-01130"/>
    <x v="342"/>
    <x v="1"/>
    <s v="Virginia"/>
    <s v="Richmond"/>
    <s v="Riley Wilson"/>
    <x v="0"/>
    <x v="1"/>
    <s v="Headsets"/>
    <s v="Noise-Canceling Headset"/>
    <n v="8"/>
    <n v="194.65"/>
    <n v="0.15"/>
    <n v="1323.62"/>
    <n v="823.34"/>
    <n v="500.28"/>
    <s v="Debit Card"/>
  </r>
  <r>
    <s v="ORD-02326"/>
    <x v="342"/>
    <x v="2"/>
    <s v="Massachusetts"/>
    <s v="Boston"/>
    <s v="Drew Anderson"/>
    <x v="0"/>
    <x v="2"/>
    <s v="Tables"/>
    <s v="Conference Table"/>
    <n v="4"/>
    <n v="360.89"/>
    <n v="0"/>
    <n v="1443.56"/>
    <n v="1144.04"/>
    <n v="299.52"/>
    <s v="Bank Transfer"/>
  </r>
  <r>
    <s v="ORD-02955"/>
    <x v="343"/>
    <x v="1"/>
    <s v="Texas"/>
    <s v="Austin"/>
    <s v="Riley Wilson"/>
    <x v="2"/>
    <x v="1"/>
    <s v="Laptops"/>
    <s v="Ultrabook"/>
    <n v="7"/>
    <n v="1613.37"/>
    <n v="0.05"/>
    <n v="10728.91"/>
    <n v="8458.8799999999992"/>
    <n v="2270.0300000000002"/>
    <s v="Credit Card"/>
  </r>
  <r>
    <s v="ORD-00612"/>
    <x v="343"/>
    <x v="1"/>
    <s v="Virginia"/>
    <s v="Norfolk"/>
    <s v="Morgan Davis"/>
    <x v="0"/>
    <x v="1"/>
    <s v="Headsets"/>
    <s v="USB Headset"/>
    <n v="1"/>
    <n v="132"/>
    <n v="0.05"/>
    <n v="125.4"/>
    <n v="100.38"/>
    <n v="25.02"/>
    <s v="Credit Card"/>
  </r>
  <r>
    <s v="ORD-00190"/>
    <x v="343"/>
    <x v="1"/>
    <s v="Virginia"/>
    <s v="Norfolk"/>
    <s v="Casey Brown"/>
    <x v="2"/>
    <x v="0"/>
    <s v="Paper"/>
    <s v="Copy Paper"/>
    <n v="4"/>
    <n v="32.18"/>
    <n v="0.1"/>
    <n v="115.85"/>
    <n v="83.28"/>
    <n v="32.57"/>
    <s v="Debit Card"/>
  </r>
  <r>
    <s v="ORD-00402"/>
    <x v="343"/>
    <x v="0"/>
    <s v="Washington"/>
    <s v="Seattle"/>
    <s v="Alex Morgan"/>
    <x v="2"/>
    <x v="0"/>
    <s v="Paper"/>
    <s v="Premium Paper"/>
    <n v="9"/>
    <n v="16.48"/>
    <n v="0.15"/>
    <n v="126.07"/>
    <n v="77.680000000000007"/>
    <n v="48.39"/>
    <s v="PayPal"/>
  </r>
  <r>
    <s v="ORD-00409"/>
    <x v="343"/>
    <x v="0"/>
    <s v="Colorado"/>
    <s v="Colorado Springs"/>
    <s v="Riley Wilson"/>
    <x v="0"/>
    <x v="0"/>
    <s v="Printers"/>
    <s v="Laser Printer"/>
    <n v="6"/>
    <n v="411.79"/>
    <n v="0.15"/>
    <n v="2100.13"/>
    <n v="1428.68"/>
    <n v="671.45"/>
    <s v="Credit Card"/>
  </r>
  <r>
    <s v="ORD-00449"/>
    <x v="343"/>
    <x v="3"/>
    <s v="Indiana"/>
    <s v="Fort Wayne"/>
    <s v="Riley Wilson"/>
    <x v="2"/>
    <x v="1"/>
    <s v="Monitors"/>
    <s v="27in Monitor"/>
    <n v="7"/>
    <n v="558.4"/>
    <n v="0.2"/>
    <n v="3127.04"/>
    <n v="2315.66"/>
    <n v="811.38"/>
    <s v="PayPal"/>
  </r>
  <r>
    <s v="ORD-01578"/>
    <x v="343"/>
    <x v="1"/>
    <s v="Texas"/>
    <s v="Houston"/>
    <s v="Avery Johnson"/>
    <x v="0"/>
    <x v="2"/>
    <s v="Tables"/>
    <s v="Side Table"/>
    <n v="10"/>
    <n v="213.98"/>
    <n v="0"/>
    <n v="2139.8000000000002"/>
    <n v="1328.55"/>
    <n v="811.25"/>
    <s v="Bank Transfer"/>
  </r>
  <r>
    <s v="ORD-01640"/>
    <x v="343"/>
    <x v="1"/>
    <s v="Texas"/>
    <s v="Austin"/>
    <s v="Jordan Lee"/>
    <x v="2"/>
    <x v="0"/>
    <s v="Binders"/>
    <s v="3-Ring Binder"/>
    <n v="5"/>
    <n v="13.08"/>
    <n v="0"/>
    <n v="65.400000000000006"/>
    <n v="41.07"/>
    <n v="24.33"/>
    <s v="Debit Card"/>
  </r>
  <r>
    <s v="ORD-01461"/>
    <x v="344"/>
    <x v="2"/>
    <s v="Massachusetts"/>
    <s v="Springfield"/>
    <s v="Jamie Miller"/>
    <x v="0"/>
    <x v="0"/>
    <s v="Binders"/>
    <s v="Heavy-Duty Binder"/>
    <n v="4"/>
    <n v="24.09"/>
    <n v="0.1"/>
    <n v="86.72"/>
    <n v="48.32"/>
    <n v="38.4"/>
    <s v="Credit Card"/>
  </r>
  <r>
    <s v="ORD-01816"/>
    <x v="344"/>
    <x v="3"/>
    <s v="Michigan"/>
    <s v="Detroit"/>
    <s v="Taylor Smith"/>
    <x v="2"/>
    <x v="1"/>
    <s v="Monitors"/>
    <s v="34in Monitor"/>
    <n v="9"/>
    <n v="337.93"/>
    <n v="0"/>
    <n v="3041.37"/>
    <n v="2268.08"/>
    <n v="773.29"/>
    <s v="Debit Card"/>
  </r>
  <r>
    <s v="ORD-01313"/>
    <x v="344"/>
    <x v="2"/>
    <s v="Pennsylvania"/>
    <s v="Allentown"/>
    <s v="Drew Anderson"/>
    <x v="0"/>
    <x v="1"/>
    <s v="Headsets"/>
    <s v="Wireless Headset"/>
    <n v="4"/>
    <n v="59.93"/>
    <n v="0"/>
    <n v="239.72"/>
    <n v="185.79"/>
    <n v="53.93"/>
    <s v="Debit Card"/>
  </r>
  <r>
    <s v="ORD-02273"/>
    <x v="344"/>
    <x v="2"/>
    <s v="New York"/>
    <s v="New York City"/>
    <s v="Alex Morgan"/>
    <x v="2"/>
    <x v="0"/>
    <s v="Printers"/>
    <s v="All-in-One Printer"/>
    <n v="2"/>
    <n v="538.98"/>
    <n v="0.05"/>
    <n v="1024.06"/>
    <n v="693.88"/>
    <n v="330.18"/>
    <s v="Credit Card"/>
  </r>
  <r>
    <s v="ORD-02512"/>
    <x v="344"/>
    <x v="2"/>
    <s v="Massachusetts"/>
    <s v="Worcester"/>
    <s v="Avery Johnson"/>
    <x v="0"/>
    <x v="1"/>
    <s v="Keyboards"/>
    <s v="Ergonomic Keyboard"/>
    <n v="4"/>
    <n v="112.99"/>
    <n v="0.15"/>
    <n v="384.17"/>
    <n v="228.51"/>
    <n v="155.66"/>
    <s v="Debit Card"/>
  </r>
  <r>
    <s v="ORD-00746"/>
    <x v="344"/>
    <x v="1"/>
    <s v="Florida"/>
    <s v="Tampa"/>
    <s v="Morgan Davis"/>
    <x v="1"/>
    <x v="0"/>
    <s v="Binders"/>
    <s v="Presentation Binder"/>
    <n v="1"/>
    <n v="22.91"/>
    <n v="0.1"/>
    <n v="20.62"/>
    <n v="12.48"/>
    <n v="8.14"/>
    <s v="PayPal"/>
  </r>
  <r>
    <s v="ORD-01861"/>
    <x v="344"/>
    <x v="1"/>
    <s v="Virginia"/>
    <s v="Arlington"/>
    <s v="Alex Morgan"/>
    <x v="2"/>
    <x v="1"/>
    <s v="Laptops"/>
    <s v="Ultrabook"/>
    <n v="10"/>
    <n v="887.81"/>
    <n v="0.1"/>
    <n v="7990.29"/>
    <n v="5077.34"/>
    <n v="2912.95"/>
    <s v="Bank Transfer"/>
  </r>
  <r>
    <s v="ORD-00725"/>
    <x v="344"/>
    <x v="2"/>
    <s v="New Jersey"/>
    <s v="Newark"/>
    <s v="Cameron Clark"/>
    <x v="1"/>
    <x v="1"/>
    <s v="Monitors"/>
    <s v="34in Monitor"/>
    <n v="5"/>
    <n v="611.97"/>
    <n v="0.1"/>
    <n v="2753.86"/>
    <n v="1861.33"/>
    <n v="892.53"/>
    <s v="Credit Card"/>
  </r>
  <r>
    <s v="ORD-01927"/>
    <x v="344"/>
    <x v="2"/>
    <s v="New York"/>
    <s v="New York City"/>
    <s v="Jamie Miller"/>
    <x v="1"/>
    <x v="0"/>
    <s v="Printers"/>
    <s v="Laser Printer"/>
    <n v="1"/>
    <n v="475.2"/>
    <n v="0.2"/>
    <n v="380.16"/>
    <n v="217.62"/>
    <n v="162.54"/>
    <s v="Bank Transfer"/>
  </r>
  <r>
    <s v="ORD-00989"/>
    <x v="344"/>
    <x v="1"/>
    <s v="North Carolina"/>
    <s v="Raleigh"/>
    <s v="Jordan Lee"/>
    <x v="2"/>
    <x v="1"/>
    <s v="Keyboards"/>
    <s v="Wireless Keyboard"/>
    <n v="6"/>
    <n v="104.18"/>
    <n v="0"/>
    <n v="625.08000000000004"/>
    <n v="374.17"/>
    <n v="250.91"/>
    <s v="Credit Card"/>
  </r>
  <r>
    <s v="ORD-02573"/>
    <x v="345"/>
    <x v="2"/>
    <s v="New Jersey"/>
    <s v="Trenton"/>
    <s v="Jamie Miller"/>
    <x v="0"/>
    <x v="1"/>
    <s v="Laptops"/>
    <s v="Business Laptop"/>
    <n v="1"/>
    <n v="1326.17"/>
    <n v="0.15"/>
    <n v="1127.24"/>
    <n v="720.94"/>
    <n v="406.3"/>
    <s v="Debit Card"/>
  </r>
  <r>
    <s v="ORD-01864"/>
    <x v="345"/>
    <x v="1"/>
    <s v="Texas"/>
    <s v="Dallas"/>
    <s v="Riley Wilson"/>
    <x v="2"/>
    <x v="1"/>
    <s v="Headsets"/>
    <s v="Wireless Headset"/>
    <n v="5"/>
    <n v="223.37"/>
    <n v="0.05"/>
    <n v="1061.01"/>
    <n v="744.49"/>
    <n v="316.52"/>
    <s v="Credit Card"/>
  </r>
  <r>
    <s v="ORD-01088"/>
    <x v="345"/>
    <x v="0"/>
    <s v="Colorado"/>
    <s v="Colorado Springs"/>
    <s v="Avery Johnson"/>
    <x v="2"/>
    <x v="2"/>
    <s v="Desks"/>
    <s v="Standing Desk"/>
    <n v="5"/>
    <n v="718.26"/>
    <n v="0"/>
    <n v="3591.3"/>
    <n v="2688.99"/>
    <n v="902.31"/>
    <s v="Bank Transfer"/>
  </r>
  <r>
    <s v="ORD-01631"/>
    <x v="345"/>
    <x v="3"/>
    <s v="Indiana"/>
    <s v="Indianapolis"/>
    <s v="Taylor Smith"/>
    <x v="0"/>
    <x v="0"/>
    <s v="Printers"/>
    <s v="Laser Printer"/>
    <n v="8"/>
    <n v="498.11"/>
    <n v="0.05"/>
    <n v="3785.64"/>
    <n v="2388.15"/>
    <n v="1397.49"/>
    <s v="Credit Card"/>
  </r>
  <r>
    <s v="ORD-02738"/>
    <x v="345"/>
    <x v="1"/>
    <s v="North Carolina"/>
    <s v="Durham"/>
    <s v="Jordan Lee"/>
    <x v="2"/>
    <x v="0"/>
    <s v="Binders"/>
    <s v="3-Ring Binder"/>
    <n v="7"/>
    <n v="10.63"/>
    <n v="0.15"/>
    <n v="63.25"/>
    <n v="36.17"/>
    <n v="27.08"/>
    <s v="Credit Card"/>
  </r>
  <r>
    <s v="ORD-02356"/>
    <x v="345"/>
    <x v="3"/>
    <s v="Minnesota"/>
    <s v="Minneapolis"/>
    <s v="Avery Johnson"/>
    <x v="0"/>
    <x v="0"/>
    <s v="Pens"/>
    <s v="Ballpoint Pens"/>
    <n v="1"/>
    <n v="10.31"/>
    <n v="0.1"/>
    <n v="9.2799999999999994"/>
    <n v="6.51"/>
    <n v="2.77"/>
    <s v="Bank Transfer"/>
  </r>
  <r>
    <s v="ORD-02339"/>
    <x v="345"/>
    <x v="0"/>
    <s v="Washington"/>
    <s v="Seattle"/>
    <s v="Morgan Davis"/>
    <x v="0"/>
    <x v="1"/>
    <s v="Monitors"/>
    <s v="34in Monitor"/>
    <n v="8"/>
    <n v="229.75"/>
    <n v="0.05"/>
    <n v="1746.1"/>
    <n v="1250.96"/>
    <n v="495.14"/>
    <s v="Credit Card"/>
  </r>
  <r>
    <s v="ORD-02113"/>
    <x v="346"/>
    <x v="1"/>
    <s v="Florida"/>
    <s v="Miami"/>
    <s v="Casey Brown"/>
    <x v="2"/>
    <x v="0"/>
    <s v="Printers"/>
    <s v="Laser Printer"/>
    <n v="4"/>
    <n v="401.95"/>
    <n v="0.1"/>
    <n v="1447.02"/>
    <n v="1038.1500000000001"/>
    <n v="408.87"/>
    <s v="Bank Transfer"/>
  </r>
  <r>
    <s v="ORD-00081"/>
    <x v="346"/>
    <x v="3"/>
    <s v="Ohio"/>
    <s v="Cleveland"/>
    <s v="Cameron Clark"/>
    <x v="1"/>
    <x v="0"/>
    <s v="Binders"/>
    <s v="Heavy-Duty Binder"/>
    <n v="6"/>
    <n v="20.45"/>
    <n v="0.1"/>
    <n v="110.43"/>
    <n v="85.1"/>
    <n v="25.33"/>
    <s v="Debit Card"/>
  </r>
  <r>
    <s v="ORD-01450"/>
    <x v="346"/>
    <x v="0"/>
    <s v="Oregon"/>
    <s v="Salem"/>
    <s v="Cameron Clark"/>
    <x v="2"/>
    <x v="2"/>
    <s v="Tables"/>
    <s v="Side Table"/>
    <n v="1"/>
    <n v="653.77"/>
    <n v="0.15"/>
    <n v="555.70000000000005"/>
    <n v="326.38"/>
    <n v="229.32"/>
    <s v="PayPal"/>
  </r>
  <r>
    <s v="ORD-00026"/>
    <x v="346"/>
    <x v="1"/>
    <s v="Georgia"/>
    <s v="Savannah"/>
    <s v="Alex Morgan"/>
    <x v="0"/>
    <x v="2"/>
    <s v="Bookcases"/>
    <s v="Storage Bookcase"/>
    <n v="9"/>
    <n v="454.42"/>
    <n v="0"/>
    <n v="4089.78"/>
    <n v="2699.72"/>
    <n v="1390.06"/>
    <s v="PayPal"/>
  </r>
  <r>
    <s v="ORD-02169"/>
    <x v="346"/>
    <x v="1"/>
    <s v="Texas"/>
    <s v="Dallas"/>
    <s v="Drew Anderson"/>
    <x v="2"/>
    <x v="2"/>
    <s v="Desks"/>
    <s v="Executive Desk"/>
    <n v="3"/>
    <n v="855.1"/>
    <n v="0.15"/>
    <n v="2180.5"/>
    <n v="1360.68"/>
    <n v="819.82"/>
    <s v="Debit Card"/>
  </r>
  <r>
    <s v="ORD-00028"/>
    <x v="346"/>
    <x v="1"/>
    <s v="North Carolina"/>
    <s v="Charlotte"/>
    <s v="Jamie Miller"/>
    <x v="1"/>
    <x v="1"/>
    <s v="Laptops"/>
    <s v="Workstation Laptop"/>
    <n v="9"/>
    <n v="1031.1199999999999"/>
    <n v="0.05"/>
    <n v="8816.08"/>
    <n v="5150.66"/>
    <n v="3665.42"/>
    <s v="Debit Card"/>
  </r>
  <r>
    <s v="ORD-02527"/>
    <x v="346"/>
    <x v="2"/>
    <s v="Vermont"/>
    <s v="Montpelier"/>
    <s v="Jamie Miller"/>
    <x v="0"/>
    <x v="2"/>
    <s v="Chairs"/>
    <s v="Ergonomic Chair"/>
    <n v="5"/>
    <n v="127.41"/>
    <n v="0.05"/>
    <n v="605.20000000000005"/>
    <n v="428.07"/>
    <n v="177.13"/>
    <s v="Credit Card"/>
  </r>
  <r>
    <s v="ORD-01483"/>
    <x v="346"/>
    <x v="1"/>
    <s v="Virginia"/>
    <s v="Arlington"/>
    <s v="Alex Morgan"/>
    <x v="0"/>
    <x v="1"/>
    <s v="Laptops"/>
    <s v="Ultrabook"/>
    <n v="6"/>
    <n v="1472.09"/>
    <n v="0"/>
    <n v="8832.5400000000009"/>
    <n v="5007.3100000000004"/>
    <n v="3825.23"/>
    <s v="PayPal"/>
  </r>
  <r>
    <s v="ORD-02621"/>
    <x v="346"/>
    <x v="3"/>
    <s v="Indiana"/>
    <s v="Fort Wayne"/>
    <s v="Drew Anderson"/>
    <x v="2"/>
    <x v="1"/>
    <s v="Laptops"/>
    <s v="Business Laptop"/>
    <n v="8"/>
    <n v="1744.76"/>
    <n v="0.15"/>
    <n v="11864.37"/>
    <n v="7952.99"/>
    <n v="3911.38"/>
    <s v="PayPal"/>
  </r>
  <r>
    <s v="ORD-01057"/>
    <x v="346"/>
    <x v="0"/>
    <s v="California"/>
    <s v="San Diego"/>
    <s v="Drew Anderson"/>
    <x v="2"/>
    <x v="1"/>
    <s v="Headsets"/>
    <s v="Noise-Canceling Headset"/>
    <n v="9"/>
    <n v="210.75"/>
    <n v="0"/>
    <n v="1896.75"/>
    <n v="1101.48"/>
    <n v="795.27"/>
    <s v="Debit Card"/>
  </r>
  <r>
    <s v="ORD-00269"/>
    <x v="347"/>
    <x v="3"/>
    <s v="Michigan"/>
    <s v="Grand Rapids"/>
    <s v="Riley Wilson"/>
    <x v="0"/>
    <x v="0"/>
    <s v="Pens"/>
    <s v="Gel Pens"/>
    <n v="9"/>
    <n v="12.03"/>
    <n v="0"/>
    <n v="108.27"/>
    <n v="64.099999999999994"/>
    <n v="44.17"/>
    <s v="Bank Transfer"/>
  </r>
  <r>
    <s v="ORD-00577"/>
    <x v="347"/>
    <x v="2"/>
    <s v="New Jersey"/>
    <s v="Trenton"/>
    <s v="Morgan Davis"/>
    <x v="0"/>
    <x v="2"/>
    <s v="Tables"/>
    <s v="Conference Table"/>
    <n v="10"/>
    <n v="533.23"/>
    <n v="0.1"/>
    <n v="4799.07"/>
    <n v="2725.61"/>
    <n v="2073.46"/>
    <s v="Bank Transfer"/>
  </r>
  <r>
    <s v="ORD-02090"/>
    <x v="347"/>
    <x v="2"/>
    <s v="Massachusetts"/>
    <s v="Boston"/>
    <s v="Casey Brown"/>
    <x v="2"/>
    <x v="1"/>
    <s v="Laptops"/>
    <s v="Ultrabook"/>
    <n v="7"/>
    <n v="858.79"/>
    <n v="0.15"/>
    <n v="5109.8"/>
    <n v="3469.4"/>
    <n v="1640.4"/>
    <s v="Bank Transfer"/>
  </r>
  <r>
    <s v="ORD-01017"/>
    <x v="347"/>
    <x v="1"/>
    <s v="Georgia"/>
    <s v="Augusta"/>
    <s v="Cameron Clark"/>
    <x v="2"/>
    <x v="0"/>
    <s v="Pens"/>
    <s v="Fine Tip Pens"/>
    <n v="3"/>
    <n v="17.88"/>
    <n v="0.15"/>
    <n v="45.59"/>
    <n v="36.53"/>
    <n v="9.06"/>
    <s v="PayPal"/>
  </r>
  <r>
    <s v="ORD-01405"/>
    <x v="347"/>
    <x v="1"/>
    <s v="Georgia"/>
    <s v="Atlanta"/>
    <s v="Morgan Davis"/>
    <x v="0"/>
    <x v="2"/>
    <s v="Tables"/>
    <s v="Training Table"/>
    <n v="9"/>
    <n v="441.87"/>
    <n v="0.1"/>
    <n v="3579.15"/>
    <n v="2668.69"/>
    <n v="910.46"/>
    <s v="Credit Card"/>
  </r>
  <r>
    <s v="ORD-02069"/>
    <x v="347"/>
    <x v="1"/>
    <s v="Georgia"/>
    <s v="Atlanta"/>
    <s v="Cameron Clark"/>
    <x v="1"/>
    <x v="2"/>
    <s v="Chairs"/>
    <s v="Ergonomic Chair"/>
    <n v="8"/>
    <n v="324.11"/>
    <n v="0.15"/>
    <n v="2203.9499999999998"/>
    <n v="1608.54"/>
    <n v="595.41"/>
    <s v="Credit Card"/>
  </r>
  <r>
    <s v="ORD-00229"/>
    <x v="347"/>
    <x v="2"/>
    <s v="Vermont"/>
    <s v="Rutland"/>
    <s v="Alex Morgan"/>
    <x v="0"/>
    <x v="2"/>
    <s v="Desks"/>
    <s v="Work Desk"/>
    <n v="5"/>
    <n v="375"/>
    <n v="0"/>
    <n v="1875"/>
    <n v="1041.0999999999999"/>
    <n v="833.9"/>
    <s v="Debit Card"/>
  </r>
  <r>
    <s v="ORD-01116"/>
    <x v="347"/>
    <x v="3"/>
    <s v="Michigan"/>
    <s v="Lansing"/>
    <s v="Taylor Smith"/>
    <x v="0"/>
    <x v="1"/>
    <s v="Headsets"/>
    <s v="USB Headset"/>
    <n v="3"/>
    <n v="62.57"/>
    <n v="0.1"/>
    <n v="168.94"/>
    <n v="119.16"/>
    <n v="49.78"/>
    <s v="Debit Card"/>
  </r>
  <r>
    <s v="ORD-02373"/>
    <x v="347"/>
    <x v="0"/>
    <s v="Colorado"/>
    <s v="Colorado Springs"/>
    <s v="Alex Morgan"/>
    <x v="0"/>
    <x v="1"/>
    <s v="Monitors"/>
    <s v="24in Monitor"/>
    <n v="4"/>
    <n v="400.73"/>
    <n v="0.05"/>
    <n v="1522.77"/>
    <n v="1234.6500000000001"/>
    <n v="288.12"/>
    <s v="PayPal"/>
  </r>
  <r>
    <s v="ORD-01029"/>
    <x v="347"/>
    <x v="2"/>
    <s v="New Jersey"/>
    <s v="Jersey City"/>
    <s v="Alex Morgan"/>
    <x v="2"/>
    <x v="1"/>
    <s v="Keyboards"/>
    <s v="Mechanical Keyboard"/>
    <n v="1"/>
    <n v="37.979999999999997"/>
    <n v="0"/>
    <n v="37.979999999999997"/>
    <n v="24.49"/>
    <n v="13.49"/>
    <s v="Credit Card"/>
  </r>
  <r>
    <s v="ORD-01117"/>
    <x v="347"/>
    <x v="3"/>
    <s v="Ohio"/>
    <s v="Cleveland"/>
    <s v="Taylor Smith"/>
    <x v="1"/>
    <x v="1"/>
    <s v="Laptops"/>
    <s v="Ultrabook"/>
    <n v="9"/>
    <n v="927.91"/>
    <n v="0.15"/>
    <n v="7098.51"/>
    <n v="4316.54"/>
    <n v="2781.97"/>
    <s v="Bank Transfer"/>
  </r>
  <r>
    <s v="ORD-01786"/>
    <x v="348"/>
    <x v="0"/>
    <s v="Arizona"/>
    <s v="Mesa"/>
    <s v="Taylor Smith"/>
    <x v="2"/>
    <x v="1"/>
    <s v="Keyboards"/>
    <s v="Mechanical Keyboard"/>
    <n v="9"/>
    <n v="53.66"/>
    <n v="0.05"/>
    <n v="458.79"/>
    <n v="253.18"/>
    <n v="205.61"/>
    <s v="PayPal"/>
  </r>
  <r>
    <s v="ORD-02714"/>
    <x v="348"/>
    <x v="0"/>
    <s v="California"/>
    <s v="San Diego"/>
    <s v="Riley Wilson"/>
    <x v="2"/>
    <x v="1"/>
    <s v="Headsets"/>
    <s v="Noise-Canceling Headset"/>
    <n v="5"/>
    <n v="167.82"/>
    <n v="0.15"/>
    <n v="713.23"/>
    <n v="566.6"/>
    <n v="146.63"/>
    <s v="Debit Card"/>
  </r>
  <r>
    <s v="ORD-02320"/>
    <x v="348"/>
    <x v="3"/>
    <s v="Indiana"/>
    <s v="Evansville"/>
    <s v="Cameron Clark"/>
    <x v="0"/>
    <x v="0"/>
    <s v="Printers"/>
    <s v="Color Printer"/>
    <n v="9"/>
    <n v="391.99"/>
    <n v="0.05"/>
    <n v="3351.51"/>
    <n v="2211.2199999999998"/>
    <n v="1140.29"/>
    <s v="Bank Transfer"/>
  </r>
  <r>
    <s v="ORD-01755"/>
    <x v="348"/>
    <x v="2"/>
    <s v="Pennsylvania"/>
    <s v="Pittsburgh"/>
    <s v="Alex Morgan"/>
    <x v="2"/>
    <x v="2"/>
    <s v="Bookcases"/>
    <s v="3-Shelf Bookcase"/>
    <n v="8"/>
    <n v="476.91"/>
    <n v="0"/>
    <n v="3815.28"/>
    <n v="2368.11"/>
    <n v="1447.17"/>
    <s v="Credit Card"/>
  </r>
  <r>
    <s v="ORD-02308"/>
    <x v="348"/>
    <x v="0"/>
    <s v="Washington"/>
    <s v="Spokane"/>
    <s v="Jamie Miller"/>
    <x v="0"/>
    <x v="1"/>
    <s v="Laptops"/>
    <s v="Business Laptop"/>
    <n v="10"/>
    <n v="1260.49"/>
    <n v="0.05"/>
    <n v="11974.66"/>
    <n v="6988.02"/>
    <n v="4986.6400000000003"/>
    <s v="PayPal"/>
  </r>
  <r>
    <s v="ORD-00439"/>
    <x v="348"/>
    <x v="3"/>
    <s v="Indiana"/>
    <s v="Indianapolis"/>
    <s v="Taylor Smith"/>
    <x v="2"/>
    <x v="0"/>
    <s v="Printers"/>
    <s v="All-in-One Printer"/>
    <n v="9"/>
    <n v="491.93"/>
    <n v="0.1"/>
    <n v="3984.63"/>
    <n v="2471.5"/>
    <n v="1513.13"/>
    <s v="Credit Card"/>
  </r>
  <r>
    <s v="ORD-01625"/>
    <x v="348"/>
    <x v="1"/>
    <s v="North Carolina"/>
    <s v="Raleigh"/>
    <s v="Alex Morgan"/>
    <x v="2"/>
    <x v="1"/>
    <s v="Laptops"/>
    <s v="Workstation Laptop"/>
    <n v="6"/>
    <n v="867.96"/>
    <n v="0.1"/>
    <n v="4686.9799999999996"/>
    <n v="2629.88"/>
    <n v="2057.1"/>
    <s v="PayPal"/>
  </r>
  <r>
    <s v="ORD-00891"/>
    <x v="348"/>
    <x v="3"/>
    <s v="Michigan"/>
    <s v="Grand Rapids"/>
    <s v="Avery Johnson"/>
    <x v="1"/>
    <x v="1"/>
    <s v="Laptops"/>
    <s v="Business Laptop"/>
    <n v="1"/>
    <n v="1501.17"/>
    <n v="0.05"/>
    <n v="1426.11"/>
    <n v="986.24"/>
    <n v="439.87"/>
    <s v="Debit Card"/>
  </r>
  <r>
    <s v="ORD-01798"/>
    <x v="348"/>
    <x v="1"/>
    <s v="North Carolina"/>
    <s v="Raleigh"/>
    <s v="Avery Johnson"/>
    <x v="1"/>
    <x v="0"/>
    <s v="Printers"/>
    <s v="All-in-One Printer"/>
    <n v="4"/>
    <n v="258.87"/>
    <n v="0.1"/>
    <n v="931.93"/>
    <n v="688.19"/>
    <n v="243.74"/>
    <s v="PayPal"/>
  </r>
  <r>
    <s v="ORD-00838"/>
    <x v="349"/>
    <x v="2"/>
    <s v="Vermont"/>
    <s v="Montpelier"/>
    <s v="Cameron Clark"/>
    <x v="1"/>
    <x v="1"/>
    <s v="Headsets"/>
    <s v="Noise-Canceling Headset"/>
    <n v="1"/>
    <n v="188.91"/>
    <n v="0.1"/>
    <n v="170.02"/>
    <n v="135.32"/>
    <n v="34.700000000000003"/>
    <s v="Debit Card"/>
  </r>
  <r>
    <s v="ORD-01395"/>
    <x v="349"/>
    <x v="2"/>
    <s v="Massachusetts"/>
    <s v="Worcester"/>
    <s v="Riley Wilson"/>
    <x v="0"/>
    <x v="1"/>
    <s v="Laptops"/>
    <s v="Business Laptop"/>
    <n v="9"/>
    <n v="611.87"/>
    <n v="0"/>
    <n v="5506.83"/>
    <n v="4513.82"/>
    <n v="993.01"/>
    <s v="Credit Card"/>
  </r>
  <r>
    <s v="ORD-02330"/>
    <x v="349"/>
    <x v="1"/>
    <s v="North Carolina"/>
    <s v="Charlotte"/>
    <s v="Riley Wilson"/>
    <x v="1"/>
    <x v="1"/>
    <s v="Headsets"/>
    <s v="Noise-Canceling Headset"/>
    <n v="3"/>
    <n v="207.64"/>
    <n v="0"/>
    <n v="622.91999999999996"/>
    <n v="387.65"/>
    <n v="235.27"/>
    <s v="Debit Card"/>
  </r>
  <r>
    <s v="ORD-01715"/>
    <x v="349"/>
    <x v="1"/>
    <s v="Virginia"/>
    <s v="Arlington"/>
    <s v="Drew Anderson"/>
    <x v="2"/>
    <x v="1"/>
    <s v="Laptops"/>
    <s v="Ultrabook"/>
    <n v="10"/>
    <n v="1524.01"/>
    <n v="0.05"/>
    <n v="14478.1"/>
    <n v="9844.7900000000009"/>
    <n v="4633.3100000000004"/>
    <s v="PayPal"/>
  </r>
  <r>
    <s v="ORD-01033"/>
    <x v="349"/>
    <x v="2"/>
    <s v="New Jersey"/>
    <s v="Jersey City"/>
    <s v="Taylor Smith"/>
    <x v="1"/>
    <x v="1"/>
    <s v="Keyboards"/>
    <s v="Mechanical Keyboard"/>
    <n v="4"/>
    <n v="75.33"/>
    <n v="0.1"/>
    <n v="271.19"/>
    <n v="199.82"/>
    <n v="71.37"/>
    <s v="Debit Card"/>
  </r>
  <r>
    <s v="ORD-02467"/>
    <x v="350"/>
    <x v="0"/>
    <s v="Colorado"/>
    <s v="Colorado Springs"/>
    <s v="Avery Johnson"/>
    <x v="2"/>
    <x v="0"/>
    <s v="Printers"/>
    <s v="All-in-One Printer"/>
    <n v="3"/>
    <n v="500.42"/>
    <n v="0"/>
    <n v="1501.26"/>
    <n v="1115.1099999999999"/>
    <n v="386.15"/>
    <s v="PayPal"/>
  </r>
  <r>
    <s v="ORD-02888"/>
    <x v="350"/>
    <x v="1"/>
    <s v="Florida"/>
    <s v="Orlando"/>
    <s v="Drew Anderson"/>
    <x v="2"/>
    <x v="0"/>
    <s v="Binders"/>
    <s v="Presentation Binder"/>
    <n v="8"/>
    <n v="17.64"/>
    <n v="0.05"/>
    <n v="134.06"/>
    <n v="88.05"/>
    <n v="46.01"/>
    <s v="PayPal"/>
  </r>
  <r>
    <s v="ORD-00962"/>
    <x v="350"/>
    <x v="2"/>
    <s v="Vermont"/>
    <s v="Rutland"/>
    <s v="Taylor Smith"/>
    <x v="0"/>
    <x v="0"/>
    <s v="Binders"/>
    <s v="3-Ring Binder"/>
    <n v="7"/>
    <n v="7.35"/>
    <n v="0"/>
    <n v="51.45"/>
    <n v="33.07"/>
    <n v="18.38"/>
    <s v="Bank Transfer"/>
  </r>
  <r>
    <s v="ORD-01793"/>
    <x v="350"/>
    <x v="3"/>
    <s v="Illinois"/>
    <s v="Peoria"/>
    <s v="Jordan Lee"/>
    <x v="2"/>
    <x v="1"/>
    <s v="Headsets"/>
    <s v="Noise-Canceling Headset"/>
    <n v="5"/>
    <n v="168.31"/>
    <n v="0.15"/>
    <n v="715.32"/>
    <n v="511.4"/>
    <n v="203.92"/>
    <s v="PayPal"/>
  </r>
  <r>
    <s v="ORD-02892"/>
    <x v="350"/>
    <x v="3"/>
    <s v="Illinois"/>
    <s v="Peoria"/>
    <s v="Casey Brown"/>
    <x v="1"/>
    <x v="1"/>
    <s v="Headsets"/>
    <s v="USB Headset"/>
    <n v="3"/>
    <n v="140.25"/>
    <n v="0"/>
    <n v="420.75"/>
    <n v="239.58"/>
    <n v="181.17"/>
    <s v="Bank Transfer"/>
  </r>
  <r>
    <s v="ORD-00465"/>
    <x v="350"/>
    <x v="0"/>
    <s v="Oregon"/>
    <s v="Eugene"/>
    <s v="Jamie Miller"/>
    <x v="1"/>
    <x v="1"/>
    <s v="Keyboards"/>
    <s v="Wireless Keyboard"/>
    <n v="10"/>
    <n v="119.57"/>
    <n v="0"/>
    <n v="1195.7"/>
    <n v="673.4"/>
    <n v="522.29999999999995"/>
    <s v="PayPal"/>
  </r>
  <r>
    <s v="ORD-01584"/>
    <x v="350"/>
    <x v="0"/>
    <s v="Oregon"/>
    <s v="Eugene"/>
    <s v="Avery Johnson"/>
    <x v="2"/>
    <x v="1"/>
    <s v="Keyboards"/>
    <s v="Ergonomic Keyboard"/>
    <n v="9"/>
    <n v="152.97999999999999"/>
    <n v="0"/>
    <n v="1376.82"/>
    <n v="784.16"/>
    <n v="592.66"/>
    <s v="Debit Card"/>
  </r>
  <r>
    <s v="ORD-00563"/>
    <x v="350"/>
    <x v="3"/>
    <s v="Indiana"/>
    <s v="Evansville"/>
    <s v="Jamie Miller"/>
    <x v="2"/>
    <x v="1"/>
    <s v="Headsets"/>
    <s v="Wireless Headset"/>
    <n v="7"/>
    <n v="232.58"/>
    <n v="0.15"/>
    <n v="1383.85"/>
    <n v="1083"/>
    <n v="300.85000000000002"/>
    <s v="PayPal"/>
  </r>
  <r>
    <s v="ORD-02619"/>
    <x v="350"/>
    <x v="3"/>
    <s v="Michigan"/>
    <s v="Grand Rapids"/>
    <s v="Taylor Smith"/>
    <x v="0"/>
    <x v="0"/>
    <s v="Printers"/>
    <s v="Color Printer"/>
    <n v="4"/>
    <n v="314.86"/>
    <n v="0"/>
    <n v="1259.44"/>
    <n v="1014.96"/>
    <n v="244.48"/>
    <s v="Credit Card"/>
  </r>
  <r>
    <s v="ORD-02872"/>
    <x v="351"/>
    <x v="1"/>
    <s v="Florida"/>
    <s v="Miami"/>
    <s v="Riley Wilson"/>
    <x v="1"/>
    <x v="0"/>
    <s v="Binders"/>
    <s v="Heavy-Duty Binder"/>
    <n v="9"/>
    <n v="9.09"/>
    <n v="0.05"/>
    <n v="77.72"/>
    <n v="49.03"/>
    <n v="28.69"/>
    <s v="Bank Transfer"/>
  </r>
  <r>
    <s v="ORD-01030"/>
    <x v="351"/>
    <x v="2"/>
    <s v="Pennsylvania"/>
    <s v="Allentown"/>
    <s v="Jamie Miller"/>
    <x v="1"/>
    <x v="2"/>
    <s v="Bookcases"/>
    <s v="Storage Bookcase"/>
    <n v="2"/>
    <n v="462.06"/>
    <n v="0.2"/>
    <n v="739.3"/>
    <n v="477.42"/>
    <n v="261.88"/>
    <s v="Debit Card"/>
  </r>
  <r>
    <s v="ORD-00265"/>
    <x v="351"/>
    <x v="3"/>
    <s v="Michigan"/>
    <s v="Lansing"/>
    <s v="Alex Morgan"/>
    <x v="1"/>
    <x v="0"/>
    <s v="Pens"/>
    <s v="Fine Tip Pens"/>
    <n v="2"/>
    <n v="14.54"/>
    <n v="0.1"/>
    <n v="26.17"/>
    <n v="20.329999999999998"/>
    <n v="5.84"/>
    <s v="Credit Card"/>
  </r>
  <r>
    <s v="ORD-00601"/>
    <x v="351"/>
    <x v="2"/>
    <s v="Vermont"/>
    <s v="Montpelier"/>
    <s v="Jamie Miller"/>
    <x v="2"/>
    <x v="0"/>
    <s v="Paper"/>
    <s v="Copy Paper"/>
    <n v="8"/>
    <n v="25.41"/>
    <n v="0.15"/>
    <n v="172.79"/>
    <n v="140.49"/>
    <n v="32.299999999999997"/>
    <s v="PayPal"/>
  </r>
  <r>
    <s v="ORD-01506"/>
    <x v="351"/>
    <x v="3"/>
    <s v="Michigan"/>
    <s v="Detroit"/>
    <s v="Taylor Smith"/>
    <x v="2"/>
    <x v="1"/>
    <s v="Monitors"/>
    <s v="24in Monitor"/>
    <n v="3"/>
    <n v="335.52"/>
    <n v="0.1"/>
    <n v="905.9"/>
    <n v="560.08000000000004"/>
    <n v="345.82"/>
    <s v="Bank Transfer"/>
  </r>
  <r>
    <s v="ORD-02368"/>
    <x v="351"/>
    <x v="2"/>
    <s v="Vermont"/>
    <s v="Montpelier"/>
    <s v="Alex Morgan"/>
    <x v="0"/>
    <x v="1"/>
    <s v="Keyboards"/>
    <s v="Ergonomic Keyboard"/>
    <n v="5"/>
    <n v="85.07"/>
    <n v="0.05"/>
    <n v="404.08"/>
    <n v="314.58999999999997"/>
    <n v="89.49"/>
    <s v="Bank Transfer"/>
  </r>
  <r>
    <s v="ORD-00258"/>
    <x v="351"/>
    <x v="1"/>
    <s v="Virginia"/>
    <s v="Norfolk"/>
    <s v="Drew Anderson"/>
    <x v="2"/>
    <x v="1"/>
    <s v="Keyboards"/>
    <s v="Ergonomic Keyboard"/>
    <n v="2"/>
    <n v="144.99"/>
    <n v="0.1"/>
    <n v="260.98"/>
    <n v="207.11"/>
    <n v="53.87"/>
    <s v="Credit Card"/>
  </r>
  <r>
    <s v="ORD-02209"/>
    <x v="351"/>
    <x v="1"/>
    <s v="Georgia"/>
    <s v="Atlanta"/>
    <s v="Drew Anderson"/>
    <x v="2"/>
    <x v="1"/>
    <s v="Keyboards"/>
    <s v="Mechanical Keyboard"/>
    <n v="8"/>
    <n v="99.32"/>
    <n v="0.2"/>
    <n v="635.65"/>
    <n v="438.49"/>
    <n v="197.16"/>
    <s v="PayPal"/>
  </r>
  <r>
    <s v="ORD-01803"/>
    <x v="351"/>
    <x v="3"/>
    <s v="Indiana"/>
    <s v="Evansville"/>
    <s v="Morgan Davis"/>
    <x v="0"/>
    <x v="0"/>
    <s v="Printers"/>
    <s v="All-in-One Printer"/>
    <n v="7"/>
    <n v="355.77"/>
    <n v="0.1"/>
    <n v="2241.35"/>
    <n v="1426.93"/>
    <n v="814.42"/>
    <s v="Bank Transfer"/>
  </r>
  <r>
    <s v="ORD-02953"/>
    <x v="352"/>
    <x v="1"/>
    <s v="Georgia"/>
    <s v="Augusta"/>
    <s v="Avery Johnson"/>
    <x v="1"/>
    <x v="2"/>
    <s v="Bookcases"/>
    <s v="3-Shelf Bookcase"/>
    <n v="8"/>
    <n v="344.56"/>
    <n v="0"/>
    <n v="2756.48"/>
    <n v="1611.3"/>
    <n v="1145.18"/>
    <s v="Bank Transfer"/>
  </r>
  <r>
    <s v="ORD-01936"/>
    <x v="352"/>
    <x v="0"/>
    <s v="Colorado"/>
    <s v="Denver"/>
    <s v="Morgan Davis"/>
    <x v="2"/>
    <x v="0"/>
    <s v="Pens"/>
    <s v="Ballpoint Pens"/>
    <n v="2"/>
    <n v="16.48"/>
    <n v="0.05"/>
    <n v="31.31"/>
    <n v="22.42"/>
    <n v="8.89"/>
    <s v="PayPal"/>
  </r>
  <r>
    <s v="ORD-00304"/>
    <x v="352"/>
    <x v="1"/>
    <s v="Georgia"/>
    <s v="Savannah"/>
    <s v="Morgan Davis"/>
    <x v="1"/>
    <x v="1"/>
    <s v="Laptops"/>
    <s v="Ultrabook"/>
    <n v="10"/>
    <n v="1638"/>
    <n v="0.05"/>
    <n v="15561"/>
    <n v="12126.07"/>
    <n v="3434.93"/>
    <s v="Bank Transfer"/>
  </r>
  <r>
    <s v="ORD-00087"/>
    <x v="352"/>
    <x v="1"/>
    <s v="Florida"/>
    <s v="Tampa"/>
    <s v="Jordan Lee"/>
    <x v="2"/>
    <x v="2"/>
    <s v="Bookcases"/>
    <s v="Storage Bookcase"/>
    <n v="5"/>
    <n v="395.83"/>
    <n v="0.05"/>
    <n v="1880.19"/>
    <n v="1298.74"/>
    <n v="581.45000000000005"/>
    <s v="Credit Card"/>
  </r>
  <r>
    <s v="ORD-01780"/>
    <x v="352"/>
    <x v="0"/>
    <s v="Arizona"/>
    <s v="Tucson"/>
    <s v="Casey Brown"/>
    <x v="0"/>
    <x v="1"/>
    <s v="Headsets"/>
    <s v="Noise-Canceling Headset"/>
    <n v="3"/>
    <n v="169.8"/>
    <n v="0.1"/>
    <n v="458.46"/>
    <n v="268.60000000000002"/>
    <n v="189.86"/>
    <s v="Bank Transfer"/>
  </r>
  <r>
    <s v="ORD-02136"/>
    <x v="352"/>
    <x v="2"/>
    <s v="Pennsylvania"/>
    <s v="Allentown"/>
    <s v="Casey Brown"/>
    <x v="0"/>
    <x v="1"/>
    <s v="Headsets"/>
    <s v="Noise-Canceling Headset"/>
    <n v="7"/>
    <n v="181.18"/>
    <n v="0.1"/>
    <n v="1141.43"/>
    <n v="853.48"/>
    <n v="287.95"/>
    <s v="PayPal"/>
  </r>
  <r>
    <s v="ORD-01095"/>
    <x v="352"/>
    <x v="1"/>
    <s v="Texas"/>
    <s v="Houston"/>
    <s v="Morgan Davis"/>
    <x v="0"/>
    <x v="0"/>
    <s v="Binders"/>
    <s v="Heavy-Duty Binder"/>
    <n v="10"/>
    <n v="15.54"/>
    <n v="0.15"/>
    <n v="132.09"/>
    <n v="102.42"/>
    <n v="29.67"/>
    <s v="PayPal"/>
  </r>
  <r>
    <s v="ORD-00996"/>
    <x v="352"/>
    <x v="2"/>
    <s v="Pennsylvania"/>
    <s v="Philadelphia"/>
    <s v="Casey Brown"/>
    <x v="0"/>
    <x v="1"/>
    <s v="Monitors"/>
    <s v="27in Monitor"/>
    <n v="10"/>
    <n v="175.72"/>
    <n v="0.1"/>
    <n v="1581.48"/>
    <n v="910.74"/>
    <n v="670.74"/>
    <s v="Credit Card"/>
  </r>
  <r>
    <s v="ORD-02078"/>
    <x v="352"/>
    <x v="3"/>
    <s v="Ohio"/>
    <s v="Cincinnati"/>
    <s v="Morgan Davis"/>
    <x v="0"/>
    <x v="2"/>
    <s v="Bookcases"/>
    <s v="Storage Bookcase"/>
    <n v="7"/>
    <n v="472.85"/>
    <n v="0.1"/>
    <n v="2978.96"/>
    <n v="2156.0100000000002"/>
    <n v="822.95"/>
    <s v="Bank Transfer"/>
  </r>
  <r>
    <s v="ORD-00774"/>
    <x v="352"/>
    <x v="0"/>
    <s v="Colorado"/>
    <s v="Denver"/>
    <s v="Morgan Davis"/>
    <x v="0"/>
    <x v="0"/>
    <s v="Pens"/>
    <s v="Ballpoint Pens"/>
    <n v="6"/>
    <n v="8.4"/>
    <n v="0.05"/>
    <n v="47.88"/>
    <n v="38.369999999999997"/>
    <n v="9.51"/>
    <s v="Debit Card"/>
  </r>
  <r>
    <s v="ORD-02227"/>
    <x v="353"/>
    <x v="3"/>
    <s v="Illinois"/>
    <s v="Peoria"/>
    <s v="Taylor Smith"/>
    <x v="0"/>
    <x v="1"/>
    <s v="Keyboards"/>
    <s v="Wireless Keyboard"/>
    <n v="8"/>
    <n v="99.18"/>
    <n v="0.05"/>
    <n v="753.77"/>
    <n v="567.11"/>
    <n v="186.66"/>
    <s v="Bank Transfer"/>
  </r>
  <r>
    <s v="ORD-02653"/>
    <x v="353"/>
    <x v="0"/>
    <s v="California"/>
    <s v="San Diego"/>
    <s v="Drew Anderson"/>
    <x v="2"/>
    <x v="0"/>
    <s v="Pens"/>
    <s v="Fine Tip Pens"/>
    <n v="10"/>
    <n v="18.86"/>
    <n v="0.05"/>
    <n v="179.17"/>
    <n v="99.66"/>
    <n v="79.510000000000005"/>
    <s v="PayPal"/>
  </r>
  <r>
    <s v="ORD-01445"/>
    <x v="353"/>
    <x v="3"/>
    <s v="Michigan"/>
    <s v="Detroit"/>
    <s v="Taylor Smith"/>
    <x v="2"/>
    <x v="0"/>
    <s v="Pens"/>
    <s v="Gel Pens"/>
    <n v="2"/>
    <n v="19.28"/>
    <n v="0.1"/>
    <n v="34.700000000000003"/>
    <n v="24.97"/>
    <n v="9.73"/>
    <s v="Debit Card"/>
  </r>
  <r>
    <s v="ORD-00486"/>
    <x v="353"/>
    <x v="1"/>
    <s v="North Carolina"/>
    <s v="Raleigh"/>
    <s v="Alex Morgan"/>
    <x v="0"/>
    <x v="1"/>
    <s v="Headsets"/>
    <s v="Wireless Headset"/>
    <n v="6"/>
    <n v="52.42"/>
    <n v="0"/>
    <n v="314.52"/>
    <n v="255.51"/>
    <n v="59.01"/>
    <s v="Debit Card"/>
  </r>
  <r>
    <s v="ORD-02396"/>
    <x v="353"/>
    <x v="0"/>
    <s v="Oregon"/>
    <s v="Portland"/>
    <s v="Riley Wilson"/>
    <x v="0"/>
    <x v="1"/>
    <s v="Monitors"/>
    <s v="27in Monitor"/>
    <n v="6"/>
    <n v="362.41"/>
    <n v="0.05"/>
    <n v="2065.7399999999998"/>
    <n v="1495.8"/>
    <n v="569.94000000000005"/>
    <s v="Debit Card"/>
  </r>
  <r>
    <s v="ORD-01103"/>
    <x v="353"/>
    <x v="0"/>
    <s v="Colorado"/>
    <s v="Colorado Springs"/>
    <s v="Riley Wilson"/>
    <x v="0"/>
    <x v="1"/>
    <s v="Headsets"/>
    <s v="Wireless Headset"/>
    <n v="7"/>
    <n v="78.39"/>
    <n v="0.1"/>
    <n v="493.86"/>
    <n v="389.35"/>
    <n v="104.51"/>
    <s v="PayPal"/>
  </r>
  <r>
    <s v="ORD-02150"/>
    <x v="354"/>
    <x v="3"/>
    <s v="Indiana"/>
    <s v="Indianapolis"/>
    <s v="Taylor Smith"/>
    <x v="1"/>
    <x v="2"/>
    <s v="Chairs"/>
    <s v="Task Chair"/>
    <n v="9"/>
    <n v="494.12"/>
    <n v="0.1"/>
    <n v="4002.37"/>
    <n v="2945.49"/>
    <n v="1056.8800000000001"/>
    <s v="Credit Card"/>
  </r>
  <r>
    <s v="ORD-00315"/>
    <x v="354"/>
    <x v="3"/>
    <s v="Minnesota"/>
    <s v="Rochester"/>
    <s v="Taylor Smith"/>
    <x v="2"/>
    <x v="1"/>
    <s v="Headsets"/>
    <s v="Wireless Headset"/>
    <n v="9"/>
    <n v="154.4"/>
    <n v="0"/>
    <n v="1389.6"/>
    <n v="1059.75"/>
    <n v="329.85"/>
    <s v="Credit Card"/>
  </r>
  <r>
    <s v="ORD-02365"/>
    <x v="354"/>
    <x v="0"/>
    <s v="Washington"/>
    <s v="Tacoma"/>
    <s v="Jamie Miller"/>
    <x v="2"/>
    <x v="2"/>
    <s v="Bookcases"/>
    <s v="Storage Bookcase"/>
    <n v="9"/>
    <n v="194.87"/>
    <n v="0"/>
    <n v="1753.83"/>
    <n v="1075.8499999999999"/>
    <n v="677.98"/>
    <s v="Debit Card"/>
  </r>
  <r>
    <s v="ORD-02830"/>
    <x v="354"/>
    <x v="2"/>
    <s v="New Jersey"/>
    <s v="Newark"/>
    <s v="Cameron Clark"/>
    <x v="1"/>
    <x v="1"/>
    <s v="Headsets"/>
    <s v="Wireless Headset"/>
    <n v="3"/>
    <n v="241.98"/>
    <n v="0"/>
    <n v="725.94"/>
    <n v="500.52"/>
    <n v="225.42"/>
    <s v="Bank Transfer"/>
  </r>
  <r>
    <s v="ORD-02549"/>
    <x v="354"/>
    <x v="1"/>
    <s v="Georgia"/>
    <s v="Savannah"/>
    <s v="Morgan Davis"/>
    <x v="2"/>
    <x v="0"/>
    <s v="Paper"/>
    <s v="Copy Paper"/>
    <n v="7"/>
    <n v="21.69"/>
    <n v="0.15"/>
    <n v="129.06"/>
    <n v="93.68"/>
    <n v="35.380000000000003"/>
    <s v="PayPal"/>
  </r>
  <r>
    <s v="ORD-02675"/>
    <x v="354"/>
    <x v="3"/>
    <s v="Illinois"/>
    <s v="Peoria"/>
    <s v="Jordan Lee"/>
    <x v="0"/>
    <x v="0"/>
    <s v="Printers"/>
    <s v="Color Printer"/>
    <n v="3"/>
    <n v="526.38"/>
    <n v="0"/>
    <n v="1579.14"/>
    <n v="958.81"/>
    <n v="620.33000000000004"/>
    <s v="Bank Transfer"/>
  </r>
  <r>
    <s v="ORD-01063"/>
    <x v="354"/>
    <x v="3"/>
    <s v="Ohio"/>
    <s v="Cincinnati"/>
    <s v="Avery Johnson"/>
    <x v="0"/>
    <x v="2"/>
    <s v="Desks"/>
    <s v="Work Desk"/>
    <n v="2"/>
    <n v="424.01"/>
    <n v="0.1"/>
    <n v="763.22"/>
    <n v="505.5"/>
    <n v="257.72000000000003"/>
    <s v="PayPal"/>
  </r>
  <r>
    <s v="ORD-01009"/>
    <x v="354"/>
    <x v="0"/>
    <s v="Colorado"/>
    <s v="Denver"/>
    <s v="Riley Wilson"/>
    <x v="1"/>
    <x v="0"/>
    <s v="Binders"/>
    <s v="Heavy-Duty Binder"/>
    <n v="2"/>
    <n v="28.77"/>
    <n v="0"/>
    <n v="57.54"/>
    <n v="33.69"/>
    <n v="23.85"/>
    <s v="Bank Transfer"/>
  </r>
  <r>
    <s v="ORD-02852"/>
    <x v="354"/>
    <x v="3"/>
    <s v="Michigan"/>
    <s v="Grand Rapids"/>
    <s v="Drew Anderson"/>
    <x v="0"/>
    <x v="1"/>
    <s v="Laptops"/>
    <s v="Ultrabook"/>
    <n v="1"/>
    <n v="701.58"/>
    <n v="0"/>
    <n v="701.58"/>
    <n v="492.64"/>
    <n v="208.94"/>
    <s v="Debit Card"/>
  </r>
  <r>
    <s v="ORD-02310"/>
    <x v="354"/>
    <x v="3"/>
    <s v="Michigan"/>
    <s v="Grand Rapids"/>
    <s v="Taylor Smith"/>
    <x v="0"/>
    <x v="2"/>
    <s v="Tables"/>
    <s v="Side Table"/>
    <n v="1"/>
    <n v="779.39"/>
    <n v="0.1"/>
    <n v="701.45"/>
    <n v="501.11"/>
    <n v="200.34"/>
    <s v="Debit Card"/>
  </r>
  <r>
    <s v="ORD-01923"/>
    <x v="354"/>
    <x v="0"/>
    <s v="Oregon"/>
    <s v="Eugene"/>
    <s v="Riley Wilson"/>
    <x v="2"/>
    <x v="2"/>
    <s v="Bookcases"/>
    <s v="3-Shelf Bookcase"/>
    <n v="8"/>
    <n v="359.78"/>
    <n v="0.05"/>
    <n v="2734.33"/>
    <n v="1857.15"/>
    <n v="877.18"/>
    <s v="Credit Card"/>
  </r>
  <r>
    <s v="ORD-00285"/>
    <x v="355"/>
    <x v="1"/>
    <s v="Virginia"/>
    <s v="Arlington"/>
    <s v="Avery Johnson"/>
    <x v="1"/>
    <x v="0"/>
    <s v="Printers"/>
    <s v="Color Printer"/>
    <n v="1"/>
    <n v="566.25"/>
    <n v="0.1"/>
    <n v="509.62"/>
    <n v="317.74"/>
    <n v="191.88"/>
    <s v="PayPal"/>
  </r>
  <r>
    <s v="ORD-02957"/>
    <x v="355"/>
    <x v="2"/>
    <s v="New Jersey"/>
    <s v="Trenton"/>
    <s v="Cameron Clark"/>
    <x v="2"/>
    <x v="1"/>
    <s v="Monitors"/>
    <s v="34in Monitor"/>
    <n v="6"/>
    <n v="607.45000000000005"/>
    <n v="0.05"/>
    <n v="3462.46"/>
    <n v="2683.68"/>
    <n v="778.78"/>
    <s v="Debit Card"/>
  </r>
  <r>
    <s v="ORD-00251"/>
    <x v="355"/>
    <x v="1"/>
    <s v="Florida"/>
    <s v="Miami"/>
    <s v="Taylor Smith"/>
    <x v="0"/>
    <x v="0"/>
    <s v="Paper"/>
    <s v="Recycled Paper"/>
    <n v="10"/>
    <n v="21.22"/>
    <n v="0"/>
    <n v="212.2"/>
    <n v="167.32"/>
    <n v="44.88"/>
    <s v="PayPal"/>
  </r>
  <r>
    <s v="ORD-01516"/>
    <x v="355"/>
    <x v="1"/>
    <s v="Florida"/>
    <s v="Miami"/>
    <s v="Jordan Lee"/>
    <x v="0"/>
    <x v="1"/>
    <s v="Monitors"/>
    <s v="27in Monitor"/>
    <n v="3"/>
    <n v="644.39"/>
    <n v="0"/>
    <n v="1933.17"/>
    <n v="1488.59"/>
    <n v="444.58"/>
    <s v="Credit Card"/>
  </r>
  <r>
    <s v="ORD-01863"/>
    <x v="355"/>
    <x v="3"/>
    <s v="Michigan"/>
    <s v="Lansing"/>
    <s v="Avery Johnson"/>
    <x v="0"/>
    <x v="2"/>
    <s v="Desks"/>
    <s v="Work Desk"/>
    <n v="6"/>
    <n v="577.80999999999995"/>
    <n v="0.1"/>
    <n v="3120.17"/>
    <n v="2271.9699999999998"/>
    <n v="848.2"/>
    <s v="Debit Card"/>
  </r>
  <r>
    <s v="ORD-02291"/>
    <x v="356"/>
    <x v="1"/>
    <s v="Florida"/>
    <s v="Tampa"/>
    <s v="Taylor Smith"/>
    <x v="2"/>
    <x v="1"/>
    <s v="Keyboards"/>
    <s v="Wireless Keyboard"/>
    <n v="9"/>
    <n v="146.54"/>
    <n v="0.05"/>
    <n v="1252.92"/>
    <n v="917.7"/>
    <n v="335.22"/>
    <s v="Bank Transfer"/>
  </r>
  <r>
    <s v="ORD-01246"/>
    <x v="356"/>
    <x v="0"/>
    <s v="Arizona"/>
    <s v="Phoenix"/>
    <s v="Drew Anderson"/>
    <x v="0"/>
    <x v="0"/>
    <s v="Paper"/>
    <s v="Premium Paper"/>
    <n v="6"/>
    <n v="20.75"/>
    <n v="0.05"/>
    <n v="118.28"/>
    <n v="90.58"/>
    <n v="27.7"/>
    <s v="Debit Card"/>
  </r>
  <r>
    <s v="ORD-02404"/>
    <x v="356"/>
    <x v="2"/>
    <s v="Pennsylvania"/>
    <s v="Allentown"/>
    <s v="Casey Brown"/>
    <x v="0"/>
    <x v="0"/>
    <s v="Pens"/>
    <s v="Gel Pens"/>
    <n v="2"/>
    <n v="9.43"/>
    <n v="0"/>
    <n v="18.86"/>
    <n v="11.89"/>
    <n v="6.97"/>
    <s v="Bank Transfer"/>
  </r>
  <r>
    <s v="ORD-01096"/>
    <x v="356"/>
    <x v="1"/>
    <s v="Texas"/>
    <s v="Dallas"/>
    <s v="Avery Johnson"/>
    <x v="0"/>
    <x v="0"/>
    <s v="Paper"/>
    <s v="Copy Paper"/>
    <n v="10"/>
    <n v="10.96"/>
    <n v="0.15"/>
    <n v="93.16"/>
    <n v="63.66"/>
    <n v="29.5"/>
    <s v="PayPal"/>
  </r>
  <r>
    <s v="ORD-00116"/>
    <x v="356"/>
    <x v="0"/>
    <s v="Washington"/>
    <s v="Seattle"/>
    <s v="Cameron Clark"/>
    <x v="2"/>
    <x v="2"/>
    <s v="Tables"/>
    <s v="Side Table"/>
    <n v="10"/>
    <n v="785.06"/>
    <n v="0.05"/>
    <n v="7458.07"/>
    <n v="5564.1"/>
    <n v="1893.97"/>
    <s v="PayPal"/>
  </r>
  <r>
    <s v="ORD-01953"/>
    <x v="356"/>
    <x v="3"/>
    <s v="Minnesota"/>
    <s v="St. Paul"/>
    <s v="Avery Johnson"/>
    <x v="0"/>
    <x v="0"/>
    <s v="Binders"/>
    <s v="3-Ring Binder"/>
    <n v="2"/>
    <n v="25.67"/>
    <n v="0.1"/>
    <n v="46.21"/>
    <n v="28.39"/>
    <n v="17.82"/>
    <s v="Credit Card"/>
  </r>
  <r>
    <s v="ORD-01476"/>
    <x v="356"/>
    <x v="0"/>
    <s v="Arizona"/>
    <s v="Mesa"/>
    <s v="Taylor Smith"/>
    <x v="1"/>
    <x v="0"/>
    <s v="Pens"/>
    <s v="Gel Pens"/>
    <n v="2"/>
    <n v="18.739999999999998"/>
    <n v="0.05"/>
    <n v="35.61"/>
    <n v="26.99"/>
    <n v="8.6199999999999992"/>
    <s v="Debit Card"/>
  </r>
  <r>
    <s v="ORD-02059"/>
    <x v="356"/>
    <x v="1"/>
    <s v="Florida"/>
    <s v="Tampa"/>
    <s v="Drew Anderson"/>
    <x v="2"/>
    <x v="2"/>
    <s v="Desks"/>
    <s v="Work Desk"/>
    <n v="5"/>
    <n v="324.47000000000003"/>
    <n v="0.15"/>
    <n v="1379"/>
    <n v="759.13"/>
    <n v="619.87"/>
    <s v="PayPal"/>
  </r>
  <r>
    <s v="ORD-01175"/>
    <x v="356"/>
    <x v="2"/>
    <s v="Pennsylvania"/>
    <s v="Philadelphia"/>
    <s v="Drew Anderson"/>
    <x v="0"/>
    <x v="1"/>
    <s v="Headsets"/>
    <s v="Noise-Canceling Headset"/>
    <n v="7"/>
    <n v="164.32"/>
    <n v="0.05"/>
    <n v="1092.73"/>
    <n v="696.17"/>
    <n v="396.56"/>
    <s v="PayPal"/>
  </r>
  <r>
    <s v="ORD-01284"/>
    <x v="356"/>
    <x v="2"/>
    <s v="New York"/>
    <s v="Rochester"/>
    <s v="Avery Johnson"/>
    <x v="2"/>
    <x v="2"/>
    <s v="Chairs"/>
    <s v="Task Chair"/>
    <n v="2"/>
    <n v="383.79"/>
    <n v="0.15"/>
    <n v="652.44000000000005"/>
    <n v="375.52"/>
    <n v="276.92"/>
    <s v="Bank Transfer"/>
  </r>
  <r>
    <s v="ORD-02412"/>
    <x v="356"/>
    <x v="3"/>
    <s v="Indiana"/>
    <s v="Fort Wayne"/>
    <s v="Cameron Clark"/>
    <x v="1"/>
    <x v="0"/>
    <s v="Printers"/>
    <s v="Color Printer"/>
    <n v="5"/>
    <n v="264.12"/>
    <n v="0.15"/>
    <n v="1122.51"/>
    <n v="650.86"/>
    <n v="471.65"/>
    <s v="Bank Transfer"/>
  </r>
  <r>
    <s v="ORD-01851"/>
    <x v="356"/>
    <x v="3"/>
    <s v="Minnesota"/>
    <s v="St. Paul"/>
    <s v="Casey Brown"/>
    <x v="2"/>
    <x v="0"/>
    <s v="Binders"/>
    <s v="3-Ring Binder"/>
    <n v="8"/>
    <n v="11.3"/>
    <n v="0.05"/>
    <n v="85.88"/>
    <n v="51.1"/>
    <n v="34.78"/>
    <s v="Credit Card"/>
  </r>
  <r>
    <s v="ORD-02983"/>
    <x v="356"/>
    <x v="2"/>
    <s v="Massachusetts"/>
    <s v="Boston"/>
    <s v="Taylor Smith"/>
    <x v="1"/>
    <x v="0"/>
    <s v="Printers"/>
    <s v="All-in-One Printer"/>
    <n v="2"/>
    <n v="591.5"/>
    <n v="0"/>
    <n v="1183"/>
    <n v="742.44"/>
    <n v="440.56"/>
    <s v="Credit Card"/>
  </r>
  <r>
    <s v="ORD-01629"/>
    <x v="356"/>
    <x v="3"/>
    <s v="Indiana"/>
    <s v="Indianapolis"/>
    <s v="Drew Anderson"/>
    <x v="2"/>
    <x v="0"/>
    <s v="Pens"/>
    <s v="Ballpoint Pens"/>
    <n v="10"/>
    <n v="6.5"/>
    <n v="0.05"/>
    <n v="61.75"/>
    <n v="46.6"/>
    <n v="15.15"/>
    <s v="Bank Transfer"/>
  </r>
  <r>
    <s v="ORD-02415"/>
    <x v="356"/>
    <x v="1"/>
    <s v="North Carolina"/>
    <s v="Durham"/>
    <s v="Jordan Lee"/>
    <x v="1"/>
    <x v="0"/>
    <s v="Pens"/>
    <s v="Ballpoint Pens"/>
    <n v="9"/>
    <n v="12.57"/>
    <n v="0"/>
    <n v="113.13"/>
    <n v="72.069999999999993"/>
    <n v="41.06"/>
    <s v="Credit Card"/>
  </r>
  <r>
    <s v="ORD-02736"/>
    <x v="356"/>
    <x v="1"/>
    <s v="Florida"/>
    <s v="Miami"/>
    <s v="Avery Johnson"/>
    <x v="1"/>
    <x v="0"/>
    <s v="Printers"/>
    <s v="All-in-One Printer"/>
    <n v="9"/>
    <n v="557.92999999999995"/>
    <n v="0.1"/>
    <n v="4519.2299999999996"/>
    <n v="3526.16"/>
    <n v="993.07"/>
    <s v="Debit Card"/>
  </r>
  <r>
    <s v="ORD-01280"/>
    <x v="357"/>
    <x v="0"/>
    <s v="Arizona"/>
    <s v="Mesa"/>
    <s v="Cameron Clark"/>
    <x v="2"/>
    <x v="0"/>
    <s v="Printers"/>
    <s v="Laser Printer"/>
    <n v="8"/>
    <n v="552.69000000000005"/>
    <n v="0"/>
    <n v="4421.5200000000004"/>
    <n v="3351.68"/>
    <n v="1069.8399999999999"/>
    <s v="Credit Card"/>
  </r>
  <r>
    <s v="ORD-02128"/>
    <x v="357"/>
    <x v="3"/>
    <s v="Indiana"/>
    <s v="Evansville"/>
    <s v="Avery Johnson"/>
    <x v="2"/>
    <x v="0"/>
    <s v="Pens"/>
    <s v="Ballpoint Pens"/>
    <n v="2"/>
    <n v="23.34"/>
    <n v="0"/>
    <n v="46.68"/>
    <n v="32.799999999999997"/>
    <n v="13.88"/>
    <s v="Bank Transfer"/>
  </r>
  <r>
    <s v="ORD-00538"/>
    <x v="357"/>
    <x v="3"/>
    <s v="Minnesota"/>
    <s v="St. Paul"/>
    <s v="Casey Brown"/>
    <x v="2"/>
    <x v="0"/>
    <s v="Pens"/>
    <s v="Ballpoint Pens"/>
    <n v="9"/>
    <n v="11.94"/>
    <n v="0.05"/>
    <n v="102.09"/>
    <n v="70.489999999999995"/>
    <n v="31.6"/>
    <s v="Bank Transfer"/>
  </r>
  <r>
    <s v="ORD-01837"/>
    <x v="357"/>
    <x v="1"/>
    <s v="Georgia"/>
    <s v="Atlanta"/>
    <s v="Alex Morgan"/>
    <x v="2"/>
    <x v="1"/>
    <s v="Laptops"/>
    <s v="Ultrabook"/>
    <n v="4"/>
    <n v="1204.78"/>
    <n v="0.1"/>
    <n v="4337.21"/>
    <n v="2677.37"/>
    <n v="1659.84"/>
    <s v="Debit Card"/>
  </r>
  <r>
    <s v="ORD-01588"/>
    <x v="357"/>
    <x v="2"/>
    <s v="Vermont"/>
    <s v="Burlington"/>
    <s v="Drew Anderson"/>
    <x v="0"/>
    <x v="0"/>
    <s v="Pens"/>
    <s v="Fine Tip Pens"/>
    <n v="5"/>
    <n v="7.19"/>
    <n v="0.15"/>
    <n v="30.56"/>
    <n v="18.32"/>
    <n v="12.24"/>
    <s v="Bank Transfer"/>
  </r>
  <r>
    <s v="ORD-02137"/>
    <x v="357"/>
    <x v="1"/>
    <s v="Texas"/>
    <s v="Dallas"/>
    <s v="Avery Johnson"/>
    <x v="0"/>
    <x v="0"/>
    <s v="Printers"/>
    <s v="Color Printer"/>
    <n v="8"/>
    <n v="294.11"/>
    <n v="0.1"/>
    <n v="2117.59"/>
    <n v="1305.18"/>
    <n v="812.41"/>
    <s v="Debit Card"/>
  </r>
  <r>
    <s v="ORD-01967"/>
    <x v="357"/>
    <x v="2"/>
    <s v="Vermont"/>
    <s v="Burlington"/>
    <s v="Drew Anderson"/>
    <x v="2"/>
    <x v="2"/>
    <s v="Bookcases"/>
    <s v="Storage Bookcase"/>
    <n v="5"/>
    <n v="189.69"/>
    <n v="0"/>
    <n v="948.45"/>
    <n v="605.09"/>
    <n v="343.36"/>
    <s v="Bank Transfer"/>
  </r>
  <r>
    <s v="ORD-00364"/>
    <x v="357"/>
    <x v="1"/>
    <s v="Virginia"/>
    <s v="Norfolk"/>
    <s v="Casey Brown"/>
    <x v="0"/>
    <x v="0"/>
    <s v="Pens"/>
    <s v="Ballpoint Pens"/>
    <n v="6"/>
    <n v="14.89"/>
    <n v="0.1"/>
    <n v="80.41"/>
    <n v="54.07"/>
    <n v="26.34"/>
    <s v="Bank Transfer"/>
  </r>
  <r>
    <s v="ORD-02912"/>
    <x v="357"/>
    <x v="2"/>
    <s v="Vermont"/>
    <s v="Rutland"/>
    <s v="Cameron Clark"/>
    <x v="0"/>
    <x v="0"/>
    <s v="Binders"/>
    <s v="3-Ring Binder"/>
    <n v="1"/>
    <n v="7.9"/>
    <n v="0.15"/>
    <n v="6.72"/>
    <n v="5.31"/>
    <n v="1.41"/>
    <s v="Bank Transfer"/>
  </r>
  <r>
    <s v="ORD-01207"/>
    <x v="357"/>
    <x v="2"/>
    <s v="New Jersey"/>
    <s v="Trenton"/>
    <s v="Avery Johnson"/>
    <x v="1"/>
    <x v="0"/>
    <s v="Printers"/>
    <s v="Color Printer"/>
    <n v="2"/>
    <n v="491.69"/>
    <n v="0"/>
    <n v="983.38"/>
    <n v="613.17999999999995"/>
    <n v="370.2"/>
    <s v="Bank Transfer"/>
  </r>
  <r>
    <s v="ORD-02936"/>
    <x v="357"/>
    <x v="2"/>
    <s v="Pennsylvania"/>
    <s v="Allentown"/>
    <s v="Jordan Lee"/>
    <x v="0"/>
    <x v="1"/>
    <s v="Headsets"/>
    <s v="Wireless Headset"/>
    <n v="2"/>
    <n v="100.29"/>
    <n v="0.05"/>
    <n v="190.55"/>
    <n v="112.71"/>
    <n v="77.84"/>
    <s v="Credit Card"/>
  </r>
  <r>
    <s v="ORD-02530"/>
    <x v="358"/>
    <x v="2"/>
    <s v="Vermont"/>
    <s v="Rutland"/>
    <s v="Cameron Clark"/>
    <x v="0"/>
    <x v="2"/>
    <s v="Bookcases"/>
    <s v="5-Shelf Bookcase"/>
    <n v="2"/>
    <n v="237.15"/>
    <n v="0.05"/>
    <n v="450.58"/>
    <n v="329.11"/>
    <n v="121.47"/>
    <s v="Debit Card"/>
  </r>
  <r>
    <s v="ORD-01180"/>
    <x v="358"/>
    <x v="3"/>
    <s v="Illinois"/>
    <s v="Springfield"/>
    <s v="Jamie Miller"/>
    <x v="0"/>
    <x v="1"/>
    <s v="Headsets"/>
    <s v="Noise-Canceling Headset"/>
    <n v="1"/>
    <n v="180.51"/>
    <n v="0"/>
    <n v="180.51"/>
    <n v="123.86"/>
    <n v="56.65"/>
    <s v="Debit Card"/>
  </r>
  <r>
    <s v="ORD-00061"/>
    <x v="358"/>
    <x v="3"/>
    <s v="Indiana"/>
    <s v="Indianapolis"/>
    <s v="Avery Johnson"/>
    <x v="1"/>
    <x v="1"/>
    <s v="Laptops"/>
    <s v="Business Laptop"/>
    <n v="10"/>
    <n v="621.86"/>
    <n v="0.2"/>
    <n v="4974.88"/>
    <n v="3230.71"/>
    <n v="1744.17"/>
    <s v="Bank Transfer"/>
  </r>
  <r>
    <s v="ORD-02896"/>
    <x v="358"/>
    <x v="3"/>
    <s v="Illinois"/>
    <s v="Chicago"/>
    <s v="Morgan Davis"/>
    <x v="0"/>
    <x v="1"/>
    <s v="Keyboards"/>
    <s v="Ergonomic Keyboard"/>
    <n v="7"/>
    <n v="124.4"/>
    <n v="0.1"/>
    <n v="783.72"/>
    <n v="475.57"/>
    <n v="308.14999999999998"/>
    <s v="Debit Card"/>
  </r>
  <r>
    <s v="ORD-01289"/>
    <x v="358"/>
    <x v="0"/>
    <s v="Oregon"/>
    <s v="Salem"/>
    <s v="Morgan Davis"/>
    <x v="0"/>
    <x v="1"/>
    <s v="Monitors"/>
    <s v="27in Monitor"/>
    <n v="6"/>
    <n v="561.30999999999995"/>
    <n v="0"/>
    <n v="3367.86"/>
    <n v="2638.17"/>
    <n v="729.69"/>
    <s v="Credit Card"/>
  </r>
  <r>
    <s v="ORD-02004"/>
    <x v="358"/>
    <x v="0"/>
    <s v="Washington"/>
    <s v="Spokane"/>
    <s v="Riley Wilson"/>
    <x v="0"/>
    <x v="0"/>
    <s v="Pens"/>
    <s v="Gel Pens"/>
    <n v="1"/>
    <n v="17.91"/>
    <n v="0.1"/>
    <n v="16.12"/>
    <n v="8.94"/>
    <n v="7.18"/>
    <s v="PayPal"/>
  </r>
  <r>
    <s v="ORD-02924"/>
    <x v="358"/>
    <x v="2"/>
    <s v="New York"/>
    <s v="Buffalo"/>
    <s v="Casey Brown"/>
    <x v="2"/>
    <x v="0"/>
    <s v="Binders"/>
    <s v="3-Ring Binder"/>
    <n v="3"/>
    <n v="11.02"/>
    <n v="0.1"/>
    <n v="29.75"/>
    <n v="18.39"/>
    <n v="11.36"/>
    <s v="Bank Transfer"/>
  </r>
  <r>
    <s v="ORD-01226"/>
    <x v="358"/>
    <x v="1"/>
    <s v="Florida"/>
    <s v="Miami"/>
    <s v="Jordan Lee"/>
    <x v="0"/>
    <x v="1"/>
    <s v="Laptops"/>
    <s v="Ultrabook"/>
    <n v="6"/>
    <n v="1579.88"/>
    <n v="0.1"/>
    <n v="8531.35"/>
    <n v="5782.52"/>
    <n v="2748.83"/>
    <s v="Bank Transfer"/>
  </r>
  <r>
    <s v="ORD-00063"/>
    <x v="359"/>
    <x v="2"/>
    <s v="Massachusetts"/>
    <s v="Springfield"/>
    <s v="Jamie Miller"/>
    <x v="2"/>
    <x v="2"/>
    <s v="Tables"/>
    <s v="Training Table"/>
    <n v="4"/>
    <n v="623.77"/>
    <n v="0.15"/>
    <n v="2120.8200000000002"/>
    <n v="1563.46"/>
    <n v="557.36"/>
    <s v="Credit Card"/>
  </r>
  <r>
    <s v="ORD-02436"/>
    <x v="359"/>
    <x v="0"/>
    <s v="Washington"/>
    <s v="Spokane"/>
    <s v="Casey Brown"/>
    <x v="1"/>
    <x v="1"/>
    <s v="Monitors"/>
    <s v="24in Monitor"/>
    <n v="3"/>
    <n v="193.91"/>
    <n v="0.1"/>
    <n v="523.55999999999995"/>
    <n v="425.05"/>
    <n v="98.51"/>
    <s v="PayPal"/>
  </r>
  <r>
    <s v="ORD-01290"/>
    <x v="359"/>
    <x v="2"/>
    <s v="Pennsylvania"/>
    <s v="Allentown"/>
    <s v="Jamie Miller"/>
    <x v="1"/>
    <x v="2"/>
    <s v="Desks"/>
    <s v="Work Desk"/>
    <n v="2"/>
    <n v="824.71"/>
    <n v="0"/>
    <n v="1649.42"/>
    <n v="1263.04"/>
    <n v="386.38"/>
    <s v="PayPal"/>
  </r>
  <r>
    <s v="ORD-01548"/>
    <x v="359"/>
    <x v="3"/>
    <s v="Minnesota"/>
    <s v="Rochester"/>
    <s v="Casey Brown"/>
    <x v="0"/>
    <x v="2"/>
    <s v="Chairs"/>
    <s v="Ergonomic Chair"/>
    <n v="3"/>
    <n v="308.69"/>
    <n v="0.05"/>
    <n v="879.77"/>
    <n v="623.08000000000004"/>
    <n v="256.69"/>
    <s v="PayPal"/>
  </r>
  <r>
    <s v="ORD-02168"/>
    <x v="359"/>
    <x v="3"/>
    <s v="Illinois"/>
    <s v="Springfield"/>
    <s v="Riley Wilson"/>
    <x v="2"/>
    <x v="0"/>
    <s v="Pens"/>
    <s v="Gel Pens"/>
    <n v="7"/>
    <n v="14.06"/>
    <n v="0"/>
    <n v="98.42"/>
    <n v="68.44"/>
    <n v="29.98"/>
    <s v="PayPal"/>
  </r>
  <r>
    <s v="ORD-02727"/>
    <x v="359"/>
    <x v="0"/>
    <s v="Arizona"/>
    <s v="Phoenix"/>
    <s v="Riley Wilson"/>
    <x v="0"/>
    <x v="0"/>
    <s v="Binders"/>
    <s v="Presentation Binder"/>
    <n v="1"/>
    <n v="7.41"/>
    <n v="0"/>
    <n v="7.41"/>
    <n v="4.84"/>
    <n v="2.57"/>
    <s v="Bank Transfer"/>
  </r>
  <r>
    <s v="ORD-02894"/>
    <x v="359"/>
    <x v="2"/>
    <s v="New York"/>
    <s v="Buffalo"/>
    <s v="Alex Morgan"/>
    <x v="2"/>
    <x v="1"/>
    <s v="Monitors"/>
    <s v="27in Monitor"/>
    <n v="2"/>
    <n v="591.26"/>
    <n v="0.15"/>
    <n v="1005.14"/>
    <n v="742.82"/>
    <n v="262.32"/>
    <s v="Bank Transfer"/>
  </r>
  <r>
    <s v="ORD-01004"/>
    <x v="359"/>
    <x v="2"/>
    <s v="Massachusetts"/>
    <s v="Worcester"/>
    <s v="Alex Morgan"/>
    <x v="1"/>
    <x v="0"/>
    <s v="Binders"/>
    <s v="Heavy-Duty Binder"/>
    <n v="2"/>
    <n v="18.16"/>
    <n v="0.05"/>
    <n v="34.5"/>
    <n v="21.87"/>
    <n v="12.63"/>
    <s v="Debit Card"/>
  </r>
  <r>
    <s v="ORD-01949"/>
    <x v="360"/>
    <x v="0"/>
    <s v="Washington"/>
    <s v="Tacoma"/>
    <s v="Alex Morgan"/>
    <x v="0"/>
    <x v="0"/>
    <s v="Paper"/>
    <s v="Recycled Paper"/>
    <n v="7"/>
    <n v="10.58"/>
    <n v="0.05"/>
    <n v="70.36"/>
    <n v="55.62"/>
    <n v="14.74"/>
    <s v="Credit Card"/>
  </r>
  <r>
    <s v="ORD-01048"/>
    <x v="360"/>
    <x v="2"/>
    <s v="Massachusetts"/>
    <s v="Boston"/>
    <s v="Taylor Smith"/>
    <x v="0"/>
    <x v="1"/>
    <s v="Laptops"/>
    <s v="Workstation Laptop"/>
    <n v="9"/>
    <n v="1622.51"/>
    <n v="0"/>
    <n v="14602.59"/>
    <n v="8613.59"/>
    <n v="5989"/>
    <s v="Credit Card"/>
  </r>
  <r>
    <s v="ORD-01044"/>
    <x v="360"/>
    <x v="2"/>
    <s v="New York"/>
    <s v="Rochester"/>
    <s v="Jordan Lee"/>
    <x v="0"/>
    <x v="2"/>
    <s v="Chairs"/>
    <s v="Executive Chair"/>
    <n v="9"/>
    <n v="549.97"/>
    <n v="0.05"/>
    <n v="4702.24"/>
    <n v="2587.4"/>
    <n v="2114.84"/>
    <s v="PayPal"/>
  </r>
  <r>
    <s v="ORD-01002"/>
    <x v="360"/>
    <x v="3"/>
    <s v="Indiana"/>
    <s v="Indianapolis"/>
    <s v="Riley Wilson"/>
    <x v="0"/>
    <x v="2"/>
    <s v="Bookcases"/>
    <s v="3-Shelf Bookcase"/>
    <n v="8"/>
    <n v="330.34"/>
    <n v="0"/>
    <n v="2642.72"/>
    <n v="1630.25"/>
    <n v="1012.47"/>
    <s v="Credit Card"/>
  </r>
  <r>
    <s v="ORD-00422"/>
    <x v="360"/>
    <x v="1"/>
    <s v="Georgia"/>
    <s v="Augusta"/>
    <s v="Cameron Clark"/>
    <x v="1"/>
    <x v="1"/>
    <s v="Keyboards"/>
    <s v="Ergonomic Keyboard"/>
    <n v="4"/>
    <n v="129.16"/>
    <n v="0"/>
    <n v="516.64"/>
    <n v="338.09"/>
    <n v="178.55"/>
    <s v="Bank Transfer"/>
  </r>
  <r>
    <s v="ORD-02271"/>
    <x v="360"/>
    <x v="2"/>
    <s v="Vermont"/>
    <s v="Rutland"/>
    <s v="Morgan Davis"/>
    <x v="1"/>
    <x v="2"/>
    <s v="Bookcases"/>
    <s v="Storage Bookcase"/>
    <n v="6"/>
    <n v="228.96"/>
    <n v="0.1"/>
    <n v="1236.3800000000001"/>
    <n v="780.32"/>
    <n v="456.06"/>
    <s v="Bank Transfer"/>
  </r>
  <r>
    <s v="ORD-01971"/>
    <x v="360"/>
    <x v="2"/>
    <s v="Vermont"/>
    <s v="Montpelier"/>
    <s v="Drew Anderson"/>
    <x v="0"/>
    <x v="0"/>
    <s v="Paper"/>
    <s v="Premium Paper"/>
    <n v="10"/>
    <n v="10.18"/>
    <n v="0"/>
    <n v="101.8"/>
    <n v="64.37"/>
    <n v="37.43"/>
    <s v="PayPal"/>
  </r>
  <r>
    <s v="ORD-00300"/>
    <x v="360"/>
    <x v="0"/>
    <s v="Oregon"/>
    <s v="Salem"/>
    <s v="Cameron Clark"/>
    <x v="2"/>
    <x v="1"/>
    <s v="Headsets"/>
    <s v="Wireless Headset"/>
    <n v="1"/>
    <n v="197.97"/>
    <n v="0.15"/>
    <n v="168.27"/>
    <n v="135.26"/>
    <n v="33.01"/>
    <s v="Debit Card"/>
  </r>
  <r>
    <s v="ORD-00607"/>
    <x v="361"/>
    <x v="3"/>
    <s v="Minnesota"/>
    <s v="St. Paul"/>
    <s v="Casey Brown"/>
    <x v="0"/>
    <x v="1"/>
    <s v="Headsets"/>
    <s v="Wireless Headset"/>
    <n v="9"/>
    <n v="160.4"/>
    <n v="0.05"/>
    <n v="1371.42"/>
    <n v="797.99"/>
    <n v="573.42999999999995"/>
    <s v="Credit Card"/>
  </r>
  <r>
    <s v="ORD-02166"/>
    <x v="361"/>
    <x v="3"/>
    <s v="Ohio"/>
    <s v="Cleveland"/>
    <s v="Riley Wilson"/>
    <x v="0"/>
    <x v="0"/>
    <s v="Paper"/>
    <s v="Premium Paper"/>
    <n v="4"/>
    <n v="23.5"/>
    <n v="0.05"/>
    <n v="89.3"/>
    <n v="63.9"/>
    <n v="25.4"/>
    <s v="Bank Transfer"/>
  </r>
  <r>
    <s v="ORD-02502"/>
    <x v="361"/>
    <x v="3"/>
    <s v="Illinois"/>
    <s v="Springfield"/>
    <s v="Drew Anderson"/>
    <x v="2"/>
    <x v="1"/>
    <s v="Headsets"/>
    <s v="Wireless Headset"/>
    <n v="5"/>
    <n v="148.99"/>
    <n v="0.05"/>
    <n v="707.7"/>
    <n v="562.14"/>
    <n v="145.56"/>
    <s v="Bank Transfer"/>
  </r>
  <r>
    <s v="ORD-01937"/>
    <x v="361"/>
    <x v="3"/>
    <s v="Minnesota"/>
    <s v="Minneapolis"/>
    <s v="Cameron Clark"/>
    <x v="0"/>
    <x v="0"/>
    <s v="Pens"/>
    <s v="Fine Tip Pens"/>
    <n v="9"/>
    <n v="23.01"/>
    <n v="0.1"/>
    <n v="186.38"/>
    <n v="134.33000000000001"/>
    <n v="52.05"/>
    <s v="Credit Card"/>
  </r>
  <r>
    <s v="ORD-00802"/>
    <x v="361"/>
    <x v="1"/>
    <s v="North Carolina"/>
    <s v="Charlotte"/>
    <s v="Morgan Davis"/>
    <x v="0"/>
    <x v="0"/>
    <s v="Printers"/>
    <s v="All-in-One Printer"/>
    <n v="8"/>
    <n v="253.72"/>
    <n v="0"/>
    <n v="2029.76"/>
    <n v="1271.54"/>
    <n v="758.22"/>
    <s v="PayPal"/>
  </r>
  <r>
    <s v="ORD-00137"/>
    <x v="361"/>
    <x v="2"/>
    <s v="Pennsylvania"/>
    <s v="Allentown"/>
    <s v="Cameron Clark"/>
    <x v="2"/>
    <x v="2"/>
    <s v="Chairs"/>
    <s v="Ergonomic Chair"/>
    <n v="8"/>
    <n v="616.03"/>
    <n v="0.05"/>
    <n v="4681.83"/>
    <n v="3614.55"/>
    <n v="1067.28"/>
    <s v="Debit Card"/>
  </r>
  <r>
    <s v="ORD-00456"/>
    <x v="361"/>
    <x v="3"/>
    <s v="Michigan"/>
    <s v="Lansing"/>
    <s v="Avery Johnson"/>
    <x v="0"/>
    <x v="0"/>
    <s v="Paper"/>
    <s v="Copy Paper"/>
    <n v="8"/>
    <n v="24.46"/>
    <n v="0.1"/>
    <n v="176.11"/>
    <n v="104.22"/>
    <n v="71.89"/>
    <s v="Debit Card"/>
  </r>
  <r>
    <s v="ORD-01273"/>
    <x v="361"/>
    <x v="3"/>
    <s v="Ohio"/>
    <s v="Columbus"/>
    <s v="Jordan Lee"/>
    <x v="2"/>
    <x v="1"/>
    <s v="Headsets"/>
    <s v="Wireless Headset"/>
    <n v="2"/>
    <n v="181.7"/>
    <n v="0"/>
    <n v="363.4"/>
    <n v="282.61"/>
    <n v="80.790000000000006"/>
    <s v="Credit Card"/>
  </r>
  <r>
    <s v="ORD-00197"/>
    <x v="362"/>
    <x v="1"/>
    <s v="Florida"/>
    <s v="Orlando"/>
    <s v="Riley Wilson"/>
    <x v="2"/>
    <x v="1"/>
    <s v="Headsets"/>
    <s v="USB Headset"/>
    <n v="6"/>
    <n v="192.79"/>
    <n v="0.1"/>
    <n v="1041.07"/>
    <n v="650.01"/>
    <n v="391.06"/>
    <s v="PayPal"/>
  </r>
  <r>
    <s v="ORD-01603"/>
    <x v="362"/>
    <x v="1"/>
    <s v="Texas"/>
    <s v="Houston"/>
    <s v="Morgan Davis"/>
    <x v="1"/>
    <x v="2"/>
    <s v="Bookcases"/>
    <s v="3-Shelf Bookcase"/>
    <n v="3"/>
    <n v="283.07"/>
    <n v="0.15"/>
    <n v="721.83"/>
    <n v="459.21"/>
    <n v="262.62"/>
    <s v="Bank Transfer"/>
  </r>
  <r>
    <s v="ORD-02699"/>
    <x v="362"/>
    <x v="0"/>
    <s v="Colorado"/>
    <s v="Colorado Springs"/>
    <s v="Jamie Miller"/>
    <x v="0"/>
    <x v="2"/>
    <s v="Tables"/>
    <s v="Side Table"/>
    <n v="6"/>
    <n v="393.38"/>
    <n v="0"/>
    <n v="2360.2800000000002"/>
    <n v="1877.19"/>
    <n v="483.09"/>
    <s v="Bank Transfer"/>
  </r>
  <r>
    <s v="ORD-01831"/>
    <x v="362"/>
    <x v="1"/>
    <s v="Florida"/>
    <s v="Orlando"/>
    <s v="Jamie Miller"/>
    <x v="0"/>
    <x v="0"/>
    <s v="Printers"/>
    <s v="Color Printer"/>
    <n v="8"/>
    <n v="339.97"/>
    <n v="0.05"/>
    <n v="2583.77"/>
    <n v="1492.09"/>
    <n v="1091.68"/>
    <s v="Bank Transfer"/>
  </r>
  <r>
    <s v="ORD-02453"/>
    <x v="362"/>
    <x v="1"/>
    <s v="Georgia"/>
    <s v="Augusta"/>
    <s v="Riley Wilson"/>
    <x v="0"/>
    <x v="0"/>
    <s v="Pens"/>
    <s v="Gel Pens"/>
    <n v="7"/>
    <n v="8.59"/>
    <n v="0.05"/>
    <n v="57.12"/>
    <n v="39.31"/>
    <n v="17.809999999999999"/>
    <s v="Bank Transfer"/>
  </r>
  <r>
    <s v="ORD-00841"/>
    <x v="362"/>
    <x v="3"/>
    <s v="Illinois"/>
    <s v="Chicago"/>
    <s v="Drew Anderson"/>
    <x v="0"/>
    <x v="1"/>
    <s v="Monitors"/>
    <s v="24in Monitor"/>
    <n v="7"/>
    <n v="470.52"/>
    <n v="0.1"/>
    <n v="2964.28"/>
    <n v="2335.63"/>
    <n v="628.65"/>
    <s v="PayPal"/>
  </r>
  <r>
    <s v="ORD-00467"/>
    <x v="362"/>
    <x v="0"/>
    <s v="Colorado"/>
    <s v="Colorado Springs"/>
    <s v="Casey Brown"/>
    <x v="0"/>
    <x v="1"/>
    <s v="Keyboards"/>
    <s v="Mechanical Keyboard"/>
    <n v="8"/>
    <n v="100.27"/>
    <n v="0.2"/>
    <n v="641.73"/>
    <n v="368.57"/>
    <n v="273.16000000000003"/>
    <s v="Credit Card"/>
  </r>
  <r>
    <s v="ORD-01771"/>
    <x v="363"/>
    <x v="3"/>
    <s v="Minnesota"/>
    <s v="St. Paul"/>
    <s v="Jordan Lee"/>
    <x v="2"/>
    <x v="1"/>
    <s v="Monitors"/>
    <s v="27in Monitor"/>
    <n v="2"/>
    <n v="524.88"/>
    <n v="0"/>
    <n v="1049.76"/>
    <n v="587.85"/>
    <n v="461.91"/>
    <s v="Bank Transfer"/>
  </r>
  <r>
    <s v="ORD-02945"/>
    <x v="363"/>
    <x v="0"/>
    <s v="Arizona"/>
    <s v="Mesa"/>
    <s v="Jamie Miller"/>
    <x v="2"/>
    <x v="1"/>
    <s v="Monitors"/>
    <s v="24in Monitor"/>
    <n v="9"/>
    <n v="245"/>
    <n v="0.1"/>
    <n v="1984.5"/>
    <n v="1599.15"/>
    <n v="385.35"/>
    <s v="Credit Card"/>
  </r>
  <r>
    <s v="ORD-01954"/>
    <x v="363"/>
    <x v="0"/>
    <s v="Washington"/>
    <s v="Seattle"/>
    <s v="Alex Morgan"/>
    <x v="0"/>
    <x v="0"/>
    <s v="Printers"/>
    <s v="Laser Printer"/>
    <n v="7"/>
    <n v="598.47"/>
    <n v="0.05"/>
    <n v="3979.83"/>
    <n v="2250.34"/>
    <n v="1729.49"/>
    <s v="Bank Transfer"/>
  </r>
  <r>
    <s v="ORD-00507"/>
    <x v="363"/>
    <x v="0"/>
    <s v="Washington"/>
    <s v="Seattle"/>
    <s v="Casey Brown"/>
    <x v="1"/>
    <x v="0"/>
    <s v="Printers"/>
    <s v="All-in-One Printer"/>
    <n v="8"/>
    <n v="512.57000000000005"/>
    <n v="0.2"/>
    <n v="3280.45"/>
    <n v="2009.16"/>
    <n v="1271.29"/>
    <s v="PayPal"/>
  </r>
  <r>
    <s v="ORD-02840"/>
    <x v="364"/>
    <x v="3"/>
    <s v="Minnesota"/>
    <s v="St. Paul"/>
    <s v="Taylor Smith"/>
    <x v="0"/>
    <x v="0"/>
    <s v="Binders"/>
    <s v="3-Ring Binder"/>
    <n v="6"/>
    <n v="18.2"/>
    <n v="0"/>
    <n v="109.2"/>
    <n v="65.09"/>
    <n v="44.11"/>
    <s v="Debit Card"/>
  </r>
  <r>
    <s v="ORD-01429"/>
    <x v="364"/>
    <x v="1"/>
    <s v="Florida"/>
    <s v="Orlando"/>
    <s v="Casey Brown"/>
    <x v="2"/>
    <x v="0"/>
    <s v="Printers"/>
    <s v="All-in-One Printer"/>
    <n v="2"/>
    <n v="164.84"/>
    <n v="0.05"/>
    <n v="313.2"/>
    <n v="234.71"/>
    <n v="78.489999999999995"/>
    <s v="Debit Card"/>
  </r>
  <r>
    <s v="ORD-01958"/>
    <x v="364"/>
    <x v="3"/>
    <s v="Minnesota"/>
    <s v="Rochester"/>
    <s v="Cameron Clark"/>
    <x v="0"/>
    <x v="0"/>
    <s v="Paper"/>
    <s v="Copy Paper"/>
    <n v="6"/>
    <n v="34.24"/>
    <n v="0.1"/>
    <n v="184.9"/>
    <n v="119.93"/>
    <n v="64.97"/>
    <s v="Credit Card"/>
  </r>
  <r>
    <s v="ORD-00119"/>
    <x v="364"/>
    <x v="0"/>
    <s v="California"/>
    <s v="Los Angeles"/>
    <s v="Morgan Davis"/>
    <x v="0"/>
    <x v="1"/>
    <s v="Keyboards"/>
    <s v="Wireless Keyboard"/>
    <n v="8"/>
    <n v="116.55"/>
    <n v="0.15"/>
    <n v="792.54"/>
    <n v="521.91"/>
    <n v="270.63"/>
    <s v="Bank Transfer"/>
  </r>
  <r>
    <s v="ORD-00913"/>
    <x v="364"/>
    <x v="2"/>
    <s v="Vermont"/>
    <s v="Burlington"/>
    <s v="Taylor Smith"/>
    <x v="0"/>
    <x v="1"/>
    <s v="Laptops"/>
    <s v="Business Laptop"/>
    <n v="9"/>
    <n v="1382.95"/>
    <n v="0.05"/>
    <n v="11824.22"/>
    <n v="8933.15"/>
    <n v="2891.07"/>
    <s v="Bank Transfer"/>
  </r>
  <r>
    <s v="ORD-01480"/>
    <x v="364"/>
    <x v="0"/>
    <s v="Arizona"/>
    <s v="Mesa"/>
    <s v="Casey Brown"/>
    <x v="1"/>
    <x v="1"/>
    <s v="Monitors"/>
    <s v="27in Monitor"/>
    <n v="5"/>
    <n v="578.47"/>
    <n v="0"/>
    <n v="2892.35"/>
    <n v="1664.68"/>
    <n v="1227.67"/>
    <s v="Bank Transfer"/>
  </r>
  <r>
    <s v="ORD-02187"/>
    <x v="364"/>
    <x v="2"/>
    <s v="New Jersey"/>
    <s v="Newark"/>
    <s v="Riley Wilson"/>
    <x v="1"/>
    <x v="1"/>
    <s v="Keyboards"/>
    <s v="Ergonomic Keyboard"/>
    <n v="6"/>
    <n v="81"/>
    <n v="0.05"/>
    <n v="461.7"/>
    <n v="332.91"/>
    <n v="128.79"/>
    <s v="Credit Card"/>
  </r>
  <r>
    <s v="ORD-01189"/>
    <x v="364"/>
    <x v="3"/>
    <s v="Minnesota"/>
    <s v="Rochester"/>
    <s v="Morgan Davis"/>
    <x v="0"/>
    <x v="2"/>
    <s v="Bookcases"/>
    <s v="Storage Bookcase"/>
    <n v="8"/>
    <n v="312.83"/>
    <n v="0.05"/>
    <n v="2377.5100000000002"/>
    <n v="1649.98"/>
    <n v="727.53"/>
    <s v="Bank Transfer"/>
  </r>
  <r>
    <s v="ORD-02261"/>
    <x v="364"/>
    <x v="2"/>
    <s v="New York"/>
    <s v="Rochester"/>
    <s v="Avery Johnson"/>
    <x v="2"/>
    <x v="1"/>
    <s v="Headsets"/>
    <s v="Noise-Canceling Headset"/>
    <n v="8"/>
    <n v="148.54"/>
    <n v="0.05"/>
    <n v="1128.9000000000001"/>
    <n v="863.9"/>
    <n v="265"/>
    <s v="Debit Card"/>
  </r>
  <r>
    <s v="ORD-02704"/>
    <x v="364"/>
    <x v="2"/>
    <s v="New Jersey"/>
    <s v="Trenton"/>
    <s v="Cameron Clark"/>
    <x v="2"/>
    <x v="1"/>
    <s v="Laptops"/>
    <s v="Workstation Laptop"/>
    <n v="10"/>
    <n v="1363.64"/>
    <n v="0.05"/>
    <n v="12954.58"/>
    <n v="7229.28"/>
    <n v="5725.3"/>
    <s v="Credit Card"/>
  </r>
  <r>
    <s v="ORD-00068"/>
    <x v="364"/>
    <x v="2"/>
    <s v="New York"/>
    <s v="Rochester"/>
    <s v="Drew Anderson"/>
    <x v="0"/>
    <x v="1"/>
    <s v="Headsets"/>
    <s v="Wireless Headset"/>
    <n v="1"/>
    <n v="242.62"/>
    <n v="0.1"/>
    <n v="218.36"/>
    <n v="139.83000000000001"/>
    <n v="78.53"/>
    <s v="Credit Card"/>
  </r>
  <r>
    <s v="ORD-00594"/>
    <x v="364"/>
    <x v="0"/>
    <s v="Oregon"/>
    <s v="Portland"/>
    <s v="Jordan Lee"/>
    <x v="2"/>
    <x v="0"/>
    <s v="Paper"/>
    <s v="Copy Paper"/>
    <n v="1"/>
    <n v="18.12"/>
    <n v="0.1"/>
    <n v="16.309999999999999"/>
    <n v="12.06"/>
    <n v="4.25"/>
    <s v="PayP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2AFF6-4B85-4750-B813-88C8EC8CE9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398D0-6F16-454E-8B8D-4A8E4D23F84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2A5D0-0EC5-4695-9A08-8BBFA9E13123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19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8"/>
    <field x="17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A541B-89AD-482F-8431-94681ABAFDB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9" showAll="0"/>
    <pivotField numFmtId="164" showAll="0"/>
    <pivotField numFmtId="164" showAll="0"/>
    <pivotField dataField="1" numFmtId="164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74F9C-4AA1-492D-9F9E-2DD61A561E05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65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0428A-E970-475B-A57B-0FC2255D00A0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9">
    <pivotField dataField="1"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9" showAll="0"/>
    <pivotField numFmtId="164" showAll="0"/>
    <pivotField numFmtId="164" showAll="0"/>
    <pivotField numFmtId="164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34AB6-8D4B-40AD-9E24-9AF6A013CB19}" name="SalesData" displayName="SalesData" ref="A1:Q3001" totalsRowShown="0" headerRowDxfId="8" headerRowBorderDxfId="7" tableBorderDxfId="6">
  <autoFilter ref="A1:Q3001" xr:uid="{A2134AB6-8D4B-40AD-9E24-9AF6A013CB19}"/>
  <tableColumns count="17">
    <tableColumn id="1" xr3:uid="{57DC5164-DEC7-49B7-ACE8-75FF480291EB}" name="Order_ID"/>
    <tableColumn id="2" xr3:uid="{851E6761-C837-4EC4-BE0F-1FA8E0096334}" name="Order_Date" dataDxfId="5"/>
    <tableColumn id="3" xr3:uid="{3799AB7A-9230-421D-A0CE-B1E6CD704653}" name="Region"/>
    <tableColumn id="4" xr3:uid="{371862BA-7661-4327-85AE-39C36200124D}" name="State"/>
    <tableColumn id="5" xr3:uid="{1D4C674D-2AAF-405B-BFC4-6DFFD0CC879D}" name="City"/>
    <tableColumn id="6" xr3:uid="{A81D85C7-05B5-4075-A8F3-D8A3C3837DB9}" name="Salesperson"/>
    <tableColumn id="7" xr3:uid="{03C788A2-B1A7-4F72-904C-4255B54325EC}" name="Customer_Segment"/>
    <tableColumn id="8" xr3:uid="{16DC1A7B-8CEE-4FEF-A44E-CF8D7A844BC0}" name="Category"/>
    <tableColumn id="9" xr3:uid="{F7656544-4B6C-4DA4-AD3C-EA94C76AF14E}" name="Subcategory"/>
    <tableColumn id="10" xr3:uid="{059638D9-4420-4394-A4D0-58E3B080CDFF}" name="Product"/>
    <tableColumn id="11" xr3:uid="{3849A26E-7E68-4CE0-BFFF-B1A7F88E7591}" name="Quantity"/>
    <tableColumn id="12" xr3:uid="{E3B08242-2A7E-4FDC-BA35-A93FAC81DA01}" name="Unit_Price" dataDxfId="4"/>
    <tableColumn id="13" xr3:uid="{685E2BF6-155E-43E9-A8E2-C1F7F7A2AC69}" name="Discount" dataDxfId="3"/>
    <tableColumn id="14" xr3:uid="{CC855E50-CEFC-4DD6-92DC-6A7F10C30609}" name="Sales" dataDxfId="2"/>
    <tableColumn id="15" xr3:uid="{9E62AF73-21E8-4F71-9A0F-56E489C00447}" name="Cost" dataDxfId="1"/>
    <tableColumn id="16" xr3:uid="{51E4E847-B94F-4E72-877A-6D0A2969550E}" name="Profit" dataDxfId="0"/>
    <tableColumn id="17" xr3:uid="{0131A7B5-9376-40AF-8DBF-D51CED4E9377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360B-0025-4A83-82D4-D05A0CEFC739}">
  <dimension ref="A3:B8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13.1640625" bestFit="1" customWidth="1"/>
    <col min="2" max="2" width="12.6640625" bestFit="1" customWidth="1"/>
  </cols>
  <sheetData>
    <row r="3" spans="1:2" x14ac:dyDescent="0.2">
      <c r="A3" s="5" t="s">
        <v>3167</v>
      </c>
      <c r="B3" t="s">
        <v>3169</v>
      </c>
    </row>
    <row r="4" spans="1:2" x14ac:dyDescent="0.2">
      <c r="A4" s="6" t="s">
        <v>77</v>
      </c>
      <c r="B4" s="7">
        <v>1200165.5199999998</v>
      </c>
    </row>
    <row r="5" spans="1:2" x14ac:dyDescent="0.2">
      <c r="A5" s="6" t="s">
        <v>43</v>
      </c>
      <c r="B5" s="7">
        <v>1331476.4200000006</v>
      </c>
    </row>
    <row r="6" spans="1:2" x14ac:dyDescent="0.2">
      <c r="A6" s="6" t="s">
        <v>36</v>
      </c>
      <c r="B6" s="7">
        <v>1469662.6300000006</v>
      </c>
    </row>
    <row r="7" spans="1:2" x14ac:dyDescent="0.2">
      <c r="A7" s="6" t="s">
        <v>18</v>
      </c>
      <c r="B7" s="7">
        <v>1355172.3300000024</v>
      </c>
    </row>
    <row r="8" spans="1:2" x14ac:dyDescent="0.2">
      <c r="A8" s="6" t="s">
        <v>3168</v>
      </c>
      <c r="B8" s="7">
        <v>5356476.9000000041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8C51-A89E-4323-A125-81703413072F}">
  <dimension ref="A3:B7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4.5" bestFit="1" customWidth="1"/>
    <col min="2" max="2" width="12.6640625" bestFit="1" customWidth="1"/>
  </cols>
  <sheetData>
    <row r="3" spans="1:2" x14ac:dyDescent="0.2">
      <c r="A3" s="5" t="s">
        <v>3167</v>
      </c>
      <c r="B3" t="s">
        <v>3169</v>
      </c>
    </row>
    <row r="4" spans="1:2" x14ac:dyDescent="0.2">
      <c r="A4" s="6" t="s">
        <v>47</v>
      </c>
      <c r="B4" s="7">
        <v>1690982.4600000014</v>
      </c>
    </row>
    <row r="5" spans="1:2" x14ac:dyDescent="0.2">
      <c r="A5" s="6" t="s">
        <v>23</v>
      </c>
      <c r="B5" s="7">
        <v>632888.27999999875</v>
      </c>
    </row>
    <row r="6" spans="1:2" x14ac:dyDescent="0.2">
      <c r="A6" s="6" t="s">
        <v>31</v>
      </c>
      <c r="B6" s="7">
        <v>3032606.1599999988</v>
      </c>
    </row>
    <row r="7" spans="1:2" x14ac:dyDescent="0.2">
      <c r="A7" s="6" t="s">
        <v>3168</v>
      </c>
      <c r="B7" s="7">
        <v>5356476.8999999985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A038-EBB6-46D7-B1D2-463D1DC21404}">
  <dimension ref="A3:B17"/>
  <sheetViews>
    <sheetView workbookViewId="0">
      <selection activeCell="H26" sqref="H26"/>
    </sheetView>
  </sheetViews>
  <sheetFormatPr baseColWidth="10" defaultColWidth="8.83203125" defaultRowHeight="15" x14ac:dyDescent="0.2"/>
  <cols>
    <col min="1" max="1" width="13.1640625" bestFit="1" customWidth="1"/>
    <col min="2" max="2" width="12.6640625" bestFit="1" customWidth="1"/>
  </cols>
  <sheetData>
    <row r="3" spans="1:2" x14ac:dyDescent="0.2">
      <c r="A3" s="5" t="s">
        <v>3167</v>
      </c>
      <c r="B3" t="s">
        <v>3169</v>
      </c>
    </row>
    <row r="4" spans="1:2" x14ac:dyDescent="0.2">
      <c r="A4" s="6" t="s">
        <v>3182</v>
      </c>
      <c r="B4" s="7">
        <v>5356476.8999999994</v>
      </c>
    </row>
    <row r="5" spans="1:2" x14ac:dyDescent="0.2">
      <c r="A5" s="8" t="s">
        <v>3170</v>
      </c>
      <c r="B5" s="7">
        <v>538615.43000000005</v>
      </c>
    </row>
    <row r="6" spans="1:2" x14ac:dyDescent="0.2">
      <c r="A6" s="8" t="s">
        <v>3171</v>
      </c>
      <c r="B6" s="7">
        <v>421228.17000000022</v>
      </c>
    </row>
    <row r="7" spans="1:2" x14ac:dyDescent="0.2">
      <c r="A7" s="8" t="s">
        <v>3172</v>
      </c>
      <c r="B7" s="7">
        <v>463546.7300000001</v>
      </c>
    </row>
    <row r="8" spans="1:2" x14ac:dyDescent="0.2">
      <c r="A8" s="8" t="s">
        <v>3173</v>
      </c>
      <c r="B8" s="7">
        <v>411896.87999999989</v>
      </c>
    </row>
    <row r="9" spans="1:2" x14ac:dyDescent="0.2">
      <c r="A9" s="8" t="s">
        <v>3174</v>
      </c>
      <c r="B9" s="7">
        <v>520548.49000000005</v>
      </c>
    </row>
    <row r="10" spans="1:2" x14ac:dyDescent="0.2">
      <c r="A10" s="8" t="s">
        <v>3175</v>
      </c>
      <c r="B10" s="7">
        <v>410749.86999999982</v>
      </c>
    </row>
    <row r="11" spans="1:2" x14ac:dyDescent="0.2">
      <c r="A11" s="8" t="s">
        <v>3176</v>
      </c>
      <c r="B11" s="7">
        <v>407110.55</v>
      </c>
    </row>
    <row r="12" spans="1:2" x14ac:dyDescent="0.2">
      <c r="A12" s="8" t="s">
        <v>3177</v>
      </c>
      <c r="B12" s="7">
        <v>403825.08999999997</v>
      </c>
    </row>
    <row r="13" spans="1:2" x14ac:dyDescent="0.2">
      <c r="A13" s="8" t="s">
        <v>3178</v>
      </c>
      <c r="B13" s="7">
        <v>395237.53</v>
      </c>
    </row>
    <row r="14" spans="1:2" x14ac:dyDescent="0.2">
      <c r="A14" s="8" t="s">
        <v>3179</v>
      </c>
      <c r="B14" s="7">
        <v>395528.91999999981</v>
      </c>
    </row>
    <row r="15" spans="1:2" x14ac:dyDescent="0.2">
      <c r="A15" s="8" t="s">
        <v>3180</v>
      </c>
      <c r="B15" s="7">
        <v>472247.60000000003</v>
      </c>
    </row>
    <row r="16" spans="1:2" x14ac:dyDescent="0.2">
      <c r="A16" s="8" t="s">
        <v>3181</v>
      </c>
      <c r="B16" s="7">
        <v>515941.64000000007</v>
      </c>
    </row>
    <row r="17" spans="1:2" x14ac:dyDescent="0.2">
      <c r="A17" s="6" t="s">
        <v>3168</v>
      </c>
      <c r="B17" s="7">
        <v>5356476.8999999994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4932-8B76-4F0D-B079-497F913C58CA}">
  <dimension ref="A3:B7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.5" bestFit="1" customWidth="1"/>
    <col min="2" max="2" width="12.6640625" bestFit="1" customWidth="1"/>
  </cols>
  <sheetData>
    <row r="3" spans="1:2" x14ac:dyDescent="0.2">
      <c r="A3" s="5" t="s">
        <v>3167</v>
      </c>
      <c r="B3" t="s">
        <v>3183</v>
      </c>
    </row>
    <row r="4" spans="1:2" x14ac:dyDescent="0.2">
      <c r="A4" s="6" t="s">
        <v>47</v>
      </c>
      <c r="B4" s="7">
        <v>530029.0199999992</v>
      </c>
    </row>
    <row r="5" spans="1:2" x14ac:dyDescent="0.2">
      <c r="A5" s="6" t="s">
        <v>23</v>
      </c>
      <c r="B5" s="7">
        <v>199560.03999999972</v>
      </c>
    </row>
    <row r="6" spans="1:2" x14ac:dyDescent="0.2">
      <c r="A6" s="6" t="s">
        <v>31</v>
      </c>
      <c r="B6" s="7">
        <v>963163.59000000008</v>
      </c>
    </row>
    <row r="7" spans="1:2" x14ac:dyDescent="0.2">
      <c r="A7" s="6" t="s">
        <v>3168</v>
      </c>
      <c r="B7" s="7">
        <v>1692752.649999999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5FA4-A08D-4CA7-AF3E-D00A0451B3CD}">
  <dimension ref="A3:B7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4.1640625" bestFit="1" customWidth="1"/>
    <col min="2" max="2" width="12.6640625" bestFit="1" customWidth="1"/>
  </cols>
  <sheetData>
    <row r="3" spans="1:2" x14ac:dyDescent="0.2">
      <c r="A3" s="5" t="s">
        <v>3167</v>
      </c>
      <c r="B3" t="s">
        <v>3169</v>
      </c>
    </row>
    <row r="4" spans="1:2" x14ac:dyDescent="0.2">
      <c r="A4" s="6" t="s">
        <v>22</v>
      </c>
      <c r="B4" s="7">
        <v>2559591.9200000027</v>
      </c>
    </row>
    <row r="5" spans="1:2" x14ac:dyDescent="0.2">
      <c r="A5" s="6" t="s">
        <v>75</v>
      </c>
      <c r="B5" s="7">
        <v>1742850.7300000009</v>
      </c>
    </row>
    <row r="6" spans="1:2" x14ac:dyDescent="0.2">
      <c r="A6" s="6" t="s">
        <v>54</v>
      </c>
      <c r="B6" s="7">
        <v>1054034.2500000002</v>
      </c>
    </row>
    <row r="7" spans="1:2" x14ac:dyDescent="0.2">
      <c r="A7" s="6" t="s">
        <v>3168</v>
      </c>
      <c r="B7" s="7">
        <v>5356476.9000000041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31B-5A9D-40E0-89F0-F7014A8A250A}">
  <dimension ref="A3:B8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7.33203125" bestFit="1" customWidth="1"/>
    <col min="2" max="2" width="15.5" bestFit="1" customWidth="1"/>
  </cols>
  <sheetData>
    <row r="3" spans="1:2" x14ac:dyDescent="0.2">
      <c r="A3" t="s">
        <v>3184</v>
      </c>
      <c r="B3" t="s">
        <v>3185</v>
      </c>
    </row>
    <row r="4" spans="1:2" x14ac:dyDescent="0.2">
      <c r="A4">
        <v>3000</v>
      </c>
      <c r="B4">
        <v>16855</v>
      </c>
    </row>
    <row r="6" spans="1:2" x14ac:dyDescent="0.2">
      <c r="A6" t="s">
        <v>3186</v>
      </c>
      <c r="B6">
        <v>5356476.9000000004</v>
      </c>
    </row>
    <row r="7" spans="1:2" x14ac:dyDescent="0.2">
      <c r="A7" t="s">
        <v>3187</v>
      </c>
      <c r="B7">
        <v>1692752.65</v>
      </c>
    </row>
    <row r="8" spans="1:2" x14ac:dyDescent="0.2">
      <c r="A8" t="s">
        <v>3188</v>
      </c>
      <c r="B8" s="9">
        <f>B7/B6</f>
        <v>0.31601977971752288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1"/>
  <sheetViews>
    <sheetView zoomScale="80" zoomScaleNormal="80" workbookViewId="0">
      <pane ySplit="1" topLeftCell="A2" activePane="bottomLeft" state="frozen"/>
      <selection pane="bottomLeft" activeCell="R6" sqref="R6"/>
    </sheetView>
  </sheetViews>
  <sheetFormatPr baseColWidth="10" defaultColWidth="8.83203125" defaultRowHeight="15" x14ac:dyDescent="0.2"/>
  <cols>
    <col min="1" max="1" width="15" bestFit="1" customWidth="1"/>
    <col min="2" max="2" width="17.33203125" bestFit="1" customWidth="1"/>
    <col min="3" max="3" width="13" bestFit="1" customWidth="1"/>
    <col min="4" max="4" width="16" bestFit="1" customWidth="1"/>
    <col min="5" max="5" width="17.83203125" bestFit="1" customWidth="1"/>
    <col min="6" max="6" width="17.5" customWidth="1"/>
    <col min="7" max="7" width="24.5" bestFit="1" customWidth="1"/>
    <col min="8" max="8" width="16.33203125" bestFit="1" customWidth="1"/>
    <col min="9" max="9" width="17.83203125" bestFit="1" customWidth="1"/>
    <col min="10" max="10" width="26.5" bestFit="1" customWidth="1"/>
    <col min="11" max="11" width="14.5" bestFit="1" customWidth="1"/>
    <col min="12" max="12" width="16" bestFit="1" customWidth="1"/>
    <col min="13" max="13" width="10.83203125" customWidth="1"/>
    <col min="14" max="14" width="11.5" bestFit="1" customWidth="1"/>
    <col min="15" max="15" width="10.83203125" bestFit="1" customWidth="1"/>
    <col min="16" max="16" width="11.6640625" bestFit="1" customWidth="1"/>
    <col min="17" max="17" width="22.83203125" bestFit="1" customWidth="1"/>
  </cols>
  <sheetData>
    <row r="1" spans="1:17" ht="2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">
      <c r="A2" t="s">
        <v>17</v>
      </c>
      <c r="B2" s="1">
        <v>45658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5</v>
      </c>
      <c r="L2" s="2">
        <v>7.87</v>
      </c>
      <c r="M2" s="3">
        <v>0.05</v>
      </c>
      <c r="N2" s="2">
        <v>37.380000000000003</v>
      </c>
      <c r="O2" s="2">
        <v>30.23</v>
      </c>
      <c r="P2" s="2">
        <v>7.15</v>
      </c>
      <c r="Q2" t="s">
        <v>26</v>
      </c>
    </row>
    <row r="3" spans="1:17" x14ac:dyDescent="0.2">
      <c r="A3" t="s">
        <v>27</v>
      </c>
      <c r="B3" s="1">
        <v>45658</v>
      </c>
      <c r="C3" t="s">
        <v>18</v>
      </c>
      <c r="D3" t="s">
        <v>28</v>
      </c>
      <c r="E3" t="s">
        <v>29</v>
      </c>
      <c r="F3" t="s">
        <v>30</v>
      </c>
      <c r="G3" t="s">
        <v>22</v>
      </c>
      <c r="H3" t="s">
        <v>31</v>
      </c>
      <c r="I3" t="s">
        <v>32</v>
      </c>
      <c r="J3" t="s">
        <v>33</v>
      </c>
      <c r="K3">
        <v>10</v>
      </c>
      <c r="L3" s="2">
        <v>1689.31</v>
      </c>
      <c r="M3" s="3">
        <v>0</v>
      </c>
      <c r="N3" s="2">
        <v>16893.099999999999</v>
      </c>
      <c r="O3" s="2">
        <v>10442.450000000001</v>
      </c>
      <c r="P3" s="2">
        <v>6450.65</v>
      </c>
      <c r="Q3" t="s">
        <v>34</v>
      </c>
    </row>
    <row r="4" spans="1:17" x14ac:dyDescent="0.2">
      <c r="A4" t="s">
        <v>35</v>
      </c>
      <c r="B4" s="1">
        <v>45658</v>
      </c>
      <c r="C4" t="s">
        <v>36</v>
      </c>
      <c r="D4" t="s">
        <v>37</v>
      </c>
      <c r="E4" t="s">
        <v>38</v>
      </c>
      <c r="F4" t="s">
        <v>39</v>
      </c>
      <c r="G4" t="s">
        <v>22</v>
      </c>
      <c r="H4" t="s">
        <v>31</v>
      </c>
      <c r="I4" t="s">
        <v>40</v>
      </c>
      <c r="J4" t="s">
        <v>41</v>
      </c>
      <c r="K4">
        <v>2</v>
      </c>
      <c r="L4" s="2">
        <v>100.49</v>
      </c>
      <c r="M4" s="3">
        <v>0</v>
      </c>
      <c r="N4" s="2">
        <v>200.98</v>
      </c>
      <c r="O4" s="2">
        <v>146.06</v>
      </c>
      <c r="P4" s="2">
        <v>54.92</v>
      </c>
      <c r="Q4" t="s">
        <v>26</v>
      </c>
    </row>
    <row r="5" spans="1:17" x14ac:dyDescent="0.2">
      <c r="A5" t="s">
        <v>42</v>
      </c>
      <c r="B5" s="1">
        <v>45658</v>
      </c>
      <c r="C5" t="s">
        <v>43</v>
      </c>
      <c r="D5" t="s">
        <v>44</v>
      </c>
      <c r="E5" t="s">
        <v>45</v>
      </c>
      <c r="F5" t="s">
        <v>46</v>
      </c>
      <c r="G5" t="s">
        <v>22</v>
      </c>
      <c r="H5" t="s">
        <v>47</v>
      </c>
      <c r="I5" t="s">
        <v>48</v>
      </c>
      <c r="J5" t="s">
        <v>49</v>
      </c>
      <c r="K5">
        <v>8</v>
      </c>
      <c r="L5" s="2">
        <v>774.93</v>
      </c>
      <c r="M5" s="3">
        <v>0.05</v>
      </c>
      <c r="N5" s="2">
        <v>5889.47</v>
      </c>
      <c r="O5" s="2">
        <v>3271.24</v>
      </c>
      <c r="P5" s="2">
        <v>2618.23</v>
      </c>
      <c r="Q5" t="s">
        <v>34</v>
      </c>
    </row>
    <row r="6" spans="1:17" x14ac:dyDescent="0.2">
      <c r="A6" t="s">
        <v>50</v>
      </c>
      <c r="B6" s="1">
        <v>45658</v>
      </c>
      <c r="C6" t="s">
        <v>43</v>
      </c>
      <c r="D6" t="s">
        <v>51</v>
      </c>
      <c r="E6" t="s">
        <v>52</v>
      </c>
      <c r="F6" t="s">
        <v>53</v>
      </c>
      <c r="G6" t="s">
        <v>54</v>
      </c>
      <c r="H6" t="s">
        <v>23</v>
      </c>
      <c r="I6" t="s">
        <v>55</v>
      </c>
      <c r="J6" t="s">
        <v>56</v>
      </c>
      <c r="K6">
        <v>5</v>
      </c>
      <c r="L6" s="2">
        <v>14.29</v>
      </c>
      <c r="M6" s="3">
        <v>0.1</v>
      </c>
      <c r="N6" s="2">
        <v>64.3</v>
      </c>
      <c r="O6" s="2">
        <v>48.74</v>
      </c>
      <c r="P6" s="2">
        <v>15.56</v>
      </c>
      <c r="Q6" t="s">
        <v>57</v>
      </c>
    </row>
    <row r="7" spans="1:17" x14ac:dyDescent="0.2">
      <c r="A7" t="s">
        <v>58</v>
      </c>
      <c r="B7" s="1">
        <v>45658</v>
      </c>
      <c r="C7" t="s">
        <v>43</v>
      </c>
      <c r="D7" t="s">
        <v>51</v>
      </c>
      <c r="E7" t="s">
        <v>59</v>
      </c>
      <c r="F7" t="s">
        <v>60</v>
      </c>
      <c r="G7" t="s">
        <v>54</v>
      </c>
      <c r="H7" t="s">
        <v>23</v>
      </c>
      <c r="I7" t="s">
        <v>24</v>
      </c>
      <c r="J7" t="s">
        <v>25</v>
      </c>
      <c r="K7">
        <v>6</v>
      </c>
      <c r="L7" s="2">
        <v>17.62</v>
      </c>
      <c r="M7" s="3">
        <v>0</v>
      </c>
      <c r="N7" s="2">
        <v>105.72</v>
      </c>
      <c r="O7" s="2">
        <v>77.599999999999994</v>
      </c>
      <c r="P7" s="2">
        <v>28.12</v>
      </c>
      <c r="Q7" t="s">
        <v>61</v>
      </c>
    </row>
    <row r="8" spans="1:17" x14ac:dyDescent="0.2">
      <c r="A8" t="s">
        <v>62</v>
      </c>
      <c r="B8" s="1">
        <v>45658</v>
      </c>
      <c r="C8" t="s">
        <v>43</v>
      </c>
      <c r="D8" t="s">
        <v>51</v>
      </c>
      <c r="E8" t="s">
        <v>63</v>
      </c>
      <c r="F8" t="s">
        <v>46</v>
      </c>
      <c r="G8" t="s">
        <v>22</v>
      </c>
      <c r="H8" t="s">
        <v>31</v>
      </c>
      <c r="I8" t="s">
        <v>64</v>
      </c>
      <c r="J8" t="s">
        <v>65</v>
      </c>
      <c r="K8">
        <v>3</v>
      </c>
      <c r="L8" s="2">
        <v>156.07</v>
      </c>
      <c r="M8" s="3">
        <v>0</v>
      </c>
      <c r="N8" s="2">
        <v>468.21</v>
      </c>
      <c r="O8" s="2">
        <v>332.49</v>
      </c>
      <c r="P8" s="2">
        <v>135.72</v>
      </c>
      <c r="Q8" t="s">
        <v>26</v>
      </c>
    </row>
    <row r="9" spans="1:17" x14ac:dyDescent="0.2">
      <c r="A9" t="s">
        <v>66</v>
      </c>
      <c r="B9" s="1">
        <v>45659</v>
      </c>
      <c r="C9" t="s">
        <v>36</v>
      </c>
      <c r="D9" t="s">
        <v>67</v>
      </c>
      <c r="E9" t="s">
        <v>68</v>
      </c>
      <c r="F9" t="s">
        <v>69</v>
      </c>
      <c r="G9" t="s">
        <v>22</v>
      </c>
      <c r="H9" t="s">
        <v>31</v>
      </c>
      <c r="I9" t="s">
        <v>32</v>
      </c>
      <c r="J9" t="s">
        <v>33</v>
      </c>
      <c r="K9">
        <v>4</v>
      </c>
      <c r="L9" s="2">
        <v>1399.75</v>
      </c>
      <c r="M9" s="3">
        <v>0.2</v>
      </c>
      <c r="N9" s="2">
        <v>4479.2</v>
      </c>
      <c r="O9" s="2">
        <v>3562</v>
      </c>
      <c r="P9" s="2">
        <v>917.2</v>
      </c>
      <c r="Q9" t="s">
        <v>34</v>
      </c>
    </row>
    <row r="10" spans="1:17" x14ac:dyDescent="0.2">
      <c r="A10" t="s">
        <v>70</v>
      </c>
      <c r="B10" s="1">
        <v>45659</v>
      </c>
      <c r="C10" t="s">
        <v>43</v>
      </c>
      <c r="D10" t="s">
        <v>51</v>
      </c>
      <c r="E10" t="s">
        <v>63</v>
      </c>
      <c r="F10" t="s">
        <v>71</v>
      </c>
      <c r="G10" t="s">
        <v>22</v>
      </c>
      <c r="H10" t="s">
        <v>31</v>
      </c>
      <c r="I10" t="s">
        <v>40</v>
      </c>
      <c r="J10" t="s">
        <v>41</v>
      </c>
      <c r="K10">
        <v>7</v>
      </c>
      <c r="L10" s="2">
        <v>73.44</v>
      </c>
      <c r="M10" s="3">
        <v>0.15</v>
      </c>
      <c r="N10" s="2">
        <v>436.97</v>
      </c>
      <c r="O10" s="2">
        <v>241.91</v>
      </c>
      <c r="P10" s="2">
        <v>195.06</v>
      </c>
      <c r="Q10" t="s">
        <v>26</v>
      </c>
    </row>
    <row r="11" spans="1:17" x14ac:dyDescent="0.2">
      <c r="A11" t="s">
        <v>72</v>
      </c>
      <c r="B11" s="1">
        <v>45659</v>
      </c>
      <c r="C11" t="s">
        <v>36</v>
      </c>
      <c r="D11" t="s">
        <v>73</v>
      </c>
      <c r="E11" t="s">
        <v>74</v>
      </c>
      <c r="F11" t="s">
        <v>60</v>
      </c>
      <c r="G11" t="s">
        <v>75</v>
      </c>
      <c r="H11" t="s">
        <v>23</v>
      </c>
      <c r="I11" t="s">
        <v>55</v>
      </c>
      <c r="J11" t="s">
        <v>56</v>
      </c>
      <c r="K11">
        <v>10</v>
      </c>
      <c r="L11" s="2">
        <v>11.64</v>
      </c>
      <c r="M11" s="3">
        <v>0.2</v>
      </c>
      <c r="N11" s="2">
        <v>93.12</v>
      </c>
      <c r="O11" s="2">
        <v>52.65</v>
      </c>
      <c r="P11" s="2">
        <v>40.47</v>
      </c>
      <c r="Q11" t="s">
        <v>26</v>
      </c>
    </row>
    <row r="12" spans="1:17" x14ac:dyDescent="0.2">
      <c r="A12" t="s">
        <v>76</v>
      </c>
      <c r="B12" s="1">
        <v>45659</v>
      </c>
      <c r="C12" t="s">
        <v>77</v>
      </c>
      <c r="D12" t="s">
        <v>78</v>
      </c>
      <c r="E12" t="s">
        <v>52</v>
      </c>
      <c r="F12" t="s">
        <v>46</v>
      </c>
      <c r="G12" t="s">
        <v>75</v>
      </c>
      <c r="H12" t="s">
        <v>23</v>
      </c>
      <c r="I12" t="s">
        <v>79</v>
      </c>
      <c r="J12" t="s">
        <v>80</v>
      </c>
      <c r="K12">
        <v>1</v>
      </c>
      <c r="L12" s="2">
        <v>495.79</v>
      </c>
      <c r="M12" s="3">
        <v>0.15</v>
      </c>
      <c r="N12" s="2">
        <v>421.42</v>
      </c>
      <c r="O12" s="2">
        <v>283.33</v>
      </c>
      <c r="P12" s="2">
        <v>138.09</v>
      </c>
      <c r="Q12" t="s">
        <v>34</v>
      </c>
    </row>
    <row r="13" spans="1:17" x14ac:dyDescent="0.2">
      <c r="A13" t="s">
        <v>81</v>
      </c>
      <c r="B13" s="1">
        <v>45659</v>
      </c>
      <c r="C13" t="s">
        <v>43</v>
      </c>
      <c r="D13" t="s">
        <v>44</v>
      </c>
      <c r="E13" t="s">
        <v>82</v>
      </c>
      <c r="F13" t="s">
        <v>46</v>
      </c>
      <c r="G13" t="s">
        <v>22</v>
      </c>
      <c r="H13" t="s">
        <v>23</v>
      </c>
      <c r="I13" t="s">
        <v>83</v>
      </c>
      <c r="J13" t="s">
        <v>84</v>
      </c>
      <c r="K13">
        <v>2</v>
      </c>
      <c r="L13" s="2">
        <v>18.77</v>
      </c>
      <c r="M13" s="3">
        <v>0.05</v>
      </c>
      <c r="N13" s="2">
        <v>35.659999999999997</v>
      </c>
      <c r="O13" s="2">
        <v>28.69</v>
      </c>
      <c r="P13" s="2">
        <v>6.97</v>
      </c>
      <c r="Q13" t="s">
        <v>57</v>
      </c>
    </row>
    <row r="14" spans="1:17" x14ac:dyDescent="0.2">
      <c r="A14" t="s">
        <v>85</v>
      </c>
      <c r="B14" s="1">
        <v>45659</v>
      </c>
      <c r="C14" t="s">
        <v>18</v>
      </c>
      <c r="D14" t="s">
        <v>86</v>
      </c>
      <c r="E14" t="s">
        <v>87</v>
      </c>
      <c r="F14" t="s">
        <v>71</v>
      </c>
      <c r="G14" t="s">
        <v>75</v>
      </c>
      <c r="H14" t="s">
        <v>23</v>
      </c>
      <c r="I14" t="s">
        <v>55</v>
      </c>
      <c r="J14" t="s">
        <v>56</v>
      </c>
      <c r="K14">
        <v>1</v>
      </c>
      <c r="L14" s="2">
        <v>11.51</v>
      </c>
      <c r="M14" s="3">
        <v>0.05</v>
      </c>
      <c r="N14" s="2">
        <v>10.93</v>
      </c>
      <c r="O14" s="2">
        <v>8.44</v>
      </c>
      <c r="P14" s="2">
        <v>2.4900000000000002</v>
      </c>
      <c r="Q14" t="s">
        <v>57</v>
      </c>
    </row>
    <row r="15" spans="1:17" x14ac:dyDescent="0.2">
      <c r="A15" t="s">
        <v>88</v>
      </c>
      <c r="B15" s="1">
        <v>45659</v>
      </c>
      <c r="C15" t="s">
        <v>36</v>
      </c>
      <c r="D15" t="s">
        <v>73</v>
      </c>
      <c r="E15" t="s">
        <v>74</v>
      </c>
      <c r="F15" t="s">
        <v>60</v>
      </c>
      <c r="G15" t="s">
        <v>22</v>
      </c>
      <c r="H15" t="s">
        <v>47</v>
      </c>
      <c r="I15" t="s">
        <v>89</v>
      </c>
      <c r="J15" t="s">
        <v>90</v>
      </c>
      <c r="K15">
        <v>5</v>
      </c>
      <c r="L15" s="2">
        <v>395.32</v>
      </c>
      <c r="M15" s="3">
        <v>0.15</v>
      </c>
      <c r="N15" s="2">
        <v>1680.11</v>
      </c>
      <c r="O15" s="2">
        <v>1232.6600000000001</v>
      </c>
      <c r="P15" s="2">
        <v>447.45</v>
      </c>
      <c r="Q15" t="s">
        <v>34</v>
      </c>
    </row>
    <row r="16" spans="1:17" x14ac:dyDescent="0.2">
      <c r="A16" t="s">
        <v>91</v>
      </c>
      <c r="B16" s="1">
        <v>45659</v>
      </c>
      <c r="C16" t="s">
        <v>18</v>
      </c>
      <c r="D16" t="s">
        <v>86</v>
      </c>
      <c r="E16" t="s">
        <v>92</v>
      </c>
      <c r="F16" t="s">
        <v>60</v>
      </c>
      <c r="G16" t="s">
        <v>22</v>
      </c>
      <c r="H16" t="s">
        <v>47</v>
      </c>
      <c r="I16" t="s">
        <v>48</v>
      </c>
      <c r="J16" t="s">
        <v>93</v>
      </c>
      <c r="K16">
        <v>2</v>
      </c>
      <c r="L16" s="2">
        <v>703.28</v>
      </c>
      <c r="M16" s="3">
        <v>0</v>
      </c>
      <c r="N16" s="2">
        <v>1406.56</v>
      </c>
      <c r="O16" s="2">
        <v>936.86</v>
      </c>
      <c r="P16" s="2">
        <v>469.7</v>
      </c>
      <c r="Q16" t="s">
        <v>26</v>
      </c>
    </row>
    <row r="17" spans="1:17" x14ac:dyDescent="0.2">
      <c r="A17" t="s">
        <v>94</v>
      </c>
      <c r="B17" s="1">
        <v>45659</v>
      </c>
      <c r="C17" t="s">
        <v>77</v>
      </c>
      <c r="D17" t="s">
        <v>95</v>
      </c>
      <c r="E17" t="s">
        <v>96</v>
      </c>
      <c r="F17" t="s">
        <v>60</v>
      </c>
      <c r="G17" t="s">
        <v>54</v>
      </c>
      <c r="H17" t="s">
        <v>47</v>
      </c>
      <c r="I17" t="s">
        <v>97</v>
      </c>
      <c r="J17" t="s">
        <v>98</v>
      </c>
      <c r="K17">
        <v>2</v>
      </c>
      <c r="L17" s="2">
        <v>206.26</v>
      </c>
      <c r="M17" s="3">
        <v>0.1</v>
      </c>
      <c r="N17" s="2">
        <v>371.27</v>
      </c>
      <c r="O17" s="2">
        <v>234</v>
      </c>
      <c r="P17" s="2">
        <v>137.27000000000001</v>
      </c>
      <c r="Q17" t="s">
        <v>26</v>
      </c>
    </row>
    <row r="18" spans="1:17" x14ac:dyDescent="0.2">
      <c r="A18" t="s">
        <v>99</v>
      </c>
      <c r="B18" s="1">
        <v>45659</v>
      </c>
      <c r="C18" t="s">
        <v>18</v>
      </c>
      <c r="D18" t="s">
        <v>19</v>
      </c>
      <c r="E18" t="s">
        <v>100</v>
      </c>
      <c r="F18" t="s">
        <v>69</v>
      </c>
      <c r="G18" t="s">
        <v>22</v>
      </c>
      <c r="H18" t="s">
        <v>31</v>
      </c>
      <c r="I18" t="s">
        <v>40</v>
      </c>
      <c r="J18" t="s">
        <v>41</v>
      </c>
      <c r="K18">
        <v>9</v>
      </c>
      <c r="L18" s="2">
        <v>135.88999999999999</v>
      </c>
      <c r="M18" s="3">
        <v>0.1</v>
      </c>
      <c r="N18" s="2">
        <v>1100.71</v>
      </c>
      <c r="O18" s="2">
        <v>699.75</v>
      </c>
      <c r="P18" s="2">
        <v>400.96</v>
      </c>
      <c r="Q18" t="s">
        <v>57</v>
      </c>
    </row>
    <row r="19" spans="1:17" x14ac:dyDescent="0.2">
      <c r="A19" t="s">
        <v>101</v>
      </c>
      <c r="B19" s="1">
        <v>45659</v>
      </c>
      <c r="C19" t="s">
        <v>18</v>
      </c>
      <c r="D19" t="s">
        <v>19</v>
      </c>
      <c r="E19" t="s">
        <v>100</v>
      </c>
      <c r="F19" t="s">
        <v>46</v>
      </c>
      <c r="G19" t="s">
        <v>22</v>
      </c>
      <c r="H19" t="s">
        <v>23</v>
      </c>
      <c r="I19" t="s">
        <v>55</v>
      </c>
      <c r="J19" t="s">
        <v>102</v>
      </c>
      <c r="K19">
        <v>7</v>
      </c>
      <c r="L19" s="2">
        <v>6.75</v>
      </c>
      <c r="M19" s="3">
        <v>0</v>
      </c>
      <c r="N19" s="2">
        <v>47.25</v>
      </c>
      <c r="O19" s="2">
        <v>33.700000000000003</v>
      </c>
      <c r="P19" s="2">
        <v>13.55</v>
      </c>
      <c r="Q19" t="s">
        <v>34</v>
      </c>
    </row>
    <row r="20" spans="1:17" x14ac:dyDescent="0.2">
      <c r="A20" t="s">
        <v>103</v>
      </c>
      <c r="B20" s="1">
        <v>45660</v>
      </c>
      <c r="C20" t="s">
        <v>18</v>
      </c>
      <c r="D20" t="s">
        <v>19</v>
      </c>
      <c r="E20" t="s">
        <v>100</v>
      </c>
      <c r="F20" t="s">
        <v>21</v>
      </c>
      <c r="G20" t="s">
        <v>75</v>
      </c>
      <c r="H20" t="s">
        <v>31</v>
      </c>
      <c r="I20" t="s">
        <v>32</v>
      </c>
      <c r="J20" t="s">
        <v>104</v>
      </c>
      <c r="K20">
        <v>6</v>
      </c>
      <c r="L20" s="2">
        <v>1134.05</v>
      </c>
      <c r="M20" s="3">
        <v>0.1</v>
      </c>
      <c r="N20" s="2">
        <v>6123.87</v>
      </c>
      <c r="O20" s="2">
        <v>4426.83</v>
      </c>
      <c r="P20" s="2">
        <v>1697.04</v>
      </c>
      <c r="Q20" t="s">
        <v>26</v>
      </c>
    </row>
    <row r="21" spans="1:17" x14ac:dyDescent="0.2">
      <c r="A21" t="s">
        <v>105</v>
      </c>
      <c r="B21" s="1">
        <v>45660</v>
      </c>
      <c r="C21" t="s">
        <v>77</v>
      </c>
      <c r="D21" t="s">
        <v>106</v>
      </c>
      <c r="E21" t="s">
        <v>107</v>
      </c>
      <c r="F21" t="s">
        <v>53</v>
      </c>
      <c r="G21" t="s">
        <v>75</v>
      </c>
      <c r="H21" t="s">
        <v>23</v>
      </c>
      <c r="I21" t="s">
        <v>24</v>
      </c>
      <c r="J21" t="s">
        <v>108</v>
      </c>
      <c r="K21">
        <v>6</v>
      </c>
      <c r="L21" s="2">
        <v>19.41</v>
      </c>
      <c r="M21" s="3">
        <v>0.1</v>
      </c>
      <c r="N21" s="2">
        <v>104.81</v>
      </c>
      <c r="O21" s="2">
        <v>69.28</v>
      </c>
      <c r="P21" s="2">
        <v>35.53</v>
      </c>
      <c r="Q21" t="s">
        <v>34</v>
      </c>
    </row>
    <row r="22" spans="1:17" x14ac:dyDescent="0.2">
      <c r="A22" t="s">
        <v>109</v>
      </c>
      <c r="B22" s="1">
        <v>45660</v>
      </c>
      <c r="C22" t="s">
        <v>36</v>
      </c>
      <c r="D22" t="s">
        <v>110</v>
      </c>
      <c r="E22" t="s">
        <v>111</v>
      </c>
      <c r="F22" t="s">
        <v>69</v>
      </c>
      <c r="G22" t="s">
        <v>22</v>
      </c>
      <c r="H22" t="s">
        <v>31</v>
      </c>
      <c r="I22" t="s">
        <v>112</v>
      </c>
      <c r="J22" t="s">
        <v>113</v>
      </c>
      <c r="K22">
        <v>8</v>
      </c>
      <c r="L22" s="2">
        <v>386.59</v>
      </c>
      <c r="M22" s="3">
        <v>0.05</v>
      </c>
      <c r="N22" s="2">
        <v>2938.08</v>
      </c>
      <c r="O22" s="2">
        <v>2335.7800000000002</v>
      </c>
      <c r="P22" s="2">
        <v>602.29999999999995</v>
      </c>
      <c r="Q22" t="s">
        <v>57</v>
      </c>
    </row>
    <row r="23" spans="1:17" x14ac:dyDescent="0.2">
      <c r="A23" t="s">
        <v>114</v>
      </c>
      <c r="B23" s="1">
        <v>45660</v>
      </c>
      <c r="C23" t="s">
        <v>36</v>
      </c>
      <c r="D23" t="s">
        <v>110</v>
      </c>
      <c r="E23" t="s">
        <v>115</v>
      </c>
      <c r="F23" t="s">
        <v>60</v>
      </c>
      <c r="G23" t="s">
        <v>22</v>
      </c>
      <c r="H23" t="s">
        <v>47</v>
      </c>
      <c r="I23" t="s">
        <v>97</v>
      </c>
      <c r="J23" t="s">
        <v>116</v>
      </c>
      <c r="K23">
        <v>10</v>
      </c>
      <c r="L23" s="2">
        <v>453.84</v>
      </c>
      <c r="M23" s="3">
        <v>0.05</v>
      </c>
      <c r="N23" s="2">
        <v>4311.4799999999996</v>
      </c>
      <c r="O23" s="2">
        <v>3259.03</v>
      </c>
      <c r="P23" s="2">
        <v>1052.45</v>
      </c>
      <c r="Q23" t="s">
        <v>61</v>
      </c>
    </row>
    <row r="24" spans="1:17" x14ac:dyDescent="0.2">
      <c r="A24" t="s">
        <v>117</v>
      </c>
      <c r="B24" s="1">
        <v>45660</v>
      </c>
      <c r="C24" t="s">
        <v>18</v>
      </c>
      <c r="D24" t="s">
        <v>19</v>
      </c>
      <c r="E24" t="s">
        <v>118</v>
      </c>
      <c r="F24" t="s">
        <v>53</v>
      </c>
      <c r="G24" t="s">
        <v>22</v>
      </c>
      <c r="H24" t="s">
        <v>31</v>
      </c>
      <c r="I24" t="s">
        <v>32</v>
      </c>
      <c r="J24" t="s">
        <v>104</v>
      </c>
      <c r="K24">
        <v>2</v>
      </c>
      <c r="L24" s="2">
        <v>1723.81</v>
      </c>
      <c r="M24" s="3">
        <v>0</v>
      </c>
      <c r="N24" s="2">
        <v>3447.62</v>
      </c>
      <c r="O24" s="2">
        <v>2067.61</v>
      </c>
      <c r="P24" s="2">
        <v>1380.01</v>
      </c>
      <c r="Q24" t="s">
        <v>34</v>
      </c>
    </row>
    <row r="25" spans="1:17" x14ac:dyDescent="0.2">
      <c r="A25" t="s">
        <v>119</v>
      </c>
      <c r="B25" s="1">
        <v>45660</v>
      </c>
      <c r="C25" t="s">
        <v>77</v>
      </c>
      <c r="D25" t="s">
        <v>106</v>
      </c>
      <c r="E25" t="s">
        <v>107</v>
      </c>
      <c r="F25" t="s">
        <v>21</v>
      </c>
      <c r="G25" t="s">
        <v>54</v>
      </c>
      <c r="H25" t="s">
        <v>23</v>
      </c>
      <c r="I25" t="s">
        <v>83</v>
      </c>
      <c r="J25" t="s">
        <v>120</v>
      </c>
      <c r="K25">
        <v>3</v>
      </c>
      <c r="L25" s="2">
        <v>31.65</v>
      </c>
      <c r="M25" s="3">
        <v>0</v>
      </c>
      <c r="N25" s="2">
        <v>94.95</v>
      </c>
      <c r="O25" s="2">
        <v>65.06</v>
      </c>
      <c r="P25" s="2">
        <v>29.89</v>
      </c>
      <c r="Q25" t="s">
        <v>61</v>
      </c>
    </row>
    <row r="26" spans="1:17" x14ac:dyDescent="0.2">
      <c r="A26" t="s">
        <v>121</v>
      </c>
      <c r="B26" s="1">
        <v>45660</v>
      </c>
      <c r="C26" t="s">
        <v>18</v>
      </c>
      <c r="D26" t="s">
        <v>86</v>
      </c>
      <c r="E26" t="s">
        <v>87</v>
      </c>
      <c r="F26" t="s">
        <v>69</v>
      </c>
      <c r="G26" t="s">
        <v>22</v>
      </c>
      <c r="H26" t="s">
        <v>31</v>
      </c>
      <c r="I26" t="s">
        <v>40</v>
      </c>
      <c r="J26" t="s">
        <v>122</v>
      </c>
      <c r="K26">
        <v>2</v>
      </c>
      <c r="L26" s="2">
        <v>202.91</v>
      </c>
      <c r="M26" s="3">
        <v>0.15</v>
      </c>
      <c r="N26" s="2">
        <v>344.95</v>
      </c>
      <c r="O26" s="2">
        <v>218.14</v>
      </c>
      <c r="P26" s="2">
        <v>126.81</v>
      </c>
      <c r="Q26" t="s">
        <v>26</v>
      </c>
    </row>
    <row r="27" spans="1:17" x14ac:dyDescent="0.2">
      <c r="A27" t="s">
        <v>123</v>
      </c>
      <c r="B27" s="1">
        <v>45661</v>
      </c>
      <c r="C27" t="s">
        <v>36</v>
      </c>
      <c r="D27" t="s">
        <v>37</v>
      </c>
      <c r="E27" t="s">
        <v>38</v>
      </c>
      <c r="F27" t="s">
        <v>46</v>
      </c>
      <c r="G27" t="s">
        <v>22</v>
      </c>
      <c r="H27" t="s">
        <v>47</v>
      </c>
      <c r="I27" t="s">
        <v>97</v>
      </c>
      <c r="J27" t="s">
        <v>116</v>
      </c>
      <c r="K27">
        <v>3</v>
      </c>
      <c r="L27" s="2">
        <v>239.54</v>
      </c>
      <c r="M27" s="3">
        <v>0.1</v>
      </c>
      <c r="N27" s="2">
        <v>646.76</v>
      </c>
      <c r="O27" s="2">
        <v>436.96</v>
      </c>
      <c r="P27" s="2">
        <v>209.8</v>
      </c>
      <c r="Q27" t="s">
        <v>61</v>
      </c>
    </row>
    <row r="28" spans="1:17" x14ac:dyDescent="0.2">
      <c r="A28" t="s">
        <v>124</v>
      </c>
      <c r="B28" s="1">
        <v>45661</v>
      </c>
      <c r="C28" t="s">
        <v>18</v>
      </c>
      <c r="D28" t="s">
        <v>19</v>
      </c>
      <c r="E28" t="s">
        <v>100</v>
      </c>
      <c r="F28" t="s">
        <v>46</v>
      </c>
      <c r="G28" t="s">
        <v>54</v>
      </c>
      <c r="H28" t="s">
        <v>23</v>
      </c>
      <c r="I28" t="s">
        <v>24</v>
      </c>
      <c r="J28" t="s">
        <v>25</v>
      </c>
      <c r="K28">
        <v>4</v>
      </c>
      <c r="L28" s="2">
        <v>6.94</v>
      </c>
      <c r="M28" s="3">
        <v>0.2</v>
      </c>
      <c r="N28" s="2">
        <v>22.21</v>
      </c>
      <c r="O28" s="2">
        <v>12.58</v>
      </c>
      <c r="P28" s="2">
        <v>9.6300000000000008</v>
      </c>
      <c r="Q28" t="s">
        <v>57</v>
      </c>
    </row>
    <row r="29" spans="1:17" x14ac:dyDescent="0.2">
      <c r="A29" t="s">
        <v>125</v>
      </c>
      <c r="B29" s="1">
        <v>45661</v>
      </c>
      <c r="C29" t="s">
        <v>43</v>
      </c>
      <c r="D29" t="s">
        <v>51</v>
      </c>
      <c r="E29" t="s">
        <v>59</v>
      </c>
      <c r="F29" t="s">
        <v>30</v>
      </c>
      <c r="G29" t="s">
        <v>75</v>
      </c>
      <c r="H29" t="s">
        <v>31</v>
      </c>
      <c r="I29" t="s">
        <v>64</v>
      </c>
      <c r="J29" t="s">
        <v>126</v>
      </c>
      <c r="K29">
        <v>5</v>
      </c>
      <c r="L29" s="2">
        <v>118.33</v>
      </c>
      <c r="M29" s="3">
        <v>0</v>
      </c>
      <c r="N29" s="2">
        <v>591.65</v>
      </c>
      <c r="O29" s="2">
        <v>458.22</v>
      </c>
      <c r="P29" s="2">
        <v>133.43</v>
      </c>
      <c r="Q29" t="s">
        <v>57</v>
      </c>
    </row>
    <row r="30" spans="1:17" x14ac:dyDescent="0.2">
      <c r="A30" t="s">
        <v>127</v>
      </c>
      <c r="B30" s="1">
        <v>45661</v>
      </c>
      <c r="C30" t="s">
        <v>77</v>
      </c>
      <c r="D30" t="s">
        <v>128</v>
      </c>
      <c r="E30" t="s">
        <v>129</v>
      </c>
      <c r="F30" t="s">
        <v>130</v>
      </c>
      <c r="G30" t="s">
        <v>75</v>
      </c>
      <c r="H30" t="s">
        <v>23</v>
      </c>
      <c r="I30" t="s">
        <v>83</v>
      </c>
      <c r="J30" t="s">
        <v>131</v>
      </c>
      <c r="K30">
        <v>1</v>
      </c>
      <c r="L30" s="2">
        <v>31.33</v>
      </c>
      <c r="M30" s="3">
        <v>0.15</v>
      </c>
      <c r="N30" s="2">
        <v>26.63</v>
      </c>
      <c r="O30" s="2">
        <v>17.61</v>
      </c>
      <c r="P30" s="2">
        <v>9.02</v>
      </c>
      <c r="Q30" t="s">
        <v>34</v>
      </c>
    </row>
    <row r="31" spans="1:17" x14ac:dyDescent="0.2">
      <c r="A31" t="s">
        <v>132</v>
      </c>
      <c r="B31" s="1">
        <v>45661</v>
      </c>
      <c r="C31" t="s">
        <v>18</v>
      </c>
      <c r="D31" t="s">
        <v>133</v>
      </c>
      <c r="E31" t="s">
        <v>134</v>
      </c>
      <c r="F31" t="s">
        <v>46</v>
      </c>
      <c r="G31" t="s">
        <v>75</v>
      </c>
      <c r="H31" t="s">
        <v>23</v>
      </c>
      <c r="I31" t="s">
        <v>55</v>
      </c>
      <c r="J31" t="s">
        <v>56</v>
      </c>
      <c r="K31">
        <v>2</v>
      </c>
      <c r="L31" s="2">
        <v>14.09</v>
      </c>
      <c r="M31" s="3">
        <v>0</v>
      </c>
      <c r="N31" s="2">
        <v>28.18</v>
      </c>
      <c r="O31" s="2">
        <v>22.7</v>
      </c>
      <c r="P31" s="2">
        <v>5.48</v>
      </c>
      <c r="Q31" t="s">
        <v>26</v>
      </c>
    </row>
    <row r="32" spans="1:17" x14ac:dyDescent="0.2">
      <c r="A32" t="s">
        <v>135</v>
      </c>
      <c r="B32" s="1">
        <v>45661</v>
      </c>
      <c r="C32" t="s">
        <v>36</v>
      </c>
      <c r="D32" t="s">
        <v>67</v>
      </c>
      <c r="E32" t="s">
        <v>68</v>
      </c>
      <c r="F32" t="s">
        <v>69</v>
      </c>
      <c r="G32" t="s">
        <v>54</v>
      </c>
      <c r="H32" t="s">
        <v>31</v>
      </c>
      <c r="I32" t="s">
        <v>112</v>
      </c>
      <c r="J32" t="s">
        <v>136</v>
      </c>
      <c r="K32">
        <v>7</v>
      </c>
      <c r="L32" s="2">
        <v>245.81</v>
      </c>
      <c r="M32" s="3">
        <v>0.1</v>
      </c>
      <c r="N32" s="2">
        <v>1548.6</v>
      </c>
      <c r="O32" s="2">
        <v>1089.49</v>
      </c>
      <c r="P32" s="2">
        <v>459.11</v>
      </c>
      <c r="Q32" t="s">
        <v>61</v>
      </c>
    </row>
    <row r="33" spans="1:17" x14ac:dyDescent="0.2">
      <c r="A33" t="s">
        <v>137</v>
      </c>
      <c r="B33" s="1">
        <v>45661</v>
      </c>
      <c r="C33" t="s">
        <v>43</v>
      </c>
      <c r="D33" t="s">
        <v>51</v>
      </c>
      <c r="E33" t="s">
        <v>63</v>
      </c>
      <c r="F33" t="s">
        <v>138</v>
      </c>
      <c r="G33" t="s">
        <v>75</v>
      </c>
      <c r="H33" t="s">
        <v>23</v>
      </c>
      <c r="I33" t="s">
        <v>55</v>
      </c>
      <c r="J33" t="s">
        <v>56</v>
      </c>
      <c r="K33">
        <v>7</v>
      </c>
      <c r="L33" s="2">
        <v>20.34</v>
      </c>
      <c r="M33" s="3">
        <v>0</v>
      </c>
      <c r="N33" s="2">
        <v>142.38</v>
      </c>
      <c r="O33" s="2">
        <v>82.28</v>
      </c>
      <c r="P33" s="2">
        <v>60.1</v>
      </c>
      <c r="Q33" t="s">
        <v>57</v>
      </c>
    </row>
    <row r="34" spans="1:17" x14ac:dyDescent="0.2">
      <c r="A34" t="s">
        <v>139</v>
      </c>
      <c r="B34" s="1">
        <v>45661</v>
      </c>
      <c r="C34" t="s">
        <v>18</v>
      </c>
      <c r="D34" t="s">
        <v>86</v>
      </c>
      <c r="E34" t="s">
        <v>140</v>
      </c>
      <c r="F34" t="s">
        <v>60</v>
      </c>
      <c r="G34" t="s">
        <v>22</v>
      </c>
      <c r="H34" t="s">
        <v>47</v>
      </c>
      <c r="I34" t="s">
        <v>141</v>
      </c>
      <c r="J34" t="s">
        <v>142</v>
      </c>
      <c r="K34">
        <v>8</v>
      </c>
      <c r="L34" s="2">
        <v>722.9</v>
      </c>
      <c r="M34" s="3">
        <v>0.1</v>
      </c>
      <c r="N34" s="2">
        <v>5204.88</v>
      </c>
      <c r="O34" s="2">
        <v>3027.22</v>
      </c>
      <c r="P34" s="2">
        <v>2177.66</v>
      </c>
      <c r="Q34" t="s">
        <v>57</v>
      </c>
    </row>
    <row r="35" spans="1:17" x14ac:dyDescent="0.2">
      <c r="A35" t="s">
        <v>143</v>
      </c>
      <c r="B35" s="1">
        <v>45661</v>
      </c>
      <c r="C35" t="s">
        <v>36</v>
      </c>
      <c r="D35" t="s">
        <v>144</v>
      </c>
      <c r="E35" t="s">
        <v>145</v>
      </c>
      <c r="F35" t="s">
        <v>53</v>
      </c>
      <c r="G35" t="s">
        <v>54</v>
      </c>
      <c r="H35" t="s">
        <v>47</v>
      </c>
      <c r="I35" t="s">
        <v>97</v>
      </c>
      <c r="J35" t="s">
        <v>98</v>
      </c>
      <c r="K35">
        <v>8</v>
      </c>
      <c r="L35" s="2">
        <v>571.79</v>
      </c>
      <c r="M35" s="3">
        <v>0.2</v>
      </c>
      <c r="N35" s="2">
        <v>3659.46</v>
      </c>
      <c r="O35" s="2">
        <v>2256.29</v>
      </c>
      <c r="P35" s="2">
        <v>1403.17</v>
      </c>
      <c r="Q35" t="s">
        <v>61</v>
      </c>
    </row>
    <row r="36" spans="1:17" x14ac:dyDescent="0.2">
      <c r="A36" t="s">
        <v>146</v>
      </c>
      <c r="B36" s="1">
        <v>45662</v>
      </c>
      <c r="C36" t="s">
        <v>43</v>
      </c>
      <c r="D36" t="s">
        <v>44</v>
      </c>
      <c r="E36" t="s">
        <v>147</v>
      </c>
      <c r="F36" t="s">
        <v>30</v>
      </c>
      <c r="G36" t="s">
        <v>22</v>
      </c>
      <c r="H36" t="s">
        <v>23</v>
      </c>
      <c r="I36" t="s">
        <v>55</v>
      </c>
      <c r="J36" t="s">
        <v>102</v>
      </c>
      <c r="K36">
        <v>7</v>
      </c>
      <c r="L36" s="2">
        <v>22.76</v>
      </c>
      <c r="M36" s="3">
        <v>0.1</v>
      </c>
      <c r="N36" s="2">
        <v>143.38999999999999</v>
      </c>
      <c r="O36" s="2">
        <v>105.98</v>
      </c>
      <c r="P36" s="2">
        <v>37.409999999999997</v>
      </c>
      <c r="Q36" t="s">
        <v>26</v>
      </c>
    </row>
    <row r="37" spans="1:17" x14ac:dyDescent="0.2">
      <c r="A37" t="s">
        <v>148</v>
      </c>
      <c r="B37" s="1">
        <v>45662</v>
      </c>
      <c r="C37" t="s">
        <v>77</v>
      </c>
      <c r="D37" t="s">
        <v>149</v>
      </c>
      <c r="E37" t="s">
        <v>150</v>
      </c>
      <c r="F37" t="s">
        <v>53</v>
      </c>
      <c r="G37" t="s">
        <v>22</v>
      </c>
      <c r="H37" t="s">
        <v>47</v>
      </c>
      <c r="I37" t="s">
        <v>48</v>
      </c>
      <c r="J37" t="s">
        <v>49</v>
      </c>
      <c r="K37">
        <v>5</v>
      </c>
      <c r="L37" s="2">
        <v>238.91</v>
      </c>
      <c r="M37" s="3">
        <v>0.05</v>
      </c>
      <c r="N37" s="2">
        <v>1134.82</v>
      </c>
      <c r="O37" s="2">
        <v>902.16</v>
      </c>
      <c r="P37" s="2">
        <v>232.66</v>
      </c>
      <c r="Q37" t="s">
        <v>57</v>
      </c>
    </row>
    <row r="38" spans="1:17" x14ac:dyDescent="0.2">
      <c r="A38" t="s">
        <v>151</v>
      </c>
      <c r="B38" s="1">
        <v>45662</v>
      </c>
      <c r="C38" t="s">
        <v>18</v>
      </c>
      <c r="D38" t="s">
        <v>152</v>
      </c>
      <c r="E38" t="s">
        <v>153</v>
      </c>
      <c r="F38" t="s">
        <v>39</v>
      </c>
      <c r="G38" t="s">
        <v>22</v>
      </c>
      <c r="H38" t="s">
        <v>23</v>
      </c>
      <c r="I38" t="s">
        <v>55</v>
      </c>
      <c r="J38" t="s">
        <v>56</v>
      </c>
      <c r="K38">
        <v>7</v>
      </c>
      <c r="L38" s="2">
        <v>24.08</v>
      </c>
      <c r="M38" s="3">
        <v>0.05</v>
      </c>
      <c r="N38" s="2">
        <v>160.13</v>
      </c>
      <c r="O38" s="2">
        <v>92.18</v>
      </c>
      <c r="P38" s="2">
        <v>67.95</v>
      </c>
      <c r="Q38" t="s">
        <v>61</v>
      </c>
    </row>
    <row r="39" spans="1:17" x14ac:dyDescent="0.2">
      <c r="A39" t="s">
        <v>154</v>
      </c>
      <c r="B39" s="1">
        <v>45662</v>
      </c>
      <c r="C39" t="s">
        <v>77</v>
      </c>
      <c r="D39" t="s">
        <v>128</v>
      </c>
      <c r="E39" t="s">
        <v>155</v>
      </c>
      <c r="F39" t="s">
        <v>71</v>
      </c>
      <c r="G39" t="s">
        <v>22</v>
      </c>
      <c r="H39" t="s">
        <v>31</v>
      </c>
      <c r="I39" t="s">
        <v>64</v>
      </c>
      <c r="J39" t="s">
        <v>65</v>
      </c>
      <c r="K39">
        <v>6</v>
      </c>
      <c r="L39" s="2">
        <v>43.65</v>
      </c>
      <c r="M39" s="3">
        <v>0</v>
      </c>
      <c r="N39" s="2">
        <v>261.89999999999998</v>
      </c>
      <c r="O39" s="2">
        <v>193.74</v>
      </c>
      <c r="P39" s="2">
        <v>68.16</v>
      </c>
      <c r="Q39" t="s">
        <v>34</v>
      </c>
    </row>
    <row r="40" spans="1:17" x14ac:dyDescent="0.2">
      <c r="A40" t="s">
        <v>156</v>
      </c>
      <c r="B40" s="1">
        <v>45662</v>
      </c>
      <c r="C40" t="s">
        <v>18</v>
      </c>
      <c r="D40" t="s">
        <v>28</v>
      </c>
      <c r="E40" t="s">
        <v>157</v>
      </c>
      <c r="F40" t="s">
        <v>130</v>
      </c>
      <c r="G40" t="s">
        <v>75</v>
      </c>
      <c r="H40" t="s">
        <v>31</v>
      </c>
      <c r="I40" t="s">
        <v>32</v>
      </c>
      <c r="J40" t="s">
        <v>33</v>
      </c>
      <c r="K40">
        <v>4</v>
      </c>
      <c r="L40" s="2">
        <v>1477.86</v>
      </c>
      <c r="M40" s="3">
        <v>0.05</v>
      </c>
      <c r="N40" s="2">
        <v>5615.87</v>
      </c>
      <c r="O40" s="2">
        <v>3719.54</v>
      </c>
      <c r="P40" s="2">
        <v>1896.33</v>
      </c>
      <c r="Q40" t="s">
        <v>57</v>
      </c>
    </row>
    <row r="41" spans="1:17" x14ac:dyDescent="0.2">
      <c r="A41" t="s">
        <v>158</v>
      </c>
      <c r="B41" s="1">
        <v>45663</v>
      </c>
      <c r="C41" t="s">
        <v>77</v>
      </c>
      <c r="D41" t="s">
        <v>128</v>
      </c>
      <c r="E41" t="s">
        <v>159</v>
      </c>
      <c r="F41" t="s">
        <v>69</v>
      </c>
      <c r="G41" t="s">
        <v>75</v>
      </c>
      <c r="H41" t="s">
        <v>31</v>
      </c>
      <c r="I41" t="s">
        <v>112</v>
      </c>
      <c r="J41" t="s">
        <v>136</v>
      </c>
      <c r="K41">
        <v>5</v>
      </c>
      <c r="L41" s="2">
        <v>369.07</v>
      </c>
      <c r="M41" s="3">
        <v>0.05</v>
      </c>
      <c r="N41" s="2">
        <v>1753.08</v>
      </c>
      <c r="O41" s="2">
        <v>1108.1099999999999</v>
      </c>
      <c r="P41" s="2">
        <v>644.97</v>
      </c>
      <c r="Q41" t="s">
        <v>34</v>
      </c>
    </row>
    <row r="42" spans="1:17" x14ac:dyDescent="0.2">
      <c r="A42" t="s">
        <v>160</v>
      </c>
      <c r="B42" s="1">
        <v>45663</v>
      </c>
      <c r="C42" t="s">
        <v>43</v>
      </c>
      <c r="D42" t="s">
        <v>161</v>
      </c>
      <c r="E42" t="s">
        <v>162</v>
      </c>
      <c r="F42" t="s">
        <v>69</v>
      </c>
      <c r="G42" t="s">
        <v>22</v>
      </c>
      <c r="H42" t="s">
        <v>23</v>
      </c>
      <c r="I42" t="s">
        <v>55</v>
      </c>
      <c r="J42" t="s">
        <v>102</v>
      </c>
      <c r="K42">
        <v>1</v>
      </c>
      <c r="L42" s="2">
        <v>13.8</v>
      </c>
      <c r="M42" s="3">
        <v>0.05</v>
      </c>
      <c r="N42" s="2">
        <v>13.11</v>
      </c>
      <c r="O42" s="2">
        <v>8.34</v>
      </c>
      <c r="P42" s="2">
        <v>4.7699999999999996</v>
      </c>
      <c r="Q42" t="s">
        <v>57</v>
      </c>
    </row>
    <row r="43" spans="1:17" x14ac:dyDescent="0.2">
      <c r="A43" t="s">
        <v>163</v>
      </c>
      <c r="B43" s="1">
        <v>45663</v>
      </c>
      <c r="C43" t="s">
        <v>43</v>
      </c>
      <c r="D43" t="s">
        <v>51</v>
      </c>
      <c r="E43" t="s">
        <v>59</v>
      </c>
      <c r="F43" t="s">
        <v>21</v>
      </c>
      <c r="G43" t="s">
        <v>75</v>
      </c>
      <c r="H43" t="s">
        <v>47</v>
      </c>
      <c r="I43" t="s">
        <v>48</v>
      </c>
      <c r="J43" t="s">
        <v>164</v>
      </c>
      <c r="K43">
        <v>2</v>
      </c>
      <c r="L43" s="2">
        <v>879.47</v>
      </c>
      <c r="M43" s="3">
        <v>0</v>
      </c>
      <c r="N43" s="2">
        <v>1758.94</v>
      </c>
      <c r="O43" s="2">
        <v>1238.49</v>
      </c>
      <c r="P43" s="2">
        <v>520.45000000000005</v>
      </c>
      <c r="Q43" t="s">
        <v>57</v>
      </c>
    </row>
    <row r="44" spans="1:17" x14ac:dyDescent="0.2">
      <c r="A44" t="s">
        <v>165</v>
      </c>
      <c r="B44" s="1">
        <v>45663</v>
      </c>
      <c r="C44" t="s">
        <v>18</v>
      </c>
      <c r="D44" t="s">
        <v>152</v>
      </c>
      <c r="E44" t="s">
        <v>166</v>
      </c>
      <c r="F44" t="s">
        <v>130</v>
      </c>
      <c r="G44" t="s">
        <v>22</v>
      </c>
      <c r="H44" t="s">
        <v>31</v>
      </c>
      <c r="I44" t="s">
        <v>64</v>
      </c>
      <c r="J44" t="s">
        <v>65</v>
      </c>
      <c r="K44">
        <v>10</v>
      </c>
      <c r="L44" s="2">
        <v>160.19</v>
      </c>
      <c r="M44" s="3">
        <v>0.1</v>
      </c>
      <c r="N44" s="2">
        <v>1441.71</v>
      </c>
      <c r="O44" s="2">
        <v>976.93</v>
      </c>
      <c r="P44" s="2">
        <v>464.78</v>
      </c>
      <c r="Q44" t="s">
        <v>57</v>
      </c>
    </row>
    <row r="45" spans="1:17" x14ac:dyDescent="0.2">
      <c r="A45" t="s">
        <v>167</v>
      </c>
      <c r="B45" s="1">
        <v>45663</v>
      </c>
      <c r="C45" t="s">
        <v>18</v>
      </c>
      <c r="D45" t="s">
        <v>28</v>
      </c>
      <c r="E45" t="s">
        <v>157</v>
      </c>
      <c r="F45" t="s">
        <v>53</v>
      </c>
      <c r="G45" t="s">
        <v>75</v>
      </c>
      <c r="H45" t="s">
        <v>47</v>
      </c>
      <c r="I45" t="s">
        <v>97</v>
      </c>
      <c r="J45" t="s">
        <v>168</v>
      </c>
      <c r="K45">
        <v>7</v>
      </c>
      <c r="L45" s="2">
        <v>121.18</v>
      </c>
      <c r="M45" s="3">
        <v>0</v>
      </c>
      <c r="N45" s="2">
        <v>848.26</v>
      </c>
      <c r="O45" s="2">
        <v>661.69</v>
      </c>
      <c r="P45" s="2">
        <v>186.57</v>
      </c>
      <c r="Q45" t="s">
        <v>26</v>
      </c>
    </row>
    <row r="46" spans="1:17" x14ac:dyDescent="0.2">
      <c r="A46" t="s">
        <v>169</v>
      </c>
      <c r="B46" s="1">
        <v>45663</v>
      </c>
      <c r="C46" t="s">
        <v>18</v>
      </c>
      <c r="D46" t="s">
        <v>28</v>
      </c>
      <c r="E46" t="s">
        <v>170</v>
      </c>
      <c r="F46" t="s">
        <v>69</v>
      </c>
      <c r="G46" t="s">
        <v>54</v>
      </c>
      <c r="H46" t="s">
        <v>31</v>
      </c>
      <c r="I46" t="s">
        <v>112</v>
      </c>
      <c r="J46" t="s">
        <v>113</v>
      </c>
      <c r="K46">
        <v>3</v>
      </c>
      <c r="L46" s="2">
        <v>350.65</v>
      </c>
      <c r="M46" s="3">
        <v>0.15</v>
      </c>
      <c r="N46" s="2">
        <v>894.16</v>
      </c>
      <c r="O46" s="2">
        <v>540.66999999999996</v>
      </c>
      <c r="P46" s="2">
        <v>353.49</v>
      </c>
      <c r="Q46" t="s">
        <v>26</v>
      </c>
    </row>
    <row r="47" spans="1:17" x14ac:dyDescent="0.2">
      <c r="A47" t="s">
        <v>171</v>
      </c>
      <c r="B47" s="1">
        <v>45663</v>
      </c>
      <c r="C47" t="s">
        <v>43</v>
      </c>
      <c r="D47" t="s">
        <v>161</v>
      </c>
      <c r="E47" t="s">
        <v>172</v>
      </c>
      <c r="F47" t="s">
        <v>71</v>
      </c>
      <c r="G47" t="s">
        <v>75</v>
      </c>
      <c r="H47" t="s">
        <v>23</v>
      </c>
      <c r="I47" t="s">
        <v>55</v>
      </c>
      <c r="J47" t="s">
        <v>173</v>
      </c>
      <c r="K47">
        <v>7</v>
      </c>
      <c r="L47" s="2">
        <v>13.05</v>
      </c>
      <c r="M47" s="3">
        <v>0</v>
      </c>
      <c r="N47" s="2">
        <v>91.35</v>
      </c>
      <c r="O47" s="2">
        <v>73.44</v>
      </c>
      <c r="P47" s="2">
        <v>17.91</v>
      </c>
      <c r="Q47" t="s">
        <v>26</v>
      </c>
    </row>
    <row r="48" spans="1:17" x14ac:dyDescent="0.2">
      <c r="A48" t="s">
        <v>174</v>
      </c>
      <c r="B48" s="1">
        <v>45663</v>
      </c>
      <c r="C48" t="s">
        <v>18</v>
      </c>
      <c r="D48" t="s">
        <v>86</v>
      </c>
      <c r="E48" t="s">
        <v>92</v>
      </c>
      <c r="F48" t="s">
        <v>69</v>
      </c>
      <c r="G48" t="s">
        <v>75</v>
      </c>
      <c r="H48" t="s">
        <v>31</v>
      </c>
      <c r="I48" t="s">
        <v>40</v>
      </c>
      <c r="J48" t="s">
        <v>41</v>
      </c>
      <c r="K48">
        <v>10</v>
      </c>
      <c r="L48" s="2">
        <v>194.87</v>
      </c>
      <c r="M48" s="3">
        <v>0</v>
      </c>
      <c r="N48" s="2">
        <v>1948.7</v>
      </c>
      <c r="O48" s="2">
        <v>1521.95</v>
      </c>
      <c r="P48" s="2">
        <v>426.75</v>
      </c>
      <c r="Q48" t="s">
        <v>61</v>
      </c>
    </row>
    <row r="49" spans="1:17" x14ac:dyDescent="0.2">
      <c r="A49" t="s">
        <v>175</v>
      </c>
      <c r="B49" s="1">
        <v>45664</v>
      </c>
      <c r="C49" t="s">
        <v>18</v>
      </c>
      <c r="D49" t="s">
        <v>28</v>
      </c>
      <c r="E49" t="s">
        <v>29</v>
      </c>
      <c r="F49" t="s">
        <v>138</v>
      </c>
      <c r="G49" t="s">
        <v>75</v>
      </c>
      <c r="H49" t="s">
        <v>31</v>
      </c>
      <c r="I49" t="s">
        <v>112</v>
      </c>
      <c r="J49" t="s">
        <v>176</v>
      </c>
      <c r="K49">
        <v>8</v>
      </c>
      <c r="L49" s="2">
        <v>225.79</v>
      </c>
      <c r="M49" s="3">
        <v>0.05</v>
      </c>
      <c r="N49" s="2">
        <v>1716</v>
      </c>
      <c r="O49" s="2">
        <v>1245.8800000000001</v>
      </c>
      <c r="P49" s="2">
        <v>470.12</v>
      </c>
      <c r="Q49" t="s">
        <v>57</v>
      </c>
    </row>
    <row r="50" spans="1:17" x14ac:dyDescent="0.2">
      <c r="A50" t="s">
        <v>177</v>
      </c>
      <c r="B50" s="1">
        <v>45664</v>
      </c>
      <c r="C50" t="s">
        <v>43</v>
      </c>
      <c r="D50" t="s">
        <v>51</v>
      </c>
      <c r="E50" t="s">
        <v>59</v>
      </c>
      <c r="F50" t="s">
        <v>138</v>
      </c>
      <c r="G50" t="s">
        <v>22</v>
      </c>
      <c r="H50" t="s">
        <v>31</v>
      </c>
      <c r="I50" t="s">
        <v>112</v>
      </c>
      <c r="J50" t="s">
        <v>113</v>
      </c>
      <c r="K50">
        <v>7</v>
      </c>
      <c r="L50" s="2">
        <v>503.46</v>
      </c>
      <c r="M50" s="3">
        <v>0</v>
      </c>
      <c r="N50" s="2">
        <v>3524.22</v>
      </c>
      <c r="O50" s="2">
        <v>2361.0500000000002</v>
      </c>
      <c r="P50" s="2">
        <v>1163.17</v>
      </c>
      <c r="Q50" t="s">
        <v>34</v>
      </c>
    </row>
    <row r="51" spans="1:17" x14ac:dyDescent="0.2">
      <c r="A51" t="s">
        <v>178</v>
      </c>
      <c r="B51" s="1">
        <v>45664</v>
      </c>
      <c r="C51" t="s">
        <v>36</v>
      </c>
      <c r="D51" t="s">
        <v>110</v>
      </c>
      <c r="E51" t="s">
        <v>111</v>
      </c>
      <c r="F51" t="s">
        <v>60</v>
      </c>
      <c r="G51" t="s">
        <v>22</v>
      </c>
      <c r="H51" t="s">
        <v>23</v>
      </c>
      <c r="I51" t="s">
        <v>79</v>
      </c>
      <c r="J51" t="s">
        <v>179</v>
      </c>
      <c r="K51">
        <v>9</v>
      </c>
      <c r="L51" s="2">
        <v>251.98</v>
      </c>
      <c r="M51" s="3">
        <v>0.05</v>
      </c>
      <c r="N51" s="2">
        <v>2154.4299999999998</v>
      </c>
      <c r="O51" s="2">
        <v>1668.76</v>
      </c>
      <c r="P51" s="2">
        <v>485.67</v>
      </c>
      <c r="Q51" t="s">
        <v>57</v>
      </c>
    </row>
    <row r="52" spans="1:17" x14ac:dyDescent="0.2">
      <c r="A52" t="s">
        <v>180</v>
      </c>
      <c r="B52" s="1">
        <v>45664</v>
      </c>
      <c r="C52" t="s">
        <v>18</v>
      </c>
      <c r="D52" t="s">
        <v>28</v>
      </c>
      <c r="E52" t="s">
        <v>170</v>
      </c>
      <c r="F52" t="s">
        <v>39</v>
      </c>
      <c r="G52" t="s">
        <v>22</v>
      </c>
      <c r="H52" t="s">
        <v>31</v>
      </c>
      <c r="I52" t="s">
        <v>112</v>
      </c>
      <c r="J52" t="s">
        <v>176</v>
      </c>
      <c r="K52">
        <v>9</v>
      </c>
      <c r="L52" s="2">
        <v>323.83999999999997</v>
      </c>
      <c r="M52" s="3">
        <v>0.05</v>
      </c>
      <c r="N52" s="2">
        <v>2768.83</v>
      </c>
      <c r="O52" s="2">
        <v>2105.08</v>
      </c>
      <c r="P52" s="2">
        <v>663.75</v>
      </c>
      <c r="Q52" t="s">
        <v>61</v>
      </c>
    </row>
    <row r="53" spans="1:17" x14ac:dyDescent="0.2">
      <c r="A53" t="s">
        <v>181</v>
      </c>
      <c r="B53" s="1">
        <v>45664</v>
      </c>
      <c r="C53" t="s">
        <v>36</v>
      </c>
      <c r="D53" t="s">
        <v>67</v>
      </c>
      <c r="E53" t="s">
        <v>68</v>
      </c>
      <c r="F53" t="s">
        <v>46</v>
      </c>
      <c r="G53" t="s">
        <v>22</v>
      </c>
      <c r="H53" t="s">
        <v>23</v>
      </c>
      <c r="I53" t="s">
        <v>79</v>
      </c>
      <c r="J53" t="s">
        <v>80</v>
      </c>
      <c r="K53">
        <v>5</v>
      </c>
      <c r="L53" s="2">
        <v>194.16</v>
      </c>
      <c r="M53" s="3">
        <v>0.1</v>
      </c>
      <c r="N53" s="2">
        <v>873.72</v>
      </c>
      <c r="O53" s="2">
        <v>695.37</v>
      </c>
      <c r="P53" s="2">
        <v>178.35</v>
      </c>
      <c r="Q53" t="s">
        <v>61</v>
      </c>
    </row>
    <row r="54" spans="1:17" x14ac:dyDescent="0.2">
      <c r="A54" t="s">
        <v>182</v>
      </c>
      <c r="B54" s="1">
        <v>45664</v>
      </c>
      <c r="C54" t="s">
        <v>43</v>
      </c>
      <c r="D54" t="s">
        <v>161</v>
      </c>
      <c r="E54" t="s">
        <v>172</v>
      </c>
      <c r="F54" t="s">
        <v>60</v>
      </c>
      <c r="G54" t="s">
        <v>75</v>
      </c>
      <c r="H54" t="s">
        <v>23</v>
      </c>
      <c r="I54" t="s">
        <v>83</v>
      </c>
      <c r="J54" t="s">
        <v>131</v>
      </c>
      <c r="K54">
        <v>4</v>
      </c>
      <c r="L54" s="2">
        <v>20.88</v>
      </c>
      <c r="M54" s="3">
        <v>0.05</v>
      </c>
      <c r="N54" s="2">
        <v>79.34</v>
      </c>
      <c r="O54" s="2">
        <v>50.47</v>
      </c>
      <c r="P54" s="2">
        <v>28.87</v>
      </c>
      <c r="Q54" t="s">
        <v>34</v>
      </c>
    </row>
    <row r="55" spans="1:17" x14ac:dyDescent="0.2">
      <c r="A55" t="s">
        <v>183</v>
      </c>
      <c r="B55" s="1">
        <v>45664</v>
      </c>
      <c r="C55" t="s">
        <v>18</v>
      </c>
      <c r="D55" t="s">
        <v>86</v>
      </c>
      <c r="E55" t="s">
        <v>92</v>
      </c>
      <c r="F55" t="s">
        <v>130</v>
      </c>
      <c r="G55" t="s">
        <v>54</v>
      </c>
      <c r="H55" t="s">
        <v>31</v>
      </c>
      <c r="I55" t="s">
        <v>32</v>
      </c>
      <c r="J55" t="s">
        <v>33</v>
      </c>
      <c r="K55">
        <v>6</v>
      </c>
      <c r="L55" s="2">
        <v>1208.8399999999999</v>
      </c>
      <c r="M55" s="3">
        <v>0.1</v>
      </c>
      <c r="N55" s="2">
        <v>6527.74</v>
      </c>
      <c r="O55" s="2">
        <v>4273.3599999999997</v>
      </c>
      <c r="P55" s="2">
        <v>2254.38</v>
      </c>
      <c r="Q55" t="s">
        <v>61</v>
      </c>
    </row>
    <row r="56" spans="1:17" x14ac:dyDescent="0.2">
      <c r="A56" t="s">
        <v>184</v>
      </c>
      <c r="B56" s="1">
        <v>45664</v>
      </c>
      <c r="C56" t="s">
        <v>18</v>
      </c>
      <c r="D56" t="s">
        <v>152</v>
      </c>
      <c r="E56" t="s">
        <v>185</v>
      </c>
      <c r="F56" t="s">
        <v>130</v>
      </c>
      <c r="G56" t="s">
        <v>75</v>
      </c>
      <c r="H56" t="s">
        <v>31</v>
      </c>
      <c r="I56" t="s">
        <v>40</v>
      </c>
      <c r="J56" t="s">
        <v>122</v>
      </c>
      <c r="K56">
        <v>7</v>
      </c>
      <c r="L56" s="2">
        <v>249.93</v>
      </c>
      <c r="M56" s="3">
        <v>0</v>
      </c>
      <c r="N56" s="2">
        <v>1749.51</v>
      </c>
      <c r="O56" s="2">
        <v>1402</v>
      </c>
      <c r="P56" s="2">
        <v>347.51</v>
      </c>
      <c r="Q56" t="s">
        <v>61</v>
      </c>
    </row>
    <row r="57" spans="1:17" x14ac:dyDescent="0.2">
      <c r="A57" t="s">
        <v>186</v>
      </c>
      <c r="B57" s="1">
        <v>45664</v>
      </c>
      <c r="C57" t="s">
        <v>36</v>
      </c>
      <c r="D57" t="s">
        <v>37</v>
      </c>
      <c r="E57" t="s">
        <v>187</v>
      </c>
      <c r="F57" t="s">
        <v>53</v>
      </c>
      <c r="G57" t="s">
        <v>75</v>
      </c>
      <c r="H57" t="s">
        <v>23</v>
      </c>
      <c r="I57" t="s">
        <v>55</v>
      </c>
      <c r="J57" t="s">
        <v>102</v>
      </c>
      <c r="K57">
        <v>8</v>
      </c>
      <c r="L57" s="2">
        <v>10.59</v>
      </c>
      <c r="M57" s="3">
        <v>0.1</v>
      </c>
      <c r="N57" s="2">
        <v>76.25</v>
      </c>
      <c r="O57" s="2">
        <v>48.16</v>
      </c>
      <c r="P57" s="2">
        <v>28.09</v>
      </c>
      <c r="Q57" t="s">
        <v>26</v>
      </c>
    </row>
    <row r="58" spans="1:17" x14ac:dyDescent="0.2">
      <c r="A58" t="s">
        <v>188</v>
      </c>
      <c r="B58" s="1">
        <v>45664</v>
      </c>
      <c r="C58" t="s">
        <v>18</v>
      </c>
      <c r="D58" t="s">
        <v>86</v>
      </c>
      <c r="E58" t="s">
        <v>87</v>
      </c>
      <c r="F58" t="s">
        <v>53</v>
      </c>
      <c r="G58" t="s">
        <v>22</v>
      </c>
      <c r="H58" t="s">
        <v>31</v>
      </c>
      <c r="I58" t="s">
        <v>64</v>
      </c>
      <c r="J58" t="s">
        <v>126</v>
      </c>
      <c r="K58">
        <v>2</v>
      </c>
      <c r="L58" s="2">
        <v>177.42</v>
      </c>
      <c r="M58" s="3">
        <v>0.05</v>
      </c>
      <c r="N58" s="2">
        <v>337.1</v>
      </c>
      <c r="O58" s="2">
        <v>225.97</v>
      </c>
      <c r="P58" s="2">
        <v>111.13</v>
      </c>
      <c r="Q58" t="s">
        <v>26</v>
      </c>
    </row>
    <row r="59" spans="1:17" x14ac:dyDescent="0.2">
      <c r="A59" t="s">
        <v>189</v>
      </c>
      <c r="B59" s="1">
        <v>45665</v>
      </c>
      <c r="C59" t="s">
        <v>36</v>
      </c>
      <c r="D59" t="s">
        <v>73</v>
      </c>
      <c r="E59" t="s">
        <v>74</v>
      </c>
      <c r="F59" t="s">
        <v>60</v>
      </c>
      <c r="G59" t="s">
        <v>75</v>
      </c>
      <c r="H59" t="s">
        <v>23</v>
      </c>
      <c r="I59" t="s">
        <v>24</v>
      </c>
      <c r="J59" t="s">
        <v>25</v>
      </c>
      <c r="K59">
        <v>8</v>
      </c>
      <c r="L59" s="2">
        <v>23.13</v>
      </c>
      <c r="M59" s="3">
        <v>0.1</v>
      </c>
      <c r="N59" s="2">
        <v>166.54</v>
      </c>
      <c r="O59" s="2">
        <v>106.27</v>
      </c>
      <c r="P59" s="2">
        <v>60.27</v>
      </c>
      <c r="Q59" t="s">
        <v>57</v>
      </c>
    </row>
    <row r="60" spans="1:17" x14ac:dyDescent="0.2">
      <c r="A60" t="s">
        <v>190</v>
      </c>
      <c r="B60" s="1">
        <v>45665</v>
      </c>
      <c r="C60" t="s">
        <v>18</v>
      </c>
      <c r="D60" t="s">
        <v>28</v>
      </c>
      <c r="E60" t="s">
        <v>29</v>
      </c>
      <c r="F60" t="s">
        <v>71</v>
      </c>
      <c r="G60" t="s">
        <v>75</v>
      </c>
      <c r="H60" t="s">
        <v>31</v>
      </c>
      <c r="I60" t="s">
        <v>64</v>
      </c>
      <c r="J60" t="s">
        <v>126</v>
      </c>
      <c r="K60">
        <v>1</v>
      </c>
      <c r="L60" s="2">
        <v>39.32</v>
      </c>
      <c r="M60" s="3">
        <v>0</v>
      </c>
      <c r="N60" s="2">
        <v>39.32</v>
      </c>
      <c r="O60" s="2">
        <v>24.77</v>
      </c>
      <c r="P60" s="2">
        <v>14.55</v>
      </c>
      <c r="Q60" t="s">
        <v>61</v>
      </c>
    </row>
    <row r="61" spans="1:17" x14ac:dyDescent="0.2">
      <c r="A61" t="s">
        <v>191</v>
      </c>
      <c r="B61" s="1">
        <v>45665</v>
      </c>
      <c r="C61" t="s">
        <v>18</v>
      </c>
      <c r="D61" t="s">
        <v>19</v>
      </c>
      <c r="E61" t="s">
        <v>20</v>
      </c>
      <c r="F61" t="s">
        <v>21</v>
      </c>
      <c r="G61" t="s">
        <v>54</v>
      </c>
      <c r="H61" t="s">
        <v>47</v>
      </c>
      <c r="I61" t="s">
        <v>48</v>
      </c>
      <c r="J61" t="s">
        <v>49</v>
      </c>
      <c r="K61">
        <v>1</v>
      </c>
      <c r="L61" s="2">
        <v>763.63</v>
      </c>
      <c r="M61" s="3">
        <v>0.05</v>
      </c>
      <c r="N61" s="2">
        <v>725.45</v>
      </c>
      <c r="O61" s="2">
        <v>497.01</v>
      </c>
      <c r="P61" s="2">
        <v>228.44</v>
      </c>
      <c r="Q61" t="s">
        <v>34</v>
      </c>
    </row>
    <row r="62" spans="1:17" x14ac:dyDescent="0.2">
      <c r="A62" t="s">
        <v>192</v>
      </c>
      <c r="B62" s="1">
        <v>45665</v>
      </c>
      <c r="C62" t="s">
        <v>43</v>
      </c>
      <c r="D62" t="s">
        <v>161</v>
      </c>
      <c r="E62" t="s">
        <v>172</v>
      </c>
      <c r="F62" t="s">
        <v>71</v>
      </c>
      <c r="G62" t="s">
        <v>75</v>
      </c>
      <c r="H62" t="s">
        <v>47</v>
      </c>
      <c r="I62" t="s">
        <v>97</v>
      </c>
      <c r="J62" t="s">
        <v>168</v>
      </c>
      <c r="K62">
        <v>10</v>
      </c>
      <c r="L62" s="2">
        <v>192.96</v>
      </c>
      <c r="M62" s="3">
        <v>0.15</v>
      </c>
      <c r="N62" s="2">
        <v>1640.16</v>
      </c>
      <c r="O62" s="2">
        <v>1121.8399999999999</v>
      </c>
      <c r="P62" s="2">
        <v>518.32000000000005</v>
      </c>
      <c r="Q62" t="s">
        <v>34</v>
      </c>
    </row>
    <row r="63" spans="1:17" x14ac:dyDescent="0.2">
      <c r="A63" t="s">
        <v>193</v>
      </c>
      <c r="B63" s="1">
        <v>45665</v>
      </c>
      <c r="C63" t="s">
        <v>43</v>
      </c>
      <c r="D63" t="s">
        <v>51</v>
      </c>
      <c r="E63" t="s">
        <v>63</v>
      </c>
      <c r="F63" t="s">
        <v>46</v>
      </c>
      <c r="G63" t="s">
        <v>22</v>
      </c>
      <c r="H63" t="s">
        <v>47</v>
      </c>
      <c r="I63" t="s">
        <v>97</v>
      </c>
      <c r="J63" t="s">
        <v>98</v>
      </c>
      <c r="K63">
        <v>2</v>
      </c>
      <c r="L63" s="2">
        <v>357.37</v>
      </c>
      <c r="M63" s="3">
        <v>0.05</v>
      </c>
      <c r="N63" s="2">
        <v>679</v>
      </c>
      <c r="O63" s="2">
        <v>440.09</v>
      </c>
      <c r="P63" s="2">
        <v>238.91</v>
      </c>
      <c r="Q63" t="s">
        <v>26</v>
      </c>
    </row>
    <row r="64" spans="1:17" x14ac:dyDescent="0.2">
      <c r="A64" t="s">
        <v>194</v>
      </c>
      <c r="B64" s="1">
        <v>45665</v>
      </c>
      <c r="C64" t="s">
        <v>18</v>
      </c>
      <c r="D64" t="s">
        <v>19</v>
      </c>
      <c r="E64" t="s">
        <v>100</v>
      </c>
      <c r="F64" t="s">
        <v>138</v>
      </c>
      <c r="G64" t="s">
        <v>75</v>
      </c>
      <c r="H64" t="s">
        <v>47</v>
      </c>
      <c r="I64" t="s">
        <v>97</v>
      </c>
      <c r="J64" t="s">
        <v>116</v>
      </c>
      <c r="K64">
        <v>8</v>
      </c>
      <c r="L64" s="2">
        <v>219.2</v>
      </c>
      <c r="M64" s="3">
        <v>0.1</v>
      </c>
      <c r="N64" s="2">
        <v>1578.24</v>
      </c>
      <c r="O64" s="2">
        <v>889.04</v>
      </c>
      <c r="P64" s="2">
        <v>689.2</v>
      </c>
      <c r="Q64" t="s">
        <v>26</v>
      </c>
    </row>
    <row r="65" spans="1:17" x14ac:dyDescent="0.2">
      <c r="A65" t="s">
        <v>195</v>
      </c>
      <c r="B65" s="1">
        <v>45665</v>
      </c>
      <c r="C65" t="s">
        <v>43</v>
      </c>
      <c r="D65" t="s">
        <v>51</v>
      </c>
      <c r="E65" t="s">
        <v>63</v>
      </c>
      <c r="F65" t="s">
        <v>60</v>
      </c>
      <c r="G65" t="s">
        <v>22</v>
      </c>
      <c r="H65" t="s">
        <v>23</v>
      </c>
      <c r="I65" t="s">
        <v>55</v>
      </c>
      <c r="J65" t="s">
        <v>173</v>
      </c>
      <c r="K65">
        <v>5</v>
      </c>
      <c r="L65" s="2">
        <v>18.22</v>
      </c>
      <c r="M65" s="3">
        <v>0.15</v>
      </c>
      <c r="N65" s="2">
        <v>77.430000000000007</v>
      </c>
      <c r="O65" s="2">
        <v>60.85</v>
      </c>
      <c r="P65" s="2">
        <v>16.579999999999998</v>
      </c>
      <c r="Q65" t="s">
        <v>26</v>
      </c>
    </row>
    <row r="66" spans="1:17" x14ac:dyDescent="0.2">
      <c r="A66" t="s">
        <v>196</v>
      </c>
      <c r="B66" s="1">
        <v>45666</v>
      </c>
      <c r="C66" t="s">
        <v>18</v>
      </c>
      <c r="D66" t="s">
        <v>133</v>
      </c>
      <c r="E66" t="s">
        <v>197</v>
      </c>
      <c r="F66" t="s">
        <v>53</v>
      </c>
      <c r="G66" t="s">
        <v>22</v>
      </c>
      <c r="H66" t="s">
        <v>23</v>
      </c>
      <c r="I66" t="s">
        <v>79</v>
      </c>
      <c r="J66" t="s">
        <v>80</v>
      </c>
      <c r="K66">
        <v>3</v>
      </c>
      <c r="L66" s="2">
        <v>541.17999999999995</v>
      </c>
      <c r="M66" s="3">
        <v>0.15</v>
      </c>
      <c r="N66" s="2">
        <v>1380.01</v>
      </c>
      <c r="O66" s="2">
        <v>1029.79</v>
      </c>
      <c r="P66" s="2">
        <v>350.22</v>
      </c>
      <c r="Q66" t="s">
        <v>26</v>
      </c>
    </row>
    <row r="67" spans="1:17" x14ac:dyDescent="0.2">
      <c r="A67" t="s">
        <v>198</v>
      </c>
      <c r="B67" s="1">
        <v>45666</v>
      </c>
      <c r="C67" t="s">
        <v>77</v>
      </c>
      <c r="D67" t="s">
        <v>95</v>
      </c>
      <c r="E67" t="s">
        <v>96</v>
      </c>
      <c r="F67" t="s">
        <v>130</v>
      </c>
      <c r="G67" t="s">
        <v>75</v>
      </c>
      <c r="H67" t="s">
        <v>47</v>
      </c>
      <c r="I67" t="s">
        <v>97</v>
      </c>
      <c r="J67" t="s">
        <v>98</v>
      </c>
      <c r="K67">
        <v>5</v>
      </c>
      <c r="L67" s="2">
        <v>371.3</v>
      </c>
      <c r="M67" s="3">
        <v>0</v>
      </c>
      <c r="N67" s="2">
        <v>1856.5</v>
      </c>
      <c r="O67" s="2">
        <v>1224.4100000000001</v>
      </c>
      <c r="P67" s="2">
        <v>632.09</v>
      </c>
      <c r="Q67" t="s">
        <v>57</v>
      </c>
    </row>
    <row r="68" spans="1:17" x14ac:dyDescent="0.2">
      <c r="A68" t="s">
        <v>199</v>
      </c>
      <c r="B68" s="1">
        <v>45666</v>
      </c>
      <c r="C68" t="s">
        <v>43</v>
      </c>
      <c r="D68" t="s">
        <v>51</v>
      </c>
      <c r="E68" t="s">
        <v>63</v>
      </c>
      <c r="F68" t="s">
        <v>60</v>
      </c>
      <c r="G68" t="s">
        <v>54</v>
      </c>
      <c r="H68" t="s">
        <v>23</v>
      </c>
      <c r="I68" t="s">
        <v>24</v>
      </c>
      <c r="J68" t="s">
        <v>25</v>
      </c>
      <c r="K68">
        <v>7</v>
      </c>
      <c r="L68" s="2">
        <v>24.73</v>
      </c>
      <c r="M68" s="3">
        <v>0.15</v>
      </c>
      <c r="N68" s="2">
        <v>147.13999999999999</v>
      </c>
      <c r="O68" s="2">
        <v>82.99</v>
      </c>
      <c r="P68" s="2">
        <v>64.150000000000006</v>
      </c>
      <c r="Q68" t="s">
        <v>26</v>
      </c>
    </row>
    <row r="69" spans="1:17" x14ac:dyDescent="0.2">
      <c r="A69" t="s">
        <v>200</v>
      </c>
      <c r="B69" s="1">
        <v>45666</v>
      </c>
      <c r="C69" t="s">
        <v>36</v>
      </c>
      <c r="D69" t="s">
        <v>110</v>
      </c>
      <c r="E69" t="s">
        <v>115</v>
      </c>
      <c r="F69" t="s">
        <v>46</v>
      </c>
      <c r="G69" t="s">
        <v>75</v>
      </c>
      <c r="H69" t="s">
        <v>47</v>
      </c>
      <c r="I69" t="s">
        <v>141</v>
      </c>
      <c r="J69" t="s">
        <v>201</v>
      </c>
      <c r="K69">
        <v>6</v>
      </c>
      <c r="L69" s="2">
        <v>306.41000000000003</v>
      </c>
      <c r="M69" s="3">
        <v>0.2</v>
      </c>
      <c r="N69" s="2">
        <v>1470.77</v>
      </c>
      <c r="O69" s="2">
        <v>941.71</v>
      </c>
      <c r="P69" s="2">
        <v>529.05999999999995</v>
      </c>
      <c r="Q69" t="s">
        <v>61</v>
      </c>
    </row>
    <row r="70" spans="1:17" x14ac:dyDescent="0.2">
      <c r="A70" t="s">
        <v>202</v>
      </c>
      <c r="B70" s="1">
        <v>45666</v>
      </c>
      <c r="C70" t="s">
        <v>36</v>
      </c>
      <c r="D70" t="s">
        <v>110</v>
      </c>
      <c r="E70" t="s">
        <v>203</v>
      </c>
      <c r="F70" t="s">
        <v>71</v>
      </c>
      <c r="G70" t="s">
        <v>54</v>
      </c>
      <c r="H70" t="s">
        <v>47</v>
      </c>
      <c r="I70" t="s">
        <v>89</v>
      </c>
      <c r="J70" t="s">
        <v>204</v>
      </c>
      <c r="K70">
        <v>1</v>
      </c>
      <c r="L70" s="2">
        <v>179.86</v>
      </c>
      <c r="M70" s="3">
        <v>0.1</v>
      </c>
      <c r="N70" s="2">
        <v>161.87</v>
      </c>
      <c r="O70" s="2">
        <v>106.3</v>
      </c>
      <c r="P70" s="2">
        <v>55.57</v>
      </c>
      <c r="Q70" t="s">
        <v>34</v>
      </c>
    </row>
    <row r="71" spans="1:17" x14ac:dyDescent="0.2">
      <c r="A71" t="s">
        <v>205</v>
      </c>
      <c r="B71" s="1">
        <v>45666</v>
      </c>
      <c r="C71" t="s">
        <v>77</v>
      </c>
      <c r="D71" t="s">
        <v>149</v>
      </c>
      <c r="E71" t="s">
        <v>206</v>
      </c>
      <c r="F71" t="s">
        <v>46</v>
      </c>
      <c r="G71" t="s">
        <v>75</v>
      </c>
      <c r="H71" t="s">
        <v>47</v>
      </c>
      <c r="I71" t="s">
        <v>97</v>
      </c>
      <c r="J71" t="s">
        <v>98</v>
      </c>
      <c r="K71">
        <v>3</v>
      </c>
      <c r="L71" s="2">
        <v>212.68</v>
      </c>
      <c r="M71" s="3">
        <v>0.1</v>
      </c>
      <c r="N71" s="2">
        <v>574.24</v>
      </c>
      <c r="O71" s="2">
        <v>368.51</v>
      </c>
      <c r="P71" s="2">
        <v>205.73</v>
      </c>
      <c r="Q71" t="s">
        <v>61</v>
      </c>
    </row>
    <row r="72" spans="1:17" x14ac:dyDescent="0.2">
      <c r="A72" t="s">
        <v>207</v>
      </c>
      <c r="B72" s="1">
        <v>45666</v>
      </c>
      <c r="C72" t="s">
        <v>43</v>
      </c>
      <c r="D72" t="s">
        <v>208</v>
      </c>
      <c r="E72" t="s">
        <v>209</v>
      </c>
      <c r="F72" t="s">
        <v>71</v>
      </c>
      <c r="G72" t="s">
        <v>75</v>
      </c>
      <c r="H72" t="s">
        <v>31</v>
      </c>
      <c r="I72" t="s">
        <v>40</v>
      </c>
      <c r="J72" t="s">
        <v>41</v>
      </c>
      <c r="K72">
        <v>6</v>
      </c>
      <c r="L72" s="2">
        <v>193.48</v>
      </c>
      <c r="M72" s="3">
        <v>0.1</v>
      </c>
      <c r="N72" s="2">
        <v>1044.79</v>
      </c>
      <c r="O72" s="2">
        <v>630.87</v>
      </c>
      <c r="P72" s="2">
        <v>413.92</v>
      </c>
      <c r="Q72" t="s">
        <v>26</v>
      </c>
    </row>
    <row r="73" spans="1:17" x14ac:dyDescent="0.2">
      <c r="A73" t="s">
        <v>210</v>
      </c>
      <c r="B73" s="1">
        <v>45666</v>
      </c>
      <c r="C73" t="s">
        <v>36</v>
      </c>
      <c r="D73" t="s">
        <v>37</v>
      </c>
      <c r="E73" t="s">
        <v>187</v>
      </c>
      <c r="F73" t="s">
        <v>53</v>
      </c>
      <c r="G73" t="s">
        <v>22</v>
      </c>
      <c r="H73" t="s">
        <v>31</v>
      </c>
      <c r="I73" t="s">
        <v>32</v>
      </c>
      <c r="J73" t="s">
        <v>33</v>
      </c>
      <c r="K73">
        <v>1</v>
      </c>
      <c r="L73" s="2">
        <v>951.37</v>
      </c>
      <c r="M73" s="3">
        <v>0.05</v>
      </c>
      <c r="N73" s="2">
        <v>903.8</v>
      </c>
      <c r="O73" s="2">
        <v>676.8</v>
      </c>
      <c r="P73" s="2">
        <v>227</v>
      </c>
      <c r="Q73" t="s">
        <v>34</v>
      </c>
    </row>
    <row r="74" spans="1:17" x14ac:dyDescent="0.2">
      <c r="A74" t="s">
        <v>211</v>
      </c>
      <c r="B74" s="1">
        <v>45666</v>
      </c>
      <c r="C74" t="s">
        <v>36</v>
      </c>
      <c r="D74" t="s">
        <v>73</v>
      </c>
      <c r="E74" t="s">
        <v>212</v>
      </c>
      <c r="F74" t="s">
        <v>21</v>
      </c>
      <c r="G74" t="s">
        <v>54</v>
      </c>
      <c r="H74" t="s">
        <v>47</v>
      </c>
      <c r="I74" t="s">
        <v>141</v>
      </c>
      <c r="J74" t="s">
        <v>142</v>
      </c>
      <c r="K74">
        <v>2</v>
      </c>
      <c r="L74" s="2">
        <v>556.66999999999996</v>
      </c>
      <c r="M74" s="3">
        <v>0</v>
      </c>
      <c r="N74" s="2">
        <v>1113.3399999999999</v>
      </c>
      <c r="O74" s="2">
        <v>632.14</v>
      </c>
      <c r="P74" s="2">
        <v>481.2</v>
      </c>
      <c r="Q74" t="s">
        <v>34</v>
      </c>
    </row>
    <row r="75" spans="1:17" x14ac:dyDescent="0.2">
      <c r="A75" t="s">
        <v>213</v>
      </c>
      <c r="B75" s="1">
        <v>45666</v>
      </c>
      <c r="C75" t="s">
        <v>36</v>
      </c>
      <c r="D75" t="s">
        <v>144</v>
      </c>
      <c r="E75" t="s">
        <v>214</v>
      </c>
      <c r="F75" t="s">
        <v>30</v>
      </c>
      <c r="G75" t="s">
        <v>75</v>
      </c>
      <c r="H75" t="s">
        <v>23</v>
      </c>
      <c r="I75" t="s">
        <v>24</v>
      </c>
      <c r="J75" t="s">
        <v>108</v>
      </c>
      <c r="K75">
        <v>8</v>
      </c>
      <c r="L75" s="2">
        <v>26.99</v>
      </c>
      <c r="M75" s="3">
        <v>0</v>
      </c>
      <c r="N75" s="2">
        <v>215.92</v>
      </c>
      <c r="O75" s="2">
        <v>158.30000000000001</v>
      </c>
      <c r="P75" s="2">
        <v>57.62</v>
      </c>
      <c r="Q75" t="s">
        <v>61</v>
      </c>
    </row>
    <row r="76" spans="1:17" x14ac:dyDescent="0.2">
      <c r="A76" t="s">
        <v>215</v>
      </c>
      <c r="B76" s="1">
        <v>45667</v>
      </c>
      <c r="C76" t="s">
        <v>18</v>
      </c>
      <c r="D76" t="s">
        <v>152</v>
      </c>
      <c r="E76" t="s">
        <v>166</v>
      </c>
      <c r="F76" t="s">
        <v>21</v>
      </c>
      <c r="G76" t="s">
        <v>75</v>
      </c>
      <c r="H76" t="s">
        <v>31</v>
      </c>
      <c r="I76" t="s">
        <v>40</v>
      </c>
      <c r="J76" t="s">
        <v>216</v>
      </c>
      <c r="K76">
        <v>5</v>
      </c>
      <c r="L76" s="2">
        <v>55.83</v>
      </c>
      <c r="M76" s="3">
        <v>0.15</v>
      </c>
      <c r="N76" s="2">
        <v>237.28</v>
      </c>
      <c r="O76" s="2">
        <v>169.13</v>
      </c>
      <c r="P76" s="2">
        <v>68.150000000000006</v>
      </c>
      <c r="Q76" t="s">
        <v>34</v>
      </c>
    </row>
    <row r="77" spans="1:17" x14ac:dyDescent="0.2">
      <c r="A77" t="s">
        <v>217</v>
      </c>
      <c r="B77" s="1">
        <v>45667</v>
      </c>
      <c r="C77" t="s">
        <v>77</v>
      </c>
      <c r="D77" t="s">
        <v>149</v>
      </c>
      <c r="E77" t="s">
        <v>206</v>
      </c>
      <c r="F77" t="s">
        <v>138</v>
      </c>
      <c r="G77" t="s">
        <v>22</v>
      </c>
      <c r="H77" t="s">
        <v>47</v>
      </c>
      <c r="I77" t="s">
        <v>97</v>
      </c>
      <c r="J77" t="s">
        <v>168</v>
      </c>
      <c r="K77">
        <v>3</v>
      </c>
      <c r="L77" s="2">
        <v>598.71</v>
      </c>
      <c r="M77" s="3">
        <v>0.1</v>
      </c>
      <c r="N77" s="2">
        <v>1616.52</v>
      </c>
      <c r="O77" s="2">
        <v>921.63</v>
      </c>
      <c r="P77" s="2">
        <v>694.89</v>
      </c>
      <c r="Q77" t="s">
        <v>57</v>
      </c>
    </row>
    <row r="78" spans="1:17" x14ac:dyDescent="0.2">
      <c r="A78" t="s">
        <v>218</v>
      </c>
      <c r="B78" s="1">
        <v>45667</v>
      </c>
      <c r="C78" t="s">
        <v>18</v>
      </c>
      <c r="D78" t="s">
        <v>28</v>
      </c>
      <c r="E78" t="s">
        <v>29</v>
      </c>
      <c r="F78" t="s">
        <v>130</v>
      </c>
      <c r="G78" t="s">
        <v>22</v>
      </c>
      <c r="H78" t="s">
        <v>23</v>
      </c>
      <c r="I78" t="s">
        <v>24</v>
      </c>
      <c r="J78" t="s">
        <v>25</v>
      </c>
      <c r="K78">
        <v>9</v>
      </c>
      <c r="L78" s="2">
        <v>16.88</v>
      </c>
      <c r="M78" s="3">
        <v>0</v>
      </c>
      <c r="N78" s="2">
        <v>151.91999999999999</v>
      </c>
      <c r="O78" s="2">
        <v>100.41</v>
      </c>
      <c r="P78" s="2">
        <v>51.51</v>
      </c>
      <c r="Q78" t="s">
        <v>34</v>
      </c>
    </row>
    <row r="79" spans="1:17" x14ac:dyDescent="0.2">
      <c r="A79" t="s">
        <v>219</v>
      </c>
      <c r="B79" s="1">
        <v>45667</v>
      </c>
      <c r="C79" t="s">
        <v>18</v>
      </c>
      <c r="D79" t="s">
        <v>28</v>
      </c>
      <c r="E79" t="s">
        <v>157</v>
      </c>
      <c r="F79" t="s">
        <v>46</v>
      </c>
      <c r="G79" t="s">
        <v>75</v>
      </c>
      <c r="H79" t="s">
        <v>23</v>
      </c>
      <c r="I79" t="s">
        <v>24</v>
      </c>
      <c r="J79" t="s">
        <v>220</v>
      </c>
      <c r="K79">
        <v>2</v>
      </c>
      <c r="L79" s="2">
        <v>15.74</v>
      </c>
      <c r="M79" s="3">
        <v>0.15</v>
      </c>
      <c r="N79" s="2">
        <v>26.76</v>
      </c>
      <c r="O79" s="2">
        <v>18.64</v>
      </c>
      <c r="P79" s="2">
        <v>8.1199999999999992</v>
      </c>
      <c r="Q79" t="s">
        <v>34</v>
      </c>
    </row>
    <row r="80" spans="1:17" x14ac:dyDescent="0.2">
      <c r="A80" t="s">
        <v>221</v>
      </c>
      <c r="B80" s="1">
        <v>45667</v>
      </c>
      <c r="C80" t="s">
        <v>36</v>
      </c>
      <c r="D80" t="s">
        <v>110</v>
      </c>
      <c r="E80" t="s">
        <v>203</v>
      </c>
      <c r="F80" t="s">
        <v>30</v>
      </c>
      <c r="G80" t="s">
        <v>54</v>
      </c>
      <c r="H80" t="s">
        <v>31</v>
      </c>
      <c r="I80" t="s">
        <v>112</v>
      </c>
      <c r="J80" t="s">
        <v>136</v>
      </c>
      <c r="K80">
        <v>5</v>
      </c>
      <c r="L80" s="2">
        <v>609.22</v>
      </c>
      <c r="M80" s="3">
        <v>0.15</v>
      </c>
      <c r="N80" s="2">
        <v>2589.19</v>
      </c>
      <c r="O80" s="2">
        <v>1466.24</v>
      </c>
      <c r="P80" s="2">
        <v>1122.95</v>
      </c>
      <c r="Q80" t="s">
        <v>26</v>
      </c>
    </row>
    <row r="81" spans="1:17" x14ac:dyDescent="0.2">
      <c r="A81" t="s">
        <v>222</v>
      </c>
      <c r="B81" s="1">
        <v>45667</v>
      </c>
      <c r="C81" t="s">
        <v>43</v>
      </c>
      <c r="D81" t="s">
        <v>44</v>
      </c>
      <c r="E81" t="s">
        <v>45</v>
      </c>
      <c r="F81" t="s">
        <v>30</v>
      </c>
      <c r="G81" t="s">
        <v>54</v>
      </c>
      <c r="H81" t="s">
        <v>31</v>
      </c>
      <c r="I81" t="s">
        <v>64</v>
      </c>
      <c r="J81" t="s">
        <v>65</v>
      </c>
      <c r="K81">
        <v>1</v>
      </c>
      <c r="L81" s="2">
        <v>62.01</v>
      </c>
      <c r="M81" s="3">
        <v>0</v>
      </c>
      <c r="N81" s="2">
        <v>62.01</v>
      </c>
      <c r="O81" s="2">
        <v>39.58</v>
      </c>
      <c r="P81" s="2">
        <v>22.43</v>
      </c>
      <c r="Q81" t="s">
        <v>61</v>
      </c>
    </row>
    <row r="82" spans="1:17" x14ac:dyDescent="0.2">
      <c r="A82" t="s">
        <v>223</v>
      </c>
      <c r="B82" s="1">
        <v>45667</v>
      </c>
      <c r="C82" t="s">
        <v>36</v>
      </c>
      <c r="D82" t="s">
        <v>144</v>
      </c>
      <c r="E82" t="s">
        <v>145</v>
      </c>
      <c r="F82" t="s">
        <v>130</v>
      </c>
      <c r="G82" t="s">
        <v>54</v>
      </c>
      <c r="H82" t="s">
        <v>31</v>
      </c>
      <c r="I82" t="s">
        <v>40</v>
      </c>
      <c r="J82" t="s">
        <v>122</v>
      </c>
      <c r="K82">
        <v>5</v>
      </c>
      <c r="L82" s="2">
        <v>146.41999999999999</v>
      </c>
      <c r="M82" s="3">
        <v>0</v>
      </c>
      <c r="N82" s="2">
        <v>732.1</v>
      </c>
      <c r="O82" s="2">
        <v>584.46</v>
      </c>
      <c r="P82" s="2">
        <v>147.63999999999999</v>
      </c>
      <c r="Q82" t="s">
        <v>57</v>
      </c>
    </row>
    <row r="83" spans="1:17" x14ac:dyDescent="0.2">
      <c r="A83" t="s">
        <v>224</v>
      </c>
      <c r="B83" s="1">
        <v>45667</v>
      </c>
      <c r="C83" t="s">
        <v>77</v>
      </c>
      <c r="D83" t="s">
        <v>78</v>
      </c>
      <c r="E83" t="s">
        <v>52</v>
      </c>
      <c r="F83" t="s">
        <v>60</v>
      </c>
      <c r="G83" t="s">
        <v>75</v>
      </c>
      <c r="H83" t="s">
        <v>47</v>
      </c>
      <c r="I83" t="s">
        <v>48</v>
      </c>
      <c r="J83" t="s">
        <v>49</v>
      </c>
      <c r="K83">
        <v>9</v>
      </c>
      <c r="L83" s="2">
        <v>720.02</v>
      </c>
      <c r="M83" s="3">
        <v>0.1</v>
      </c>
      <c r="N83" s="2">
        <v>5832.16</v>
      </c>
      <c r="O83" s="2">
        <v>3706.03</v>
      </c>
      <c r="P83" s="2">
        <v>2126.13</v>
      </c>
      <c r="Q83" t="s">
        <v>57</v>
      </c>
    </row>
    <row r="84" spans="1:17" x14ac:dyDescent="0.2">
      <c r="A84" t="s">
        <v>225</v>
      </c>
      <c r="B84" s="1">
        <v>45667</v>
      </c>
      <c r="C84" t="s">
        <v>18</v>
      </c>
      <c r="D84" t="s">
        <v>133</v>
      </c>
      <c r="E84" t="s">
        <v>226</v>
      </c>
      <c r="F84" t="s">
        <v>30</v>
      </c>
      <c r="G84" t="s">
        <v>54</v>
      </c>
      <c r="H84" t="s">
        <v>23</v>
      </c>
      <c r="I84" t="s">
        <v>79</v>
      </c>
      <c r="J84" t="s">
        <v>80</v>
      </c>
      <c r="K84">
        <v>3</v>
      </c>
      <c r="L84" s="2">
        <v>276.11</v>
      </c>
      <c r="M84" s="3">
        <v>0.2</v>
      </c>
      <c r="N84" s="2">
        <v>662.66</v>
      </c>
      <c r="O84" s="2">
        <v>385.53</v>
      </c>
      <c r="P84" s="2">
        <v>277.13</v>
      </c>
      <c r="Q84" t="s">
        <v>34</v>
      </c>
    </row>
    <row r="85" spans="1:17" x14ac:dyDescent="0.2">
      <c r="A85" t="s">
        <v>227</v>
      </c>
      <c r="B85" s="1">
        <v>45667</v>
      </c>
      <c r="C85" t="s">
        <v>77</v>
      </c>
      <c r="D85" t="s">
        <v>78</v>
      </c>
      <c r="E85" t="s">
        <v>52</v>
      </c>
      <c r="F85" t="s">
        <v>46</v>
      </c>
      <c r="G85" t="s">
        <v>22</v>
      </c>
      <c r="H85" t="s">
        <v>31</v>
      </c>
      <c r="I85" t="s">
        <v>112</v>
      </c>
      <c r="J85" t="s">
        <v>176</v>
      </c>
      <c r="K85">
        <v>5</v>
      </c>
      <c r="L85" s="2">
        <v>342.39</v>
      </c>
      <c r="M85" s="3">
        <v>0</v>
      </c>
      <c r="N85" s="2">
        <v>1711.95</v>
      </c>
      <c r="O85" s="2">
        <v>1175.71</v>
      </c>
      <c r="P85" s="2">
        <v>536.24</v>
      </c>
      <c r="Q85" t="s">
        <v>26</v>
      </c>
    </row>
    <row r="86" spans="1:17" x14ac:dyDescent="0.2">
      <c r="A86" t="s">
        <v>228</v>
      </c>
      <c r="B86" s="1">
        <v>45667</v>
      </c>
      <c r="C86" t="s">
        <v>77</v>
      </c>
      <c r="D86" t="s">
        <v>106</v>
      </c>
      <c r="E86" t="s">
        <v>107</v>
      </c>
      <c r="F86" t="s">
        <v>69</v>
      </c>
      <c r="G86" t="s">
        <v>22</v>
      </c>
      <c r="H86" t="s">
        <v>31</v>
      </c>
      <c r="I86" t="s">
        <v>32</v>
      </c>
      <c r="J86" t="s">
        <v>33</v>
      </c>
      <c r="K86">
        <v>10</v>
      </c>
      <c r="L86" s="2">
        <v>909.36</v>
      </c>
      <c r="M86" s="3">
        <v>0.15</v>
      </c>
      <c r="N86" s="2">
        <v>7729.56</v>
      </c>
      <c r="O86" s="2">
        <v>5077.5600000000004</v>
      </c>
      <c r="P86" s="2">
        <v>2652</v>
      </c>
      <c r="Q86" t="s">
        <v>26</v>
      </c>
    </row>
    <row r="87" spans="1:17" x14ac:dyDescent="0.2">
      <c r="A87" t="s">
        <v>229</v>
      </c>
      <c r="B87" s="1">
        <v>45667</v>
      </c>
      <c r="C87" t="s">
        <v>43</v>
      </c>
      <c r="D87" t="s">
        <v>208</v>
      </c>
      <c r="E87" t="s">
        <v>230</v>
      </c>
      <c r="F87" t="s">
        <v>138</v>
      </c>
      <c r="G87" t="s">
        <v>75</v>
      </c>
      <c r="H87" t="s">
        <v>23</v>
      </c>
      <c r="I87" t="s">
        <v>79</v>
      </c>
      <c r="J87" t="s">
        <v>80</v>
      </c>
      <c r="K87">
        <v>5</v>
      </c>
      <c r="L87" s="2">
        <v>176.67</v>
      </c>
      <c r="M87" s="3">
        <v>0.1</v>
      </c>
      <c r="N87" s="2">
        <v>795.02</v>
      </c>
      <c r="O87" s="2">
        <v>623.27</v>
      </c>
      <c r="P87" s="2">
        <v>171.75</v>
      </c>
      <c r="Q87" t="s">
        <v>61</v>
      </c>
    </row>
    <row r="88" spans="1:17" x14ac:dyDescent="0.2">
      <c r="A88" t="s">
        <v>231</v>
      </c>
      <c r="B88" s="1">
        <v>45668</v>
      </c>
      <c r="C88" t="s">
        <v>36</v>
      </c>
      <c r="D88" t="s">
        <v>144</v>
      </c>
      <c r="E88" t="s">
        <v>232</v>
      </c>
      <c r="F88" t="s">
        <v>21</v>
      </c>
      <c r="G88" t="s">
        <v>22</v>
      </c>
      <c r="H88" t="s">
        <v>23</v>
      </c>
      <c r="I88" t="s">
        <v>79</v>
      </c>
      <c r="J88" t="s">
        <v>233</v>
      </c>
      <c r="K88">
        <v>2</v>
      </c>
      <c r="L88" s="2">
        <v>372.58</v>
      </c>
      <c r="M88" s="3">
        <v>0</v>
      </c>
      <c r="N88" s="2">
        <v>745.16</v>
      </c>
      <c r="O88" s="2">
        <v>490.06</v>
      </c>
      <c r="P88" s="2">
        <v>255.1</v>
      </c>
      <c r="Q88" t="s">
        <v>57</v>
      </c>
    </row>
    <row r="89" spans="1:17" x14ac:dyDescent="0.2">
      <c r="A89" t="s">
        <v>234</v>
      </c>
      <c r="B89" s="1">
        <v>45668</v>
      </c>
      <c r="C89" t="s">
        <v>36</v>
      </c>
      <c r="D89" t="s">
        <v>110</v>
      </c>
      <c r="E89" t="s">
        <v>203</v>
      </c>
      <c r="F89" t="s">
        <v>21</v>
      </c>
      <c r="G89" t="s">
        <v>22</v>
      </c>
      <c r="H89" t="s">
        <v>31</v>
      </c>
      <c r="I89" t="s">
        <v>32</v>
      </c>
      <c r="J89" t="s">
        <v>33</v>
      </c>
      <c r="K89">
        <v>7</v>
      </c>
      <c r="L89" s="2">
        <v>1498.49</v>
      </c>
      <c r="M89" s="3">
        <v>0.05</v>
      </c>
      <c r="N89" s="2">
        <v>9964.9599999999991</v>
      </c>
      <c r="O89" s="2">
        <v>5736.71</v>
      </c>
      <c r="P89" s="2">
        <v>4228.25</v>
      </c>
      <c r="Q89" t="s">
        <v>57</v>
      </c>
    </row>
    <row r="90" spans="1:17" x14ac:dyDescent="0.2">
      <c r="A90" t="s">
        <v>235</v>
      </c>
      <c r="B90" s="1">
        <v>45668</v>
      </c>
      <c r="C90" t="s">
        <v>77</v>
      </c>
      <c r="D90" t="s">
        <v>106</v>
      </c>
      <c r="E90" t="s">
        <v>236</v>
      </c>
      <c r="F90" t="s">
        <v>21</v>
      </c>
      <c r="G90" t="s">
        <v>22</v>
      </c>
      <c r="H90" t="s">
        <v>31</v>
      </c>
      <c r="I90" t="s">
        <v>32</v>
      </c>
      <c r="J90" t="s">
        <v>104</v>
      </c>
      <c r="K90">
        <v>10</v>
      </c>
      <c r="L90" s="2">
        <v>1488.71</v>
      </c>
      <c r="M90" s="3">
        <v>0.1</v>
      </c>
      <c r="N90" s="2">
        <v>13398.39</v>
      </c>
      <c r="O90" s="2">
        <v>8885.26</v>
      </c>
      <c r="P90" s="2">
        <v>4513.13</v>
      </c>
      <c r="Q90" t="s">
        <v>26</v>
      </c>
    </row>
    <row r="91" spans="1:17" x14ac:dyDescent="0.2">
      <c r="A91" t="s">
        <v>237</v>
      </c>
      <c r="B91" s="1">
        <v>45668</v>
      </c>
      <c r="C91" t="s">
        <v>77</v>
      </c>
      <c r="D91" t="s">
        <v>149</v>
      </c>
      <c r="E91" t="s">
        <v>150</v>
      </c>
      <c r="F91" t="s">
        <v>71</v>
      </c>
      <c r="G91" t="s">
        <v>22</v>
      </c>
      <c r="H91" t="s">
        <v>31</v>
      </c>
      <c r="I91" t="s">
        <v>32</v>
      </c>
      <c r="J91" t="s">
        <v>104</v>
      </c>
      <c r="K91">
        <v>3</v>
      </c>
      <c r="L91" s="2">
        <v>1068.57</v>
      </c>
      <c r="M91" s="3">
        <v>0.05</v>
      </c>
      <c r="N91" s="2">
        <v>3045.42</v>
      </c>
      <c r="O91" s="2">
        <v>1746.16</v>
      </c>
      <c r="P91" s="2">
        <v>1299.26</v>
      </c>
      <c r="Q91" t="s">
        <v>26</v>
      </c>
    </row>
    <row r="92" spans="1:17" x14ac:dyDescent="0.2">
      <c r="A92" t="s">
        <v>238</v>
      </c>
      <c r="B92" s="1">
        <v>45668</v>
      </c>
      <c r="C92" t="s">
        <v>18</v>
      </c>
      <c r="D92" t="s">
        <v>19</v>
      </c>
      <c r="E92" t="s">
        <v>20</v>
      </c>
      <c r="F92" t="s">
        <v>21</v>
      </c>
      <c r="G92" t="s">
        <v>75</v>
      </c>
      <c r="H92" t="s">
        <v>47</v>
      </c>
      <c r="I92" t="s">
        <v>97</v>
      </c>
      <c r="J92" t="s">
        <v>116</v>
      </c>
      <c r="K92">
        <v>3</v>
      </c>
      <c r="L92" s="2">
        <v>643.70000000000005</v>
      </c>
      <c r="M92" s="3">
        <v>0.05</v>
      </c>
      <c r="N92" s="2">
        <v>1834.54</v>
      </c>
      <c r="O92" s="2">
        <v>1145.19</v>
      </c>
      <c r="P92" s="2">
        <v>689.35</v>
      </c>
      <c r="Q92" t="s">
        <v>57</v>
      </c>
    </row>
    <row r="93" spans="1:17" x14ac:dyDescent="0.2">
      <c r="A93" t="s">
        <v>239</v>
      </c>
      <c r="B93" s="1">
        <v>45668</v>
      </c>
      <c r="C93" t="s">
        <v>77</v>
      </c>
      <c r="D93" t="s">
        <v>106</v>
      </c>
      <c r="E93" t="s">
        <v>236</v>
      </c>
      <c r="F93" t="s">
        <v>60</v>
      </c>
      <c r="G93" t="s">
        <v>22</v>
      </c>
      <c r="H93" t="s">
        <v>47</v>
      </c>
      <c r="I93" t="s">
        <v>89</v>
      </c>
      <c r="J93" t="s">
        <v>240</v>
      </c>
      <c r="K93">
        <v>2</v>
      </c>
      <c r="L93" s="2">
        <v>263.57</v>
      </c>
      <c r="M93" s="3">
        <v>0.05</v>
      </c>
      <c r="N93" s="2">
        <v>500.78</v>
      </c>
      <c r="O93" s="2">
        <v>347.98</v>
      </c>
      <c r="P93" s="2">
        <v>152.80000000000001</v>
      </c>
      <c r="Q93" t="s">
        <v>61</v>
      </c>
    </row>
    <row r="94" spans="1:17" x14ac:dyDescent="0.2">
      <c r="A94" t="s">
        <v>241</v>
      </c>
      <c r="B94" s="1">
        <v>45668</v>
      </c>
      <c r="C94" t="s">
        <v>36</v>
      </c>
      <c r="D94" t="s">
        <v>144</v>
      </c>
      <c r="E94" t="s">
        <v>214</v>
      </c>
      <c r="F94" t="s">
        <v>39</v>
      </c>
      <c r="G94" t="s">
        <v>75</v>
      </c>
      <c r="H94" t="s">
        <v>31</v>
      </c>
      <c r="I94" t="s">
        <v>64</v>
      </c>
      <c r="J94" t="s">
        <v>126</v>
      </c>
      <c r="K94">
        <v>4</v>
      </c>
      <c r="L94" s="2">
        <v>108.84</v>
      </c>
      <c r="M94" s="3">
        <v>0.15</v>
      </c>
      <c r="N94" s="2">
        <v>370.06</v>
      </c>
      <c r="O94" s="2">
        <v>263</v>
      </c>
      <c r="P94" s="2">
        <v>107.06</v>
      </c>
      <c r="Q94" t="s">
        <v>26</v>
      </c>
    </row>
    <row r="95" spans="1:17" x14ac:dyDescent="0.2">
      <c r="A95" t="s">
        <v>242</v>
      </c>
      <c r="B95" s="1">
        <v>45668</v>
      </c>
      <c r="C95" t="s">
        <v>43</v>
      </c>
      <c r="D95" t="s">
        <v>208</v>
      </c>
      <c r="E95" t="s">
        <v>209</v>
      </c>
      <c r="F95" t="s">
        <v>138</v>
      </c>
      <c r="G95" t="s">
        <v>75</v>
      </c>
      <c r="H95" t="s">
        <v>31</v>
      </c>
      <c r="I95" t="s">
        <v>112</v>
      </c>
      <c r="J95" t="s">
        <v>113</v>
      </c>
      <c r="K95">
        <v>9</v>
      </c>
      <c r="L95" s="2">
        <v>621.53</v>
      </c>
      <c r="M95" s="3">
        <v>0</v>
      </c>
      <c r="N95" s="2">
        <v>5593.77</v>
      </c>
      <c r="O95" s="2">
        <v>3461.41</v>
      </c>
      <c r="P95" s="2">
        <v>2132.36</v>
      </c>
      <c r="Q95" t="s">
        <v>34</v>
      </c>
    </row>
    <row r="96" spans="1:17" x14ac:dyDescent="0.2">
      <c r="A96" t="s">
        <v>243</v>
      </c>
      <c r="B96" s="1">
        <v>45668</v>
      </c>
      <c r="C96" t="s">
        <v>43</v>
      </c>
      <c r="D96" t="s">
        <v>244</v>
      </c>
      <c r="E96" t="s">
        <v>245</v>
      </c>
      <c r="F96" t="s">
        <v>138</v>
      </c>
      <c r="G96" t="s">
        <v>75</v>
      </c>
      <c r="H96" t="s">
        <v>23</v>
      </c>
      <c r="I96" t="s">
        <v>55</v>
      </c>
      <c r="J96" t="s">
        <v>102</v>
      </c>
      <c r="K96">
        <v>3</v>
      </c>
      <c r="L96" s="2">
        <v>15.56</v>
      </c>
      <c r="M96" s="3">
        <v>0.05</v>
      </c>
      <c r="N96" s="2">
        <v>44.35</v>
      </c>
      <c r="O96" s="2">
        <v>24.74</v>
      </c>
      <c r="P96" s="2">
        <v>19.61</v>
      </c>
      <c r="Q96" t="s">
        <v>61</v>
      </c>
    </row>
    <row r="97" spans="1:17" x14ac:dyDescent="0.2">
      <c r="A97" t="s">
        <v>246</v>
      </c>
      <c r="B97" s="1">
        <v>45668</v>
      </c>
      <c r="C97" t="s">
        <v>36</v>
      </c>
      <c r="D97" t="s">
        <v>73</v>
      </c>
      <c r="E97" t="s">
        <v>247</v>
      </c>
      <c r="F97" t="s">
        <v>46</v>
      </c>
      <c r="G97" t="s">
        <v>22</v>
      </c>
      <c r="H97" t="s">
        <v>23</v>
      </c>
      <c r="I97" t="s">
        <v>83</v>
      </c>
      <c r="J97" t="s">
        <v>131</v>
      </c>
      <c r="K97">
        <v>4</v>
      </c>
      <c r="L97" s="2">
        <v>18.100000000000001</v>
      </c>
      <c r="M97" s="3">
        <v>0</v>
      </c>
      <c r="N97" s="2">
        <v>72.400000000000006</v>
      </c>
      <c r="O97" s="2">
        <v>40.07</v>
      </c>
      <c r="P97" s="2">
        <v>32.33</v>
      </c>
      <c r="Q97" t="s">
        <v>34</v>
      </c>
    </row>
    <row r="98" spans="1:17" x14ac:dyDescent="0.2">
      <c r="A98" t="s">
        <v>248</v>
      </c>
      <c r="B98" s="1">
        <v>45668</v>
      </c>
      <c r="C98" t="s">
        <v>77</v>
      </c>
      <c r="D98" t="s">
        <v>78</v>
      </c>
      <c r="E98" t="s">
        <v>52</v>
      </c>
      <c r="F98" t="s">
        <v>46</v>
      </c>
      <c r="G98" t="s">
        <v>22</v>
      </c>
      <c r="H98" t="s">
        <v>31</v>
      </c>
      <c r="I98" t="s">
        <v>112</v>
      </c>
      <c r="J98" t="s">
        <v>176</v>
      </c>
      <c r="K98">
        <v>5</v>
      </c>
      <c r="L98" s="2">
        <v>579.42999999999995</v>
      </c>
      <c r="M98" s="3">
        <v>0.15</v>
      </c>
      <c r="N98" s="2">
        <v>2462.58</v>
      </c>
      <c r="O98" s="2">
        <v>1845.29</v>
      </c>
      <c r="P98" s="2">
        <v>617.29</v>
      </c>
      <c r="Q98" t="s">
        <v>26</v>
      </c>
    </row>
    <row r="99" spans="1:17" x14ac:dyDescent="0.2">
      <c r="A99" t="s">
        <v>249</v>
      </c>
      <c r="B99" s="1">
        <v>45668</v>
      </c>
      <c r="C99" t="s">
        <v>43</v>
      </c>
      <c r="D99" t="s">
        <v>208</v>
      </c>
      <c r="E99" t="s">
        <v>209</v>
      </c>
      <c r="F99" t="s">
        <v>71</v>
      </c>
      <c r="G99" t="s">
        <v>75</v>
      </c>
      <c r="H99" t="s">
        <v>23</v>
      </c>
      <c r="I99" t="s">
        <v>55</v>
      </c>
      <c r="J99" t="s">
        <v>173</v>
      </c>
      <c r="K99">
        <v>8</v>
      </c>
      <c r="L99" s="2">
        <v>13.27</v>
      </c>
      <c r="M99" s="3">
        <v>0</v>
      </c>
      <c r="N99" s="2">
        <v>106.16</v>
      </c>
      <c r="O99" s="2">
        <v>69.81</v>
      </c>
      <c r="P99" s="2">
        <v>36.35</v>
      </c>
      <c r="Q99" t="s">
        <v>61</v>
      </c>
    </row>
    <row r="100" spans="1:17" x14ac:dyDescent="0.2">
      <c r="A100" t="s">
        <v>250</v>
      </c>
      <c r="B100" s="1">
        <v>45669</v>
      </c>
      <c r="C100" t="s">
        <v>18</v>
      </c>
      <c r="D100" t="s">
        <v>28</v>
      </c>
      <c r="E100" t="s">
        <v>29</v>
      </c>
      <c r="F100" t="s">
        <v>39</v>
      </c>
      <c r="G100" t="s">
        <v>54</v>
      </c>
      <c r="H100" t="s">
        <v>23</v>
      </c>
      <c r="I100" t="s">
        <v>79</v>
      </c>
      <c r="J100" t="s">
        <v>233</v>
      </c>
      <c r="K100">
        <v>5</v>
      </c>
      <c r="L100" s="2">
        <v>459.63</v>
      </c>
      <c r="M100" s="3">
        <v>0.1</v>
      </c>
      <c r="N100" s="2">
        <v>2068.34</v>
      </c>
      <c r="O100" s="2">
        <v>1637</v>
      </c>
      <c r="P100" s="2">
        <v>431.34</v>
      </c>
      <c r="Q100" t="s">
        <v>61</v>
      </c>
    </row>
    <row r="101" spans="1:17" x14ac:dyDescent="0.2">
      <c r="A101" t="s">
        <v>251</v>
      </c>
      <c r="B101" s="1">
        <v>45669</v>
      </c>
      <c r="C101" t="s">
        <v>18</v>
      </c>
      <c r="D101" t="s">
        <v>19</v>
      </c>
      <c r="E101" t="s">
        <v>118</v>
      </c>
      <c r="F101" t="s">
        <v>21</v>
      </c>
      <c r="G101" t="s">
        <v>75</v>
      </c>
      <c r="H101" t="s">
        <v>31</v>
      </c>
      <c r="I101" t="s">
        <v>64</v>
      </c>
      <c r="J101" t="s">
        <v>252</v>
      </c>
      <c r="K101">
        <v>7</v>
      </c>
      <c r="L101" s="2">
        <v>108.33</v>
      </c>
      <c r="M101" s="3">
        <v>0.05</v>
      </c>
      <c r="N101" s="2">
        <v>720.39</v>
      </c>
      <c r="O101" s="2">
        <v>405.75</v>
      </c>
      <c r="P101" s="2">
        <v>314.64</v>
      </c>
      <c r="Q101" t="s">
        <v>26</v>
      </c>
    </row>
    <row r="102" spans="1:17" x14ac:dyDescent="0.2">
      <c r="A102" t="s">
        <v>253</v>
      </c>
      <c r="B102" s="1">
        <v>45669</v>
      </c>
      <c r="C102" t="s">
        <v>43</v>
      </c>
      <c r="D102" t="s">
        <v>44</v>
      </c>
      <c r="E102" t="s">
        <v>147</v>
      </c>
      <c r="F102" t="s">
        <v>130</v>
      </c>
      <c r="G102" t="s">
        <v>22</v>
      </c>
      <c r="H102" t="s">
        <v>47</v>
      </c>
      <c r="I102" t="s">
        <v>97</v>
      </c>
      <c r="J102" t="s">
        <v>98</v>
      </c>
      <c r="K102">
        <v>6</v>
      </c>
      <c r="L102" s="2">
        <v>425.38</v>
      </c>
      <c r="M102" s="3">
        <v>0.05</v>
      </c>
      <c r="N102" s="2">
        <v>2424.67</v>
      </c>
      <c r="O102" s="2">
        <v>1557.23</v>
      </c>
      <c r="P102" s="2">
        <v>867.44</v>
      </c>
      <c r="Q102" t="s">
        <v>26</v>
      </c>
    </row>
    <row r="103" spans="1:17" x14ac:dyDescent="0.2">
      <c r="A103" t="s">
        <v>254</v>
      </c>
      <c r="B103" s="1">
        <v>45669</v>
      </c>
      <c r="C103" t="s">
        <v>36</v>
      </c>
      <c r="D103" t="s">
        <v>37</v>
      </c>
      <c r="E103" t="s">
        <v>255</v>
      </c>
      <c r="F103" t="s">
        <v>53</v>
      </c>
      <c r="G103" t="s">
        <v>22</v>
      </c>
      <c r="H103" t="s">
        <v>31</v>
      </c>
      <c r="I103" t="s">
        <v>32</v>
      </c>
      <c r="J103" t="s">
        <v>104</v>
      </c>
      <c r="K103">
        <v>10</v>
      </c>
      <c r="L103" s="2">
        <v>1094.46</v>
      </c>
      <c r="M103" s="3">
        <v>0.1</v>
      </c>
      <c r="N103" s="2">
        <v>9850.14</v>
      </c>
      <c r="O103" s="2">
        <v>6250.32</v>
      </c>
      <c r="P103" s="2">
        <v>3599.82</v>
      </c>
      <c r="Q103" t="s">
        <v>61</v>
      </c>
    </row>
    <row r="104" spans="1:17" x14ac:dyDescent="0.2">
      <c r="A104" t="s">
        <v>256</v>
      </c>
      <c r="B104" s="1">
        <v>45669</v>
      </c>
      <c r="C104" t="s">
        <v>36</v>
      </c>
      <c r="D104" t="s">
        <v>144</v>
      </c>
      <c r="E104" t="s">
        <v>145</v>
      </c>
      <c r="F104" t="s">
        <v>39</v>
      </c>
      <c r="G104" t="s">
        <v>75</v>
      </c>
      <c r="H104" t="s">
        <v>23</v>
      </c>
      <c r="I104" t="s">
        <v>55</v>
      </c>
      <c r="J104" t="s">
        <v>56</v>
      </c>
      <c r="K104">
        <v>2</v>
      </c>
      <c r="L104" s="2">
        <v>11.81</v>
      </c>
      <c r="M104" s="3">
        <v>0.1</v>
      </c>
      <c r="N104" s="2">
        <v>21.26</v>
      </c>
      <c r="O104" s="2">
        <v>14.67</v>
      </c>
      <c r="P104" s="2">
        <v>6.59</v>
      </c>
      <c r="Q104" t="s">
        <v>61</v>
      </c>
    </row>
    <row r="105" spans="1:17" x14ac:dyDescent="0.2">
      <c r="A105" t="s">
        <v>257</v>
      </c>
      <c r="B105" s="1">
        <v>45669</v>
      </c>
      <c r="C105" t="s">
        <v>77</v>
      </c>
      <c r="D105" t="s">
        <v>128</v>
      </c>
      <c r="E105" t="s">
        <v>129</v>
      </c>
      <c r="F105" t="s">
        <v>21</v>
      </c>
      <c r="G105" t="s">
        <v>54</v>
      </c>
      <c r="H105" t="s">
        <v>31</v>
      </c>
      <c r="I105" t="s">
        <v>32</v>
      </c>
      <c r="J105" t="s">
        <v>258</v>
      </c>
      <c r="K105">
        <v>1</v>
      </c>
      <c r="L105" s="2">
        <v>1782.69</v>
      </c>
      <c r="M105" s="3">
        <v>0</v>
      </c>
      <c r="N105" s="2">
        <v>1782.69</v>
      </c>
      <c r="O105" s="2">
        <v>1325.31</v>
      </c>
      <c r="P105" s="2">
        <v>457.38</v>
      </c>
      <c r="Q105" t="s">
        <v>34</v>
      </c>
    </row>
    <row r="106" spans="1:17" x14ac:dyDescent="0.2">
      <c r="A106" t="s">
        <v>259</v>
      </c>
      <c r="B106" s="1">
        <v>45669</v>
      </c>
      <c r="C106" t="s">
        <v>43</v>
      </c>
      <c r="D106" t="s">
        <v>161</v>
      </c>
      <c r="E106" t="s">
        <v>172</v>
      </c>
      <c r="F106" t="s">
        <v>30</v>
      </c>
      <c r="G106" t="s">
        <v>75</v>
      </c>
      <c r="H106" t="s">
        <v>23</v>
      </c>
      <c r="I106" t="s">
        <v>55</v>
      </c>
      <c r="J106" t="s">
        <v>173</v>
      </c>
      <c r="K106">
        <v>9</v>
      </c>
      <c r="L106" s="2">
        <v>11.95</v>
      </c>
      <c r="M106" s="3">
        <v>0</v>
      </c>
      <c r="N106" s="2">
        <v>107.55</v>
      </c>
      <c r="O106" s="2">
        <v>71.78</v>
      </c>
      <c r="P106" s="2">
        <v>35.770000000000003</v>
      </c>
      <c r="Q106" t="s">
        <v>61</v>
      </c>
    </row>
    <row r="107" spans="1:17" x14ac:dyDescent="0.2">
      <c r="A107" t="s">
        <v>260</v>
      </c>
      <c r="B107" s="1">
        <v>45669</v>
      </c>
      <c r="C107" t="s">
        <v>77</v>
      </c>
      <c r="D107" t="s">
        <v>78</v>
      </c>
      <c r="E107" t="s">
        <v>261</v>
      </c>
      <c r="F107" t="s">
        <v>69</v>
      </c>
      <c r="G107" t="s">
        <v>54</v>
      </c>
      <c r="H107" t="s">
        <v>23</v>
      </c>
      <c r="I107" t="s">
        <v>83</v>
      </c>
      <c r="J107" t="s">
        <v>131</v>
      </c>
      <c r="K107">
        <v>7</v>
      </c>
      <c r="L107" s="2">
        <v>12.43</v>
      </c>
      <c r="M107" s="3">
        <v>0</v>
      </c>
      <c r="N107" s="2">
        <v>87.01</v>
      </c>
      <c r="O107" s="2">
        <v>62.47</v>
      </c>
      <c r="P107" s="2">
        <v>24.54</v>
      </c>
      <c r="Q107" t="s">
        <v>34</v>
      </c>
    </row>
    <row r="108" spans="1:17" x14ac:dyDescent="0.2">
      <c r="A108" t="s">
        <v>262</v>
      </c>
      <c r="B108" s="1">
        <v>45669</v>
      </c>
      <c r="C108" t="s">
        <v>18</v>
      </c>
      <c r="D108" t="s">
        <v>152</v>
      </c>
      <c r="E108" t="s">
        <v>185</v>
      </c>
      <c r="F108" t="s">
        <v>130</v>
      </c>
      <c r="G108" t="s">
        <v>54</v>
      </c>
      <c r="H108" t="s">
        <v>23</v>
      </c>
      <c r="I108" t="s">
        <v>24</v>
      </c>
      <c r="J108" t="s">
        <v>220</v>
      </c>
      <c r="K108">
        <v>2</v>
      </c>
      <c r="L108" s="2">
        <v>21.88</v>
      </c>
      <c r="M108" s="3">
        <v>0.1</v>
      </c>
      <c r="N108" s="2">
        <v>39.380000000000003</v>
      </c>
      <c r="O108" s="2">
        <v>31.55</v>
      </c>
      <c r="P108" s="2">
        <v>7.83</v>
      </c>
      <c r="Q108" t="s">
        <v>34</v>
      </c>
    </row>
    <row r="109" spans="1:17" x14ac:dyDescent="0.2">
      <c r="A109" t="s">
        <v>263</v>
      </c>
      <c r="B109" s="1">
        <v>45669</v>
      </c>
      <c r="C109" t="s">
        <v>36</v>
      </c>
      <c r="D109" t="s">
        <v>110</v>
      </c>
      <c r="E109" t="s">
        <v>115</v>
      </c>
      <c r="F109" t="s">
        <v>69</v>
      </c>
      <c r="G109" t="s">
        <v>75</v>
      </c>
      <c r="H109" t="s">
        <v>31</v>
      </c>
      <c r="I109" t="s">
        <v>32</v>
      </c>
      <c r="J109" t="s">
        <v>33</v>
      </c>
      <c r="K109">
        <v>7</v>
      </c>
      <c r="L109" s="2">
        <v>1329.42</v>
      </c>
      <c r="M109" s="3">
        <v>0.15</v>
      </c>
      <c r="N109" s="2">
        <v>7910.05</v>
      </c>
      <c r="O109" s="2">
        <v>5267.85</v>
      </c>
      <c r="P109" s="2">
        <v>2642.2</v>
      </c>
      <c r="Q109" t="s">
        <v>26</v>
      </c>
    </row>
    <row r="110" spans="1:17" x14ac:dyDescent="0.2">
      <c r="A110" t="s">
        <v>264</v>
      </c>
      <c r="B110" s="1">
        <v>45669</v>
      </c>
      <c r="C110" t="s">
        <v>77</v>
      </c>
      <c r="D110" t="s">
        <v>128</v>
      </c>
      <c r="E110" t="s">
        <v>129</v>
      </c>
      <c r="F110" t="s">
        <v>46</v>
      </c>
      <c r="G110" t="s">
        <v>22</v>
      </c>
      <c r="H110" t="s">
        <v>23</v>
      </c>
      <c r="I110" t="s">
        <v>55</v>
      </c>
      <c r="J110" t="s">
        <v>102</v>
      </c>
      <c r="K110">
        <v>6</v>
      </c>
      <c r="L110" s="2">
        <v>22.22</v>
      </c>
      <c r="M110" s="3">
        <v>0.05</v>
      </c>
      <c r="N110" s="2">
        <v>126.65</v>
      </c>
      <c r="O110" s="2">
        <v>85.58</v>
      </c>
      <c r="P110" s="2">
        <v>41.07</v>
      </c>
      <c r="Q110" t="s">
        <v>34</v>
      </c>
    </row>
    <row r="111" spans="1:17" x14ac:dyDescent="0.2">
      <c r="A111" t="s">
        <v>265</v>
      </c>
      <c r="B111" s="1">
        <v>45669</v>
      </c>
      <c r="C111" t="s">
        <v>77</v>
      </c>
      <c r="D111" t="s">
        <v>78</v>
      </c>
      <c r="E111" t="s">
        <v>261</v>
      </c>
      <c r="F111" t="s">
        <v>130</v>
      </c>
      <c r="G111" t="s">
        <v>75</v>
      </c>
      <c r="H111" t="s">
        <v>23</v>
      </c>
      <c r="I111" t="s">
        <v>79</v>
      </c>
      <c r="J111" t="s">
        <v>179</v>
      </c>
      <c r="K111">
        <v>9</v>
      </c>
      <c r="L111" s="2">
        <v>128.43</v>
      </c>
      <c r="M111" s="3">
        <v>0.1</v>
      </c>
      <c r="N111" s="2">
        <v>1040.28</v>
      </c>
      <c r="O111" s="2">
        <v>764.63</v>
      </c>
      <c r="P111" s="2">
        <v>275.64999999999998</v>
      </c>
      <c r="Q111" t="s">
        <v>26</v>
      </c>
    </row>
    <row r="112" spans="1:17" x14ac:dyDescent="0.2">
      <c r="A112" t="s">
        <v>266</v>
      </c>
      <c r="B112" s="1">
        <v>45669</v>
      </c>
      <c r="C112" t="s">
        <v>36</v>
      </c>
      <c r="D112" t="s">
        <v>37</v>
      </c>
      <c r="E112" t="s">
        <v>38</v>
      </c>
      <c r="F112" t="s">
        <v>46</v>
      </c>
      <c r="G112" t="s">
        <v>75</v>
      </c>
      <c r="H112" t="s">
        <v>31</v>
      </c>
      <c r="I112" t="s">
        <v>112</v>
      </c>
      <c r="J112" t="s">
        <v>136</v>
      </c>
      <c r="K112">
        <v>9</v>
      </c>
      <c r="L112" s="2">
        <v>464.65</v>
      </c>
      <c r="M112" s="3">
        <v>0</v>
      </c>
      <c r="N112" s="2">
        <v>4181.8500000000004</v>
      </c>
      <c r="O112" s="2">
        <v>3269.23</v>
      </c>
      <c r="P112" s="2">
        <v>912.62</v>
      </c>
      <c r="Q112" t="s">
        <v>57</v>
      </c>
    </row>
    <row r="113" spans="1:17" x14ac:dyDescent="0.2">
      <c r="A113" t="s">
        <v>267</v>
      </c>
      <c r="B113" s="1">
        <v>45669</v>
      </c>
      <c r="C113" t="s">
        <v>36</v>
      </c>
      <c r="D113" t="s">
        <v>144</v>
      </c>
      <c r="E113" t="s">
        <v>214</v>
      </c>
      <c r="F113" t="s">
        <v>71</v>
      </c>
      <c r="G113" t="s">
        <v>75</v>
      </c>
      <c r="H113" t="s">
        <v>47</v>
      </c>
      <c r="I113" t="s">
        <v>97</v>
      </c>
      <c r="J113" t="s">
        <v>168</v>
      </c>
      <c r="K113">
        <v>2</v>
      </c>
      <c r="L113" s="2">
        <v>105.44</v>
      </c>
      <c r="M113" s="3">
        <v>0.15</v>
      </c>
      <c r="N113" s="2">
        <v>179.25</v>
      </c>
      <c r="O113" s="2">
        <v>103.33</v>
      </c>
      <c r="P113" s="2">
        <v>75.92</v>
      </c>
      <c r="Q113" t="s">
        <v>61</v>
      </c>
    </row>
    <row r="114" spans="1:17" x14ac:dyDescent="0.2">
      <c r="A114" t="s">
        <v>268</v>
      </c>
      <c r="B114" s="1">
        <v>45669</v>
      </c>
      <c r="C114" t="s">
        <v>43</v>
      </c>
      <c r="D114" t="s">
        <v>161</v>
      </c>
      <c r="E114" t="s">
        <v>172</v>
      </c>
      <c r="F114" t="s">
        <v>53</v>
      </c>
      <c r="G114" t="s">
        <v>22</v>
      </c>
      <c r="H114" t="s">
        <v>23</v>
      </c>
      <c r="I114" t="s">
        <v>55</v>
      </c>
      <c r="J114" t="s">
        <v>173</v>
      </c>
      <c r="K114">
        <v>7</v>
      </c>
      <c r="L114" s="2">
        <v>13.02</v>
      </c>
      <c r="M114" s="3">
        <v>0.1</v>
      </c>
      <c r="N114" s="2">
        <v>82.03</v>
      </c>
      <c r="O114" s="2">
        <v>52.81</v>
      </c>
      <c r="P114" s="2">
        <v>29.22</v>
      </c>
      <c r="Q114" t="s">
        <v>57</v>
      </c>
    </row>
    <row r="115" spans="1:17" x14ac:dyDescent="0.2">
      <c r="A115" t="s">
        <v>269</v>
      </c>
      <c r="B115" s="1">
        <v>45669</v>
      </c>
      <c r="C115" t="s">
        <v>36</v>
      </c>
      <c r="D115" t="s">
        <v>67</v>
      </c>
      <c r="E115" t="s">
        <v>270</v>
      </c>
      <c r="F115" t="s">
        <v>60</v>
      </c>
      <c r="G115" t="s">
        <v>75</v>
      </c>
      <c r="H115" t="s">
        <v>31</v>
      </c>
      <c r="I115" t="s">
        <v>32</v>
      </c>
      <c r="J115" t="s">
        <v>104</v>
      </c>
      <c r="K115">
        <v>9</v>
      </c>
      <c r="L115" s="2">
        <v>713.43</v>
      </c>
      <c r="M115" s="3">
        <v>0</v>
      </c>
      <c r="N115" s="2">
        <v>6420.87</v>
      </c>
      <c r="O115" s="2">
        <v>3745.39</v>
      </c>
      <c r="P115" s="2">
        <v>2675.48</v>
      </c>
      <c r="Q115" t="s">
        <v>34</v>
      </c>
    </row>
    <row r="116" spans="1:17" x14ac:dyDescent="0.2">
      <c r="A116" t="s">
        <v>271</v>
      </c>
      <c r="B116" s="1">
        <v>45669</v>
      </c>
      <c r="C116" t="s">
        <v>36</v>
      </c>
      <c r="D116" t="s">
        <v>73</v>
      </c>
      <c r="E116" t="s">
        <v>247</v>
      </c>
      <c r="F116" t="s">
        <v>46</v>
      </c>
      <c r="G116" t="s">
        <v>54</v>
      </c>
      <c r="H116" t="s">
        <v>23</v>
      </c>
      <c r="I116" t="s">
        <v>55</v>
      </c>
      <c r="J116" t="s">
        <v>173</v>
      </c>
      <c r="K116">
        <v>3</v>
      </c>
      <c r="L116" s="2">
        <v>7.24</v>
      </c>
      <c r="M116" s="3">
        <v>0</v>
      </c>
      <c r="N116" s="2">
        <v>21.72</v>
      </c>
      <c r="O116" s="2">
        <v>15.23</v>
      </c>
      <c r="P116" s="2">
        <v>6.49</v>
      </c>
      <c r="Q116" t="s">
        <v>57</v>
      </c>
    </row>
    <row r="117" spans="1:17" x14ac:dyDescent="0.2">
      <c r="A117" t="s">
        <v>272</v>
      </c>
      <c r="B117" s="1">
        <v>45669</v>
      </c>
      <c r="C117" t="s">
        <v>43</v>
      </c>
      <c r="D117" t="s">
        <v>51</v>
      </c>
      <c r="E117" t="s">
        <v>52</v>
      </c>
      <c r="F117" t="s">
        <v>69</v>
      </c>
      <c r="G117" t="s">
        <v>75</v>
      </c>
      <c r="H117" t="s">
        <v>31</v>
      </c>
      <c r="I117" t="s">
        <v>64</v>
      </c>
      <c r="J117" t="s">
        <v>252</v>
      </c>
      <c r="K117">
        <v>5</v>
      </c>
      <c r="L117" s="2">
        <v>150.1</v>
      </c>
      <c r="M117" s="3">
        <v>0.15</v>
      </c>
      <c r="N117" s="2">
        <v>637.91999999999996</v>
      </c>
      <c r="O117" s="2">
        <v>504.29</v>
      </c>
      <c r="P117" s="2">
        <v>133.63</v>
      </c>
      <c r="Q117" t="s">
        <v>34</v>
      </c>
    </row>
    <row r="118" spans="1:17" x14ac:dyDescent="0.2">
      <c r="A118" t="s">
        <v>273</v>
      </c>
      <c r="B118" s="1">
        <v>45669</v>
      </c>
      <c r="C118" t="s">
        <v>18</v>
      </c>
      <c r="D118" t="s">
        <v>19</v>
      </c>
      <c r="E118" t="s">
        <v>118</v>
      </c>
      <c r="F118" t="s">
        <v>39</v>
      </c>
      <c r="G118" t="s">
        <v>54</v>
      </c>
      <c r="H118" t="s">
        <v>31</v>
      </c>
      <c r="I118" t="s">
        <v>40</v>
      </c>
      <c r="J118" t="s">
        <v>216</v>
      </c>
      <c r="K118">
        <v>5</v>
      </c>
      <c r="L118" s="2">
        <v>98.56</v>
      </c>
      <c r="M118" s="3">
        <v>0.05</v>
      </c>
      <c r="N118" s="2">
        <v>468.16</v>
      </c>
      <c r="O118" s="2">
        <v>284.11</v>
      </c>
      <c r="P118" s="2">
        <v>184.05</v>
      </c>
      <c r="Q118" t="s">
        <v>26</v>
      </c>
    </row>
    <row r="119" spans="1:17" x14ac:dyDescent="0.2">
      <c r="A119" t="s">
        <v>274</v>
      </c>
      <c r="B119" s="1">
        <v>45670</v>
      </c>
      <c r="C119" t="s">
        <v>77</v>
      </c>
      <c r="D119" t="s">
        <v>149</v>
      </c>
      <c r="E119" t="s">
        <v>206</v>
      </c>
      <c r="F119" t="s">
        <v>39</v>
      </c>
      <c r="G119" t="s">
        <v>75</v>
      </c>
      <c r="H119" t="s">
        <v>23</v>
      </c>
      <c r="I119" t="s">
        <v>24</v>
      </c>
      <c r="J119" t="s">
        <v>220</v>
      </c>
      <c r="K119">
        <v>3</v>
      </c>
      <c r="L119" s="2">
        <v>14.53</v>
      </c>
      <c r="M119" s="3">
        <v>0.1</v>
      </c>
      <c r="N119" s="2">
        <v>39.229999999999997</v>
      </c>
      <c r="O119" s="2">
        <v>27</v>
      </c>
      <c r="P119" s="2">
        <v>12.23</v>
      </c>
      <c r="Q119" t="s">
        <v>26</v>
      </c>
    </row>
    <row r="120" spans="1:17" x14ac:dyDescent="0.2">
      <c r="A120" t="s">
        <v>275</v>
      </c>
      <c r="B120" s="1">
        <v>45670</v>
      </c>
      <c r="C120" t="s">
        <v>36</v>
      </c>
      <c r="D120" t="s">
        <v>73</v>
      </c>
      <c r="E120" t="s">
        <v>74</v>
      </c>
      <c r="F120" t="s">
        <v>53</v>
      </c>
      <c r="G120" t="s">
        <v>22</v>
      </c>
      <c r="H120" t="s">
        <v>31</v>
      </c>
      <c r="I120" t="s">
        <v>32</v>
      </c>
      <c r="J120" t="s">
        <v>104</v>
      </c>
      <c r="K120">
        <v>1</v>
      </c>
      <c r="L120" s="2">
        <v>711.16</v>
      </c>
      <c r="M120" s="3">
        <v>0.15</v>
      </c>
      <c r="N120" s="2">
        <v>604.49</v>
      </c>
      <c r="O120" s="2">
        <v>448.4</v>
      </c>
      <c r="P120" s="2">
        <v>156.09</v>
      </c>
      <c r="Q120" t="s">
        <v>26</v>
      </c>
    </row>
    <row r="121" spans="1:17" x14ac:dyDescent="0.2">
      <c r="A121" t="s">
        <v>276</v>
      </c>
      <c r="B121" s="1">
        <v>45670</v>
      </c>
      <c r="C121" t="s">
        <v>18</v>
      </c>
      <c r="D121" t="s">
        <v>86</v>
      </c>
      <c r="E121" t="s">
        <v>87</v>
      </c>
      <c r="F121" t="s">
        <v>53</v>
      </c>
      <c r="G121" t="s">
        <v>22</v>
      </c>
      <c r="H121" t="s">
        <v>31</v>
      </c>
      <c r="I121" t="s">
        <v>32</v>
      </c>
      <c r="J121" t="s">
        <v>258</v>
      </c>
      <c r="K121">
        <v>4</v>
      </c>
      <c r="L121" s="2">
        <v>1329.33</v>
      </c>
      <c r="M121" s="3">
        <v>0.05</v>
      </c>
      <c r="N121" s="2">
        <v>5051.45</v>
      </c>
      <c r="O121" s="2">
        <v>3294.85</v>
      </c>
      <c r="P121" s="2">
        <v>1756.6</v>
      </c>
      <c r="Q121" t="s">
        <v>26</v>
      </c>
    </row>
    <row r="122" spans="1:17" x14ac:dyDescent="0.2">
      <c r="A122" t="s">
        <v>277</v>
      </c>
      <c r="B122" s="1">
        <v>45670</v>
      </c>
      <c r="C122" t="s">
        <v>77</v>
      </c>
      <c r="D122" t="s">
        <v>78</v>
      </c>
      <c r="E122" t="s">
        <v>261</v>
      </c>
      <c r="F122" t="s">
        <v>39</v>
      </c>
      <c r="G122" t="s">
        <v>75</v>
      </c>
      <c r="H122" t="s">
        <v>23</v>
      </c>
      <c r="I122" t="s">
        <v>24</v>
      </c>
      <c r="J122" t="s">
        <v>220</v>
      </c>
      <c r="K122">
        <v>8</v>
      </c>
      <c r="L122" s="2">
        <v>8.83</v>
      </c>
      <c r="M122" s="3">
        <v>0</v>
      </c>
      <c r="N122" s="2">
        <v>70.64</v>
      </c>
      <c r="O122" s="2">
        <v>55.18</v>
      </c>
      <c r="P122" s="2">
        <v>15.46</v>
      </c>
      <c r="Q122" t="s">
        <v>34</v>
      </c>
    </row>
    <row r="123" spans="1:17" x14ac:dyDescent="0.2">
      <c r="A123" t="s">
        <v>278</v>
      </c>
      <c r="B123" s="1">
        <v>45670</v>
      </c>
      <c r="C123" t="s">
        <v>18</v>
      </c>
      <c r="D123" t="s">
        <v>19</v>
      </c>
      <c r="E123" t="s">
        <v>20</v>
      </c>
      <c r="F123" t="s">
        <v>60</v>
      </c>
      <c r="G123" t="s">
        <v>75</v>
      </c>
      <c r="H123" t="s">
        <v>23</v>
      </c>
      <c r="I123" t="s">
        <v>79</v>
      </c>
      <c r="J123" t="s">
        <v>80</v>
      </c>
      <c r="K123">
        <v>10</v>
      </c>
      <c r="L123" s="2">
        <v>154.88999999999999</v>
      </c>
      <c r="M123" s="3">
        <v>0.1</v>
      </c>
      <c r="N123" s="2">
        <v>1394.01</v>
      </c>
      <c r="O123" s="2">
        <v>1059.43</v>
      </c>
      <c r="P123" s="2">
        <v>334.58</v>
      </c>
      <c r="Q123" t="s">
        <v>61</v>
      </c>
    </row>
    <row r="124" spans="1:17" x14ac:dyDescent="0.2">
      <c r="A124" t="s">
        <v>279</v>
      </c>
      <c r="B124" s="1">
        <v>45670</v>
      </c>
      <c r="C124" t="s">
        <v>18</v>
      </c>
      <c r="D124" t="s">
        <v>28</v>
      </c>
      <c r="E124" t="s">
        <v>157</v>
      </c>
      <c r="F124" t="s">
        <v>39</v>
      </c>
      <c r="G124" t="s">
        <v>75</v>
      </c>
      <c r="H124" t="s">
        <v>31</v>
      </c>
      <c r="I124" t="s">
        <v>40</v>
      </c>
      <c r="J124" t="s">
        <v>216</v>
      </c>
      <c r="K124">
        <v>9</v>
      </c>
      <c r="L124" s="2">
        <v>163.29</v>
      </c>
      <c r="M124" s="3">
        <v>0</v>
      </c>
      <c r="N124" s="2">
        <v>1469.61</v>
      </c>
      <c r="O124" s="2">
        <v>1038.9100000000001</v>
      </c>
      <c r="P124" s="2">
        <v>430.7</v>
      </c>
      <c r="Q124" t="s">
        <v>57</v>
      </c>
    </row>
    <row r="125" spans="1:17" x14ac:dyDescent="0.2">
      <c r="A125" t="s">
        <v>280</v>
      </c>
      <c r="B125" s="1">
        <v>45670</v>
      </c>
      <c r="C125" t="s">
        <v>18</v>
      </c>
      <c r="D125" t="s">
        <v>86</v>
      </c>
      <c r="E125" t="s">
        <v>140</v>
      </c>
      <c r="F125" t="s">
        <v>39</v>
      </c>
      <c r="G125" t="s">
        <v>22</v>
      </c>
      <c r="H125" t="s">
        <v>47</v>
      </c>
      <c r="I125" t="s">
        <v>48</v>
      </c>
      <c r="J125" t="s">
        <v>93</v>
      </c>
      <c r="K125">
        <v>9</v>
      </c>
      <c r="L125" s="2">
        <v>775.71</v>
      </c>
      <c r="M125" s="3">
        <v>0.15</v>
      </c>
      <c r="N125" s="2">
        <v>5934.18</v>
      </c>
      <c r="O125" s="2">
        <v>4704.37</v>
      </c>
      <c r="P125" s="2">
        <v>1229.81</v>
      </c>
      <c r="Q125" t="s">
        <v>26</v>
      </c>
    </row>
    <row r="126" spans="1:17" x14ac:dyDescent="0.2">
      <c r="A126" t="s">
        <v>281</v>
      </c>
      <c r="B126" s="1">
        <v>45670</v>
      </c>
      <c r="C126" t="s">
        <v>77</v>
      </c>
      <c r="D126" t="s">
        <v>149</v>
      </c>
      <c r="E126" t="s">
        <v>206</v>
      </c>
      <c r="F126" t="s">
        <v>30</v>
      </c>
      <c r="G126" t="s">
        <v>75</v>
      </c>
      <c r="H126" t="s">
        <v>23</v>
      </c>
      <c r="I126" t="s">
        <v>83</v>
      </c>
      <c r="J126" t="s">
        <v>131</v>
      </c>
      <c r="K126">
        <v>4</v>
      </c>
      <c r="L126" s="2">
        <v>8.77</v>
      </c>
      <c r="M126" s="3">
        <v>0.1</v>
      </c>
      <c r="N126" s="2">
        <v>31.57</v>
      </c>
      <c r="O126" s="2">
        <v>25.4</v>
      </c>
      <c r="P126" s="2">
        <v>6.17</v>
      </c>
      <c r="Q126" t="s">
        <v>26</v>
      </c>
    </row>
    <row r="127" spans="1:17" x14ac:dyDescent="0.2">
      <c r="A127" t="s">
        <v>282</v>
      </c>
      <c r="B127" s="1">
        <v>45670</v>
      </c>
      <c r="C127" t="s">
        <v>77</v>
      </c>
      <c r="D127" t="s">
        <v>128</v>
      </c>
      <c r="E127" t="s">
        <v>129</v>
      </c>
      <c r="F127" t="s">
        <v>138</v>
      </c>
      <c r="G127" t="s">
        <v>75</v>
      </c>
      <c r="H127" t="s">
        <v>47</v>
      </c>
      <c r="I127" t="s">
        <v>89</v>
      </c>
      <c r="J127" t="s">
        <v>204</v>
      </c>
      <c r="K127">
        <v>5</v>
      </c>
      <c r="L127" s="2">
        <v>478.18</v>
      </c>
      <c r="M127" s="3">
        <v>0.05</v>
      </c>
      <c r="N127" s="2">
        <v>2271.36</v>
      </c>
      <c r="O127" s="2">
        <v>1836.7</v>
      </c>
      <c r="P127" s="2">
        <v>434.66</v>
      </c>
      <c r="Q127" t="s">
        <v>26</v>
      </c>
    </row>
    <row r="128" spans="1:17" x14ac:dyDescent="0.2">
      <c r="A128" t="s">
        <v>283</v>
      </c>
      <c r="B128" s="1">
        <v>45671</v>
      </c>
      <c r="C128" t="s">
        <v>36</v>
      </c>
      <c r="D128" t="s">
        <v>110</v>
      </c>
      <c r="E128" t="s">
        <v>111</v>
      </c>
      <c r="F128" t="s">
        <v>39</v>
      </c>
      <c r="G128" t="s">
        <v>22</v>
      </c>
      <c r="H128" t="s">
        <v>23</v>
      </c>
      <c r="I128" t="s">
        <v>24</v>
      </c>
      <c r="J128" t="s">
        <v>25</v>
      </c>
      <c r="K128">
        <v>9</v>
      </c>
      <c r="L128" s="2">
        <v>6.2</v>
      </c>
      <c r="M128" s="3">
        <v>0.05</v>
      </c>
      <c r="N128" s="2">
        <v>53.01</v>
      </c>
      <c r="O128" s="2">
        <v>30.67</v>
      </c>
      <c r="P128" s="2">
        <v>22.34</v>
      </c>
      <c r="Q128" t="s">
        <v>34</v>
      </c>
    </row>
    <row r="129" spans="1:17" x14ac:dyDescent="0.2">
      <c r="A129" t="s">
        <v>284</v>
      </c>
      <c r="B129" s="1">
        <v>45671</v>
      </c>
      <c r="C129" t="s">
        <v>77</v>
      </c>
      <c r="D129" t="s">
        <v>78</v>
      </c>
      <c r="E129" t="s">
        <v>52</v>
      </c>
      <c r="F129" t="s">
        <v>138</v>
      </c>
      <c r="G129" t="s">
        <v>54</v>
      </c>
      <c r="H129" t="s">
        <v>31</v>
      </c>
      <c r="I129" t="s">
        <v>40</v>
      </c>
      <c r="J129" t="s">
        <v>41</v>
      </c>
      <c r="K129">
        <v>8</v>
      </c>
      <c r="L129" s="2">
        <v>91.68</v>
      </c>
      <c r="M129" s="3">
        <v>0</v>
      </c>
      <c r="N129" s="2">
        <v>733.44</v>
      </c>
      <c r="O129" s="2">
        <v>407.75</v>
      </c>
      <c r="P129" s="2">
        <v>325.69</v>
      </c>
      <c r="Q129" t="s">
        <v>26</v>
      </c>
    </row>
    <row r="130" spans="1:17" x14ac:dyDescent="0.2">
      <c r="A130" t="s">
        <v>285</v>
      </c>
      <c r="B130" s="1">
        <v>45671</v>
      </c>
      <c r="C130" t="s">
        <v>18</v>
      </c>
      <c r="D130" t="s">
        <v>133</v>
      </c>
      <c r="E130" t="s">
        <v>226</v>
      </c>
      <c r="F130" t="s">
        <v>60</v>
      </c>
      <c r="G130" t="s">
        <v>22</v>
      </c>
      <c r="H130" t="s">
        <v>23</v>
      </c>
      <c r="I130" t="s">
        <v>55</v>
      </c>
      <c r="J130" t="s">
        <v>102</v>
      </c>
      <c r="K130">
        <v>6</v>
      </c>
      <c r="L130" s="2">
        <v>14.06</v>
      </c>
      <c r="M130" s="3">
        <v>0.1</v>
      </c>
      <c r="N130" s="2">
        <v>75.92</v>
      </c>
      <c r="O130" s="2">
        <v>51.48</v>
      </c>
      <c r="P130" s="2">
        <v>24.44</v>
      </c>
      <c r="Q130" t="s">
        <v>61</v>
      </c>
    </row>
    <row r="131" spans="1:17" x14ac:dyDescent="0.2">
      <c r="A131" t="s">
        <v>286</v>
      </c>
      <c r="B131" s="1">
        <v>45671</v>
      </c>
      <c r="C131" t="s">
        <v>43</v>
      </c>
      <c r="D131" t="s">
        <v>208</v>
      </c>
      <c r="E131" t="s">
        <v>287</v>
      </c>
      <c r="F131" t="s">
        <v>30</v>
      </c>
      <c r="G131" t="s">
        <v>22</v>
      </c>
      <c r="H131" t="s">
        <v>31</v>
      </c>
      <c r="I131" t="s">
        <v>112</v>
      </c>
      <c r="J131" t="s">
        <v>136</v>
      </c>
      <c r="K131">
        <v>10</v>
      </c>
      <c r="L131" s="2">
        <v>266.06</v>
      </c>
      <c r="M131" s="3">
        <v>0.1</v>
      </c>
      <c r="N131" s="2">
        <v>2394.54</v>
      </c>
      <c r="O131" s="2">
        <v>1407.21</v>
      </c>
      <c r="P131" s="2">
        <v>987.33</v>
      </c>
      <c r="Q131" t="s">
        <v>61</v>
      </c>
    </row>
    <row r="132" spans="1:17" x14ac:dyDescent="0.2">
      <c r="A132" t="s">
        <v>288</v>
      </c>
      <c r="B132" s="1">
        <v>45671</v>
      </c>
      <c r="C132" t="s">
        <v>43</v>
      </c>
      <c r="D132" t="s">
        <v>161</v>
      </c>
      <c r="E132" t="s">
        <v>172</v>
      </c>
      <c r="F132" t="s">
        <v>138</v>
      </c>
      <c r="G132" t="s">
        <v>22</v>
      </c>
      <c r="H132" t="s">
        <v>47</v>
      </c>
      <c r="I132" t="s">
        <v>141</v>
      </c>
      <c r="J132" t="s">
        <v>201</v>
      </c>
      <c r="K132">
        <v>8</v>
      </c>
      <c r="L132" s="2">
        <v>180.18</v>
      </c>
      <c r="M132" s="3">
        <v>0.05</v>
      </c>
      <c r="N132" s="2">
        <v>1369.37</v>
      </c>
      <c r="O132" s="2">
        <v>899.95</v>
      </c>
      <c r="P132" s="2">
        <v>469.42</v>
      </c>
      <c r="Q132" t="s">
        <v>26</v>
      </c>
    </row>
    <row r="133" spans="1:17" x14ac:dyDescent="0.2">
      <c r="A133" t="s">
        <v>289</v>
      </c>
      <c r="B133" s="1">
        <v>45671</v>
      </c>
      <c r="C133" t="s">
        <v>43</v>
      </c>
      <c r="D133" t="s">
        <v>44</v>
      </c>
      <c r="E133" t="s">
        <v>45</v>
      </c>
      <c r="F133" t="s">
        <v>130</v>
      </c>
      <c r="G133" t="s">
        <v>22</v>
      </c>
      <c r="H133" t="s">
        <v>47</v>
      </c>
      <c r="I133" t="s">
        <v>48</v>
      </c>
      <c r="J133" t="s">
        <v>49</v>
      </c>
      <c r="K133">
        <v>3</v>
      </c>
      <c r="L133" s="2">
        <v>399.47</v>
      </c>
      <c r="M133" s="3">
        <v>0.15</v>
      </c>
      <c r="N133" s="2">
        <v>1018.65</v>
      </c>
      <c r="O133" s="2">
        <v>595.79999999999995</v>
      </c>
      <c r="P133" s="2">
        <v>422.85</v>
      </c>
      <c r="Q133" t="s">
        <v>26</v>
      </c>
    </row>
    <row r="134" spans="1:17" x14ac:dyDescent="0.2">
      <c r="A134" t="s">
        <v>290</v>
      </c>
      <c r="B134" s="1">
        <v>45671</v>
      </c>
      <c r="C134" t="s">
        <v>36</v>
      </c>
      <c r="D134" t="s">
        <v>73</v>
      </c>
      <c r="E134" t="s">
        <v>212</v>
      </c>
      <c r="F134" t="s">
        <v>30</v>
      </c>
      <c r="G134" t="s">
        <v>54</v>
      </c>
      <c r="H134" t="s">
        <v>31</v>
      </c>
      <c r="I134" t="s">
        <v>40</v>
      </c>
      <c r="J134" t="s">
        <v>122</v>
      </c>
      <c r="K134">
        <v>7</v>
      </c>
      <c r="L134" s="2">
        <v>126.58</v>
      </c>
      <c r="M134" s="3">
        <v>0.15</v>
      </c>
      <c r="N134" s="2">
        <v>753.15</v>
      </c>
      <c r="O134" s="2">
        <v>469.82</v>
      </c>
      <c r="P134" s="2">
        <v>283.33</v>
      </c>
      <c r="Q134" t="s">
        <v>61</v>
      </c>
    </row>
    <row r="135" spans="1:17" x14ac:dyDescent="0.2">
      <c r="A135" t="s">
        <v>291</v>
      </c>
      <c r="B135" s="1">
        <v>45671</v>
      </c>
      <c r="C135" t="s">
        <v>18</v>
      </c>
      <c r="D135" t="s">
        <v>19</v>
      </c>
      <c r="E135" t="s">
        <v>20</v>
      </c>
      <c r="F135" t="s">
        <v>30</v>
      </c>
      <c r="G135" t="s">
        <v>75</v>
      </c>
      <c r="H135" t="s">
        <v>31</v>
      </c>
      <c r="I135" t="s">
        <v>112</v>
      </c>
      <c r="J135" t="s">
        <v>113</v>
      </c>
      <c r="K135">
        <v>10</v>
      </c>
      <c r="L135" s="2">
        <v>465.33</v>
      </c>
      <c r="M135" s="3">
        <v>0.1</v>
      </c>
      <c r="N135" s="2">
        <v>4187.97</v>
      </c>
      <c r="O135" s="2">
        <v>3299.98</v>
      </c>
      <c r="P135" s="2">
        <v>887.99</v>
      </c>
      <c r="Q135" t="s">
        <v>26</v>
      </c>
    </row>
    <row r="136" spans="1:17" x14ac:dyDescent="0.2">
      <c r="A136" t="s">
        <v>292</v>
      </c>
      <c r="B136" s="1">
        <v>45672</v>
      </c>
      <c r="C136" t="s">
        <v>36</v>
      </c>
      <c r="D136" t="s">
        <v>73</v>
      </c>
      <c r="E136" t="s">
        <v>74</v>
      </c>
      <c r="F136" t="s">
        <v>30</v>
      </c>
      <c r="G136" t="s">
        <v>75</v>
      </c>
      <c r="H136" t="s">
        <v>47</v>
      </c>
      <c r="I136" t="s">
        <v>89</v>
      </c>
      <c r="J136" t="s">
        <v>240</v>
      </c>
      <c r="K136">
        <v>8</v>
      </c>
      <c r="L136" s="2">
        <v>189.32</v>
      </c>
      <c r="M136" s="3">
        <v>0</v>
      </c>
      <c r="N136" s="2">
        <v>1514.56</v>
      </c>
      <c r="O136" s="2">
        <v>1091.73</v>
      </c>
      <c r="P136" s="2">
        <v>422.83</v>
      </c>
      <c r="Q136" t="s">
        <v>34</v>
      </c>
    </row>
    <row r="137" spans="1:17" x14ac:dyDescent="0.2">
      <c r="A137" t="s">
        <v>293</v>
      </c>
      <c r="B137" s="1">
        <v>45672</v>
      </c>
      <c r="C137" t="s">
        <v>43</v>
      </c>
      <c r="D137" t="s">
        <v>44</v>
      </c>
      <c r="E137" t="s">
        <v>45</v>
      </c>
      <c r="F137" t="s">
        <v>138</v>
      </c>
      <c r="G137" t="s">
        <v>22</v>
      </c>
      <c r="H137" t="s">
        <v>31</v>
      </c>
      <c r="I137" t="s">
        <v>112</v>
      </c>
      <c r="J137" t="s">
        <v>113</v>
      </c>
      <c r="K137">
        <v>8</v>
      </c>
      <c r="L137" s="2">
        <v>686.93</v>
      </c>
      <c r="M137" s="3">
        <v>0.1</v>
      </c>
      <c r="N137" s="2">
        <v>4945.8999999999996</v>
      </c>
      <c r="O137" s="2">
        <v>3410.59</v>
      </c>
      <c r="P137" s="2">
        <v>1535.31</v>
      </c>
      <c r="Q137" t="s">
        <v>26</v>
      </c>
    </row>
    <row r="138" spans="1:17" x14ac:dyDescent="0.2">
      <c r="A138" t="s">
        <v>294</v>
      </c>
      <c r="B138" s="1">
        <v>45672</v>
      </c>
      <c r="C138" t="s">
        <v>77</v>
      </c>
      <c r="D138" t="s">
        <v>78</v>
      </c>
      <c r="E138" t="s">
        <v>295</v>
      </c>
      <c r="F138" t="s">
        <v>39</v>
      </c>
      <c r="G138" t="s">
        <v>54</v>
      </c>
      <c r="H138" t="s">
        <v>23</v>
      </c>
      <c r="I138" t="s">
        <v>55</v>
      </c>
      <c r="J138" t="s">
        <v>102</v>
      </c>
      <c r="K138">
        <v>3</v>
      </c>
      <c r="L138" s="2">
        <v>24.13</v>
      </c>
      <c r="M138" s="3">
        <v>0.05</v>
      </c>
      <c r="N138" s="2">
        <v>68.77</v>
      </c>
      <c r="O138" s="2">
        <v>53.01</v>
      </c>
      <c r="P138" s="2">
        <v>15.76</v>
      </c>
      <c r="Q138" t="s">
        <v>34</v>
      </c>
    </row>
    <row r="139" spans="1:17" x14ac:dyDescent="0.2">
      <c r="A139" t="s">
        <v>296</v>
      </c>
      <c r="B139" s="1">
        <v>45672</v>
      </c>
      <c r="C139" t="s">
        <v>36</v>
      </c>
      <c r="D139" t="s">
        <v>73</v>
      </c>
      <c r="E139" t="s">
        <v>247</v>
      </c>
      <c r="F139" t="s">
        <v>39</v>
      </c>
      <c r="G139" t="s">
        <v>22</v>
      </c>
      <c r="H139" t="s">
        <v>23</v>
      </c>
      <c r="I139" t="s">
        <v>24</v>
      </c>
      <c r="J139" t="s">
        <v>108</v>
      </c>
      <c r="K139">
        <v>3</v>
      </c>
      <c r="L139" s="2">
        <v>8.99</v>
      </c>
      <c r="M139" s="3">
        <v>0</v>
      </c>
      <c r="N139" s="2">
        <v>26.97</v>
      </c>
      <c r="O139" s="2">
        <v>21.56</v>
      </c>
      <c r="P139" s="2">
        <v>5.41</v>
      </c>
      <c r="Q139" t="s">
        <v>57</v>
      </c>
    </row>
    <row r="140" spans="1:17" x14ac:dyDescent="0.2">
      <c r="A140" t="s">
        <v>297</v>
      </c>
      <c r="B140" s="1">
        <v>45672</v>
      </c>
      <c r="C140" t="s">
        <v>36</v>
      </c>
      <c r="D140" t="s">
        <v>110</v>
      </c>
      <c r="E140" t="s">
        <v>111</v>
      </c>
      <c r="F140" t="s">
        <v>71</v>
      </c>
      <c r="G140" t="s">
        <v>75</v>
      </c>
      <c r="H140" t="s">
        <v>31</v>
      </c>
      <c r="I140" t="s">
        <v>32</v>
      </c>
      <c r="J140" t="s">
        <v>258</v>
      </c>
      <c r="K140">
        <v>9</v>
      </c>
      <c r="L140" s="2">
        <v>1109.81</v>
      </c>
      <c r="M140" s="3">
        <v>0.1</v>
      </c>
      <c r="N140" s="2">
        <v>8989.4599999999991</v>
      </c>
      <c r="O140" s="2">
        <v>6153.89</v>
      </c>
      <c r="P140" s="2">
        <v>2835.57</v>
      </c>
      <c r="Q140" t="s">
        <v>34</v>
      </c>
    </row>
    <row r="141" spans="1:17" x14ac:dyDescent="0.2">
      <c r="A141" t="s">
        <v>298</v>
      </c>
      <c r="B141" s="1">
        <v>45672</v>
      </c>
      <c r="C141" t="s">
        <v>77</v>
      </c>
      <c r="D141" t="s">
        <v>78</v>
      </c>
      <c r="E141" t="s">
        <v>295</v>
      </c>
      <c r="F141" t="s">
        <v>39</v>
      </c>
      <c r="G141" t="s">
        <v>22</v>
      </c>
      <c r="H141" t="s">
        <v>23</v>
      </c>
      <c r="I141" t="s">
        <v>83</v>
      </c>
      <c r="J141" t="s">
        <v>120</v>
      </c>
      <c r="K141">
        <v>5</v>
      </c>
      <c r="L141" s="2">
        <v>9.14</v>
      </c>
      <c r="M141" s="3">
        <v>0</v>
      </c>
      <c r="N141" s="2">
        <v>45.7</v>
      </c>
      <c r="O141" s="2">
        <v>26.94</v>
      </c>
      <c r="P141" s="2">
        <v>18.760000000000002</v>
      </c>
      <c r="Q141" t="s">
        <v>61</v>
      </c>
    </row>
    <row r="142" spans="1:17" x14ac:dyDescent="0.2">
      <c r="A142" t="s">
        <v>299</v>
      </c>
      <c r="B142" s="1">
        <v>45672</v>
      </c>
      <c r="C142" t="s">
        <v>43</v>
      </c>
      <c r="D142" t="s">
        <v>244</v>
      </c>
      <c r="E142" t="s">
        <v>300</v>
      </c>
      <c r="F142" t="s">
        <v>130</v>
      </c>
      <c r="G142" t="s">
        <v>54</v>
      </c>
      <c r="H142" t="s">
        <v>31</v>
      </c>
      <c r="I142" t="s">
        <v>32</v>
      </c>
      <c r="J142" t="s">
        <v>104</v>
      </c>
      <c r="K142">
        <v>5</v>
      </c>
      <c r="L142" s="2">
        <v>625.17999999999995</v>
      </c>
      <c r="M142" s="3">
        <v>0.1</v>
      </c>
      <c r="N142" s="2">
        <v>2813.31</v>
      </c>
      <c r="O142" s="2">
        <v>1614.82</v>
      </c>
      <c r="P142" s="2">
        <v>1198.49</v>
      </c>
      <c r="Q142" t="s">
        <v>34</v>
      </c>
    </row>
    <row r="143" spans="1:17" x14ac:dyDescent="0.2">
      <c r="A143" t="s">
        <v>301</v>
      </c>
      <c r="B143" s="1">
        <v>45672</v>
      </c>
      <c r="C143" t="s">
        <v>43</v>
      </c>
      <c r="D143" t="s">
        <v>244</v>
      </c>
      <c r="E143" t="s">
        <v>245</v>
      </c>
      <c r="F143" t="s">
        <v>60</v>
      </c>
      <c r="G143" t="s">
        <v>54</v>
      </c>
      <c r="H143" t="s">
        <v>31</v>
      </c>
      <c r="I143" t="s">
        <v>40</v>
      </c>
      <c r="J143" t="s">
        <v>122</v>
      </c>
      <c r="K143">
        <v>4</v>
      </c>
      <c r="L143" s="2">
        <v>238.34</v>
      </c>
      <c r="M143" s="3">
        <v>0.05</v>
      </c>
      <c r="N143" s="2">
        <v>905.69</v>
      </c>
      <c r="O143" s="2">
        <v>626.98</v>
      </c>
      <c r="P143" s="2">
        <v>278.70999999999998</v>
      </c>
      <c r="Q143" t="s">
        <v>34</v>
      </c>
    </row>
    <row r="144" spans="1:17" x14ac:dyDescent="0.2">
      <c r="A144" t="s">
        <v>302</v>
      </c>
      <c r="B144" s="1">
        <v>45673</v>
      </c>
      <c r="C144" t="s">
        <v>77</v>
      </c>
      <c r="D144" t="s">
        <v>106</v>
      </c>
      <c r="E144" t="s">
        <v>303</v>
      </c>
      <c r="F144" t="s">
        <v>138</v>
      </c>
      <c r="G144" t="s">
        <v>22</v>
      </c>
      <c r="H144" t="s">
        <v>23</v>
      </c>
      <c r="I144" t="s">
        <v>83</v>
      </c>
      <c r="J144" t="s">
        <v>120</v>
      </c>
      <c r="K144">
        <v>4</v>
      </c>
      <c r="L144" s="2">
        <v>24.28</v>
      </c>
      <c r="M144" s="3">
        <v>0.1</v>
      </c>
      <c r="N144" s="2">
        <v>87.41</v>
      </c>
      <c r="O144" s="2">
        <v>68.040000000000006</v>
      </c>
      <c r="P144" s="2">
        <v>19.37</v>
      </c>
      <c r="Q144" t="s">
        <v>34</v>
      </c>
    </row>
    <row r="145" spans="1:17" x14ac:dyDescent="0.2">
      <c r="A145" t="s">
        <v>304</v>
      </c>
      <c r="B145" s="1">
        <v>45673</v>
      </c>
      <c r="C145" t="s">
        <v>43</v>
      </c>
      <c r="D145" t="s">
        <v>161</v>
      </c>
      <c r="E145" t="s">
        <v>172</v>
      </c>
      <c r="F145" t="s">
        <v>21</v>
      </c>
      <c r="G145" t="s">
        <v>22</v>
      </c>
      <c r="H145" t="s">
        <v>47</v>
      </c>
      <c r="I145" t="s">
        <v>141</v>
      </c>
      <c r="J145" t="s">
        <v>142</v>
      </c>
      <c r="K145">
        <v>2</v>
      </c>
      <c r="L145" s="2">
        <v>680.34</v>
      </c>
      <c r="M145" s="3">
        <v>0.05</v>
      </c>
      <c r="N145" s="2">
        <v>1292.6500000000001</v>
      </c>
      <c r="O145" s="2">
        <v>897.59</v>
      </c>
      <c r="P145" s="2">
        <v>395.06</v>
      </c>
      <c r="Q145" t="s">
        <v>61</v>
      </c>
    </row>
    <row r="146" spans="1:17" x14ac:dyDescent="0.2">
      <c r="A146" t="s">
        <v>305</v>
      </c>
      <c r="B146" s="1">
        <v>45673</v>
      </c>
      <c r="C146" t="s">
        <v>77</v>
      </c>
      <c r="D146" t="s">
        <v>128</v>
      </c>
      <c r="E146" t="s">
        <v>155</v>
      </c>
      <c r="F146" t="s">
        <v>130</v>
      </c>
      <c r="G146" t="s">
        <v>22</v>
      </c>
      <c r="H146" t="s">
        <v>47</v>
      </c>
      <c r="I146" t="s">
        <v>48</v>
      </c>
      <c r="J146" t="s">
        <v>164</v>
      </c>
      <c r="K146">
        <v>10</v>
      </c>
      <c r="L146" s="2">
        <v>648.78</v>
      </c>
      <c r="M146" s="3">
        <v>0.05</v>
      </c>
      <c r="N146" s="2">
        <v>6163.41</v>
      </c>
      <c r="O146" s="2">
        <v>3820.38</v>
      </c>
      <c r="P146" s="2">
        <v>2343.0300000000002</v>
      </c>
      <c r="Q146" t="s">
        <v>61</v>
      </c>
    </row>
    <row r="147" spans="1:17" x14ac:dyDescent="0.2">
      <c r="A147" t="s">
        <v>306</v>
      </c>
      <c r="B147" s="1">
        <v>45673</v>
      </c>
      <c r="C147" t="s">
        <v>36</v>
      </c>
      <c r="D147" t="s">
        <v>110</v>
      </c>
      <c r="E147" t="s">
        <v>111</v>
      </c>
      <c r="F147" t="s">
        <v>60</v>
      </c>
      <c r="G147" t="s">
        <v>54</v>
      </c>
      <c r="H147" t="s">
        <v>47</v>
      </c>
      <c r="I147" t="s">
        <v>48</v>
      </c>
      <c r="J147" t="s">
        <v>49</v>
      </c>
      <c r="K147">
        <v>4</v>
      </c>
      <c r="L147" s="2">
        <v>660.72</v>
      </c>
      <c r="M147" s="3">
        <v>0</v>
      </c>
      <c r="N147" s="2">
        <v>2642.88</v>
      </c>
      <c r="O147" s="2">
        <v>1559.36</v>
      </c>
      <c r="P147" s="2">
        <v>1083.52</v>
      </c>
      <c r="Q147" t="s">
        <v>34</v>
      </c>
    </row>
    <row r="148" spans="1:17" x14ac:dyDescent="0.2">
      <c r="A148" t="s">
        <v>307</v>
      </c>
      <c r="B148" s="1">
        <v>45673</v>
      </c>
      <c r="C148" t="s">
        <v>77</v>
      </c>
      <c r="D148" t="s">
        <v>128</v>
      </c>
      <c r="E148" t="s">
        <v>159</v>
      </c>
      <c r="F148" t="s">
        <v>71</v>
      </c>
      <c r="G148" t="s">
        <v>54</v>
      </c>
      <c r="H148" t="s">
        <v>23</v>
      </c>
      <c r="I148" t="s">
        <v>55</v>
      </c>
      <c r="J148" t="s">
        <v>56</v>
      </c>
      <c r="K148">
        <v>1</v>
      </c>
      <c r="L148" s="2">
        <v>11.48</v>
      </c>
      <c r="M148" s="3">
        <v>0.05</v>
      </c>
      <c r="N148" s="2">
        <v>10.91</v>
      </c>
      <c r="O148" s="2">
        <v>7.11</v>
      </c>
      <c r="P148" s="2">
        <v>3.8</v>
      </c>
      <c r="Q148" t="s">
        <v>34</v>
      </c>
    </row>
    <row r="149" spans="1:17" x14ac:dyDescent="0.2">
      <c r="A149" t="s">
        <v>308</v>
      </c>
      <c r="B149" s="1">
        <v>45673</v>
      </c>
      <c r="C149" t="s">
        <v>77</v>
      </c>
      <c r="D149" t="s">
        <v>149</v>
      </c>
      <c r="E149" t="s">
        <v>309</v>
      </c>
      <c r="F149" t="s">
        <v>30</v>
      </c>
      <c r="G149" t="s">
        <v>75</v>
      </c>
      <c r="H149" t="s">
        <v>31</v>
      </c>
      <c r="I149" t="s">
        <v>32</v>
      </c>
      <c r="J149" t="s">
        <v>104</v>
      </c>
      <c r="K149">
        <v>3</v>
      </c>
      <c r="L149" s="2">
        <v>1262.49</v>
      </c>
      <c r="M149" s="3">
        <v>0.2</v>
      </c>
      <c r="N149" s="2">
        <v>3029.98</v>
      </c>
      <c r="O149" s="2">
        <v>1914.56</v>
      </c>
      <c r="P149" s="2">
        <v>1115.42</v>
      </c>
      <c r="Q149" t="s">
        <v>34</v>
      </c>
    </row>
    <row r="150" spans="1:17" x14ac:dyDescent="0.2">
      <c r="A150" t="s">
        <v>310</v>
      </c>
      <c r="B150" s="1">
        <v>45673</v>
      </c>
      <c r="C150" t="s">
        <v>77</v>
      </c>
      <c r="D150" t="s">
        <v>78</v>
      </c>
      <c r="E150" t="s">
        <v>261</v>
      </c>
      <c r="F150" t="s">
        <v>39</v>
      </c>
      <c r="G150" t="s">
        <v>22</v>
      </c>
      <c r="H150" t="s">
        <v>23</v>
      </c>
      <c r="I150" t="s">
        <v>24</v>
      </c>
      <c r="J150" t="s">
        <v>25</v>
      </c>
      <c r="K150">
        <v>8</v>
      </c>
      <c r="L150" s="2">
        <v>9.2799999999999994</v>
      </c>
      <c r="M150" s="3">
        <v>0.2</v>
      </c>
      <c r="N150" s="2">
        <v>59.39</v>
      </c>
      <c r="O150" s="2">
        <v>40.54</v>
      </c>
      <c r="P150" s="2">
        <v>18.850000000000001</v>
      </c>
      <c r="Q150" t="s">
        <v>57</v>
      </c>
    </row>
    <row r="151" spans="1:17" x14ac:dyDescent="0.2">
      <c r="A151" t="s">
        <v>311</v>
      </c>
      <c r="B151" s="1">
        <v>45673</v>
      </c>
      <c r="C151" t="s">
        <v>18</v>
      </c>
      <c r="D151" t="s">
        <v>86</v>
      </c>
      <c r="E151" t="s">
        <v>92</v>
      </c>
      <c r="F151" t="s">
        <v>71</v>
      </c>
      <c r="G151" t="s">
        <v>75</v>
      </c>
      <c r="H151" t="s">
        <v>47</v>
      </c>
      <c r="I151" t="s">
        <v>97</v>
      </c>
      <c r="J151" t="s">
        <v>98</v>
      </c>
      <c r="K151">
        <v>8</v>
      </c>
      <c r="L151" s="2">
        <v>282.38</v>
      </c>
      <c r="M151" s="3">
        <v>0.1</v>
      </c>
      <c r="N151" s="2">
        <v>2033.14</v>
      </c>
      <c r="O151" s="2">
        <v>1285.8800000000001</v>
      </c>
      <c r="P151" s="2">
        <v>747.26</v>
      </c>
      <c r="Q151" t="s">
        <v>26</v>
      </c>
    </row>
    <row r="152" spans="1:17" x14ac:dyDescent="0.2">
      <c r="A152" t="s">
        <v>312</v>
      </c>
      <c r="B152" s="1">
        <v>45673</v>
      </c>
      <c r="C152" t="s">
        <v>18</v>
      </c>
      <c r="D152" t="s">
        <v>86</v>
      </c>
      <c r="E152" t="s">
        <v>87</v>
      </c>
      <c r="F152" t="s">
        <v>39</v>
      </c>
      <c r="G152" t="s">
        <v>54</v>
      </c>
      <c r="H152" t="s">
        <v>23</v>
      </c>
      <c r="I152" t="s">
        <v>79</v>
      </c>
      <c r="J152" t="s">
        <v>80</v>
      </c>
      <c r="K152">
        <v>8</v>
      </c>
      <c r="L152" s="2">
        <v>598.14</v>
      </c>
      <c r="M152" s="3">
        <v>0.2</v>
      </c>
      <c r="N152" s="2">
        <v>3828.1</v>
      </c>
      <c r="O152" s="2">
        <v>2570.13</v>
      </c>
      <c r="P152" s="2">
        <v>1257.97</v>
      </c>
      <c r="Q152" t="s">
        <v>57</v>
      </c>
    </row>
    <row r="153" spans="1:17" x14ac:dyDescent="0.2">
      <c r="A153" t="s">
        <v>313</v>
      </c>
      <c r="B153" s="1">
        <v>45673</v>
      </c>
      <c r="C153" t="s">
        <v>36</v>
      </c>
      <c r="D153" t="s">
        <v>37</v>
      </c>
      <c r="E153" t="s">
        <v>255</v>
      </c>
      <c r="F153" t="s">
        <v>71</v>
      </c>
      <c r="G153" t="s">
        <v>22</v>
      </c>
      <c r="H153" t="s">
        <v>31</v>
      </c>
      <c r="I153" t="s">
        <v>112</v>
      </c>
      <c r="J153" t="s">
        <v>136</v>
      </c>
      <c r="K153">
        <v>4</v>
      </c>
      <c r="L153" s="2">
        <v>500.52</v>
      </c>
      <c r="M153" s="3">
        <v>0.05</v>
      </c>
      <c r="N153" s="2">
        <v>1901.98</v>
      </c>
      <c r="O153" s="2">
        <v>1471.06</v>
      </c>
      <c r="P153" s="2">
        <v>430.92</v>
      </c>
      <c r="Q153" t="s">
        <v>57</v>
      </c>
    </row>
    <row r="154" spans="1:17" x14ac:dyDescent="0.2">
      <c r="A154" t="s">
        <v>314</v>
      </c>
      <c r="B154" s="1">
        <v>45673</v>
      </c>
      <c r="C154" t="s">
        <v>18</v>
      </c>
      <c r="D154" t="s">
        <v>86</v>
      </c>
      <c r="E154" t="s">
        <v>140</v>
      </c>
      <c r="F154" t="s">
        <v>21</v>
      </c>
      <c r="G154" t="s">
        <v>22</v>
      </c>
      <c r="H154" t="s">
        <v>47</v>
      </c>
      <c r="I154" t="s">
        <v>48</v>
      </c>
      <c r="J154" t="s">
        <v>93</v>
      </c>
      <c r="K154">
        <v>7</v>
      </c>
      <c r="L154" s="2">
        <v>346.81</v>
      </c>
      <c r="M154" s="3">
        <v>0.2</v>
      </c>
      <c r="N154" s="2">
        <v>1942.14</v>
      </c>
      <c r="O154" s="2">
        <v>1168.05</v>
      </c>
      <c r="P154" s="2">
        <v>774.09</v>
      </c>
      <c r="Q154" t="s">
        <v>57</v>
      </c>
    </row>
    <row r="155" spans="1:17" x14ac:dyDescent="0.2">
      <c r="A155" t="s">
        <v>315</v>
      </c>
      <c r="B155" s="1">
        <v>45673</v>
      </c>
      <c r="C155" t="s">
        <v>43</v>
      </c>
      <c r="D155" t="s">
        <v>44</v>
      </c>
      <c r="E155" t="s">
        <v>82</v>
      </c>
      <c r="F155" t="s">
        <v>138</v>
      </c>
      <c r="G155" t="s">
        <v>54</v>
      </c>
      <c r="H155" t="s">
        <v>47</v>
      </c>
      <c r="I155" t="s">
        <v>48</v>
      </c>
      <c r="J155" t="s">
        <v>93</v>
      </c>
      <c r="K155">
        <v>1</v>
      </c>
      <c r="L155" s="2">
        <v>671.13</v>
      </c>
      <c r="M155" s="3">
        <v>0.05</v>
      </c>
      <c r="N155" s="2">
        <v>637.57000000000005</v>
      </c>
      <c r="O155" s="2">
        <v>363.92</v>
      </c>
      <c r="P155" s="2">
        <v>273.64999999999998</v>
      </c>
      <c r="Q155" t="s">
        <v>57</v>
      </c>
    </row>
    <row r="156" spans="1:17" x14ac:dyDescent="0.2">
      <c r="A156" t="s">
        <v>316</v>
      </c>
      <c r="B156" s="1">
        <v>45673</v>
      </c>
      <c r="C156" t="s">
        <v>36</v>
      </c>
      <c r="D156" t="s">
        <v>73</v>
      </c>
      <c r="E156" t="s">
        <v>74</v>
      </c>
      <c r="F156" t="s">
        <v>53</v>
      </c>
      <c r="G156" t="s">
        <v>54</v>
      </c>
      <c r="H156" t="s">
        <v>31</v>
      </c>
      <c r="I156" t="s">
        <v>32</v>
      </c>
      <c r="J156" t="s">
        <v>104</v>
      </c>
      <c r="K156">
        <v>8</v>
      </c>
      <c r="L156" s="2">
        <v>1000.58</v>
      </c>
      <c r="M156" s="3">
        <v>0.1</v>
      </c>
      <c r="N156" s="2">
        <v>7204.18</v>
      </c>
      <c r="O156" s="2">
        <v>4911.84</v>
      </c>
      <c r="P156" s="2">
        <v>2292.34</v>
      </c>
      <c r="Q156" t="s">
        <v>26</v>
      </c>
    </row>
    <row r="157" spans="1:17" x14ac:dyDescent="0.2">
      <c r="A157" t="s">
        <v>317</v>
      </c>
      <c r="B157" s="1">
        <v>45674</v>
      </c>
      <c r="C157" t="s">
        <v>36</v>
      </c>
      <c r="D157" t="s">
        <v>67</v>
      </c>
      <c r="E157" t="s">
        <v>68</v>
      </c>
      <c r="F157" t="s">
        <v>53</v>
      </c>
      <c r="G157" t="s">
        <v>22</v>
      </c>
      <c r="H157" t="s">
        <v>23</v>
      </c>
      <c r="I157" t="s">
        <v>83</v>
      </c>
      <c r="J157" t="s">
        <v>84</v>
      </c>
      <c r="K157">
        <v>2</v>
      </c>
      <c r="L157" s="2">
        <v>28.1</v>
      </c>
      <c r="M157" s="3">
        <v>0</v>
      </c>
      <c r="N157" s="2">
        <v>56.2</v>
      </c>
      <c r="O157" s="2">
        <v>42.43</v>
      </c>
      <c r="P157" s="2">
        <v>13.77</v>
      </c>
      <c r="Q157" t="s">
        <v>34</v>
      </c>
    </row>
    <row r="158" spans="1:17" x14ac:dyDescent="0.2">
      <c r="A158" t="s">
        <v>318</v>
      </c>
      <c r="B158" s="1">
        <v>45674</v>
      </c>
      <c r="C158" t="s">
        <v>18</v>
      </c>
      <c r="D158" t="s">
        <v>152</v>
      </c>
      <c r="E158" t="s">
        <v>185</v>
      </c>
      <c r="F158" t="s">
        <v>130</v>
      </c>
      <c r="G158" t="s">
        <v>22</v>
      </c>
      <c r="H158" t="s">
        <v>23</v>
      </c>
      <c r="I158" t="s">
        <v>79</v>
      </c>
      <c r="J158" t="s">
        <v>233</v>
      </c>
      <c r="K158">
        <v>2</v>
      </c>
      <c r="L158" s="2">
        <v>496.93</v>
      </c>
      <c r="M158" s="3">
        <v>0.1</v>
      </c>
      <c r="N158" s="2">
        <v>894.47</v>
      </c>
      <c r="O158" s="2">
        <v>655.36</v>
      </c>
      <c r="P158" s="2">
        <v>239.11</v>
      </c>
      <c r="Q158" t="s">
        <v>61</v>
      </c>
    </row>
    <row r="159" spans="1:17" x14ac:dyDescent="0.2">
      <c r="A159" t="s">
        <v>319</v>
      </c>
      <c r="B159" s="1">
        <v>45674</v>
      </c>
      <c r="C159" t="s">
        <v>77</v>
      </c>
      <c r="D159" t="s">
        <v>95</v>
      </c>
      <c r="E159" t="s">
        <v>96</v>
      </c>
      <c r="F159" t="s">
        <v>69</v>
      </c>
      <c r="G159" t="s">
        <v>22</v>
      </c>
      <c r="H159" t="s">
        <v>31</v>
      </c>
      <c r="I159" t="s">
        <v>112</v>
      </c>
      <c r="J159" t="s">
        <v>136</v>
      </c>
      <c r="K159">
        <v>10</v>
      </c>
      <c r="L159" s="2">
        <v>421.27</v>
      </c>
      <c r="M159" s="3">
        <v>0.1</v>
      </c>
      <c r="N159" s="2">
        <v>3791.43</v>
      </c>
      <c r="O159" s="2">
        <v>2134.4899999999998</v>
      </c>
      <c r="P159" s="2">
        <v>1656.94</v>
      </c>
      <c r="Q159" t="s">
        <v>61</v>
      </c>
    </row>
    <row r="160" spans="1:17" x14ac:dyDescent="0.2">
      <c r="A160" t="s">
        <v>320</v>
      </c>
      <c r="B160" s="1">
        <v>45674</v>
      </c>
      <c r="C160" t="s">
        <v>77</v>
      </c>
      <c r="D160" t="s">
        <v>149</v>
      </c>
      <c r="E160" t="s">
        <v>150</v>
      </c>
      <c r="F160" t="s">
        <v>60</v>
      </c>
      <c r="G160" t="s">
        <v>22</v>
      </c>
      <c r="H160" t="s">
        <v>31</v>
      </c>
      <c r="I160" t="s">
        <v>112</v>
      </c>
      <c r="J160" t="s">
        <v>136</v>
      </c>
      <c r="K160">
        <v>6</v>
      </c>
      <c r="L160" s="2">
        <v>637.25</v>
      </c>
      <c r="M160" s="3">
        <v>0.1</v>
      </c>
      <c r="N160" s="2">
        <v>3441.15</v>
      </c>
      <c r="O160" s="2">
        <v>1999.51</v>
      </c>
      <c r="P160" s="2">
        <v>1441.64</v>
      </c>
      <c r="Q160" t="s">
        <v>61</v>
      </c>
    </row>
    <row r="161" spans="1:17" x14ac:dyDescent="0.2">
      <c r="A161" t="s">
        <v>321</v>
      </c>
      <c r="B161" s="1">
        <v>45674</v>
      </c>
      <c r="C161" t="s">
        <v>43</v>
      </c>
      <c r="D161" t="s">
        <v>244</v>
      </c>
      <c r="E161" t="s">
        <v>245</v>
      </c>
      <c r="F161" t="s">
        <v>39</v>
      </c>
      <c r="G161" t="s">
        <v>75</v>
      </c>
      <c r="H161" t="s">
        <v>23</v>
      </c>
      <c r="I161" t="s">
        <v>79</v>
      </c>
      <c r="J161" t="s">
        <v>179</v>
      </c>
      <c r="K161">
        <v>2</v>
      </c>
      <c r="L161" s="2">
        <v>502.81</v>
      </c>
      <c r="M161" s="3">
        <v>0.15</v>
      </c>
      <c r="N161" s="2">
        <v>854.78</v>
      </c>
      <c r="O161" s="2">
        <v>596.63</v>
      </c>
      <c r="P161" s="2">
        <v>258.14999999999998</v>
      </c>
      <c r="Q161" t="s">
        <v>57</v>
      </c>
    </row>
    <row r="162" spans="1:17" x14ac:dyDescent="0.2">
      <c r="A162" t="s">
        <v>322</v>
      </c>
      <c r="B162" s="1">
        <v>45674</v>
      </c>
      <c r="C162" t="s">
        <v>36</v>
      </c>
      <c r="D162" t="s">
        <v>67</v>
      </c>
      <c r="E162" t="s">
        <v>323</v>
      </c>
      <c r="F162" t="s">
        <v>30</v>
      </c>
      <c r="G162" t="s">
        <v>22</v>
      </c>
      <c r="H162" t="s">
        <v>31</v>
      </c>
      <c r="I162" t="s">
        <v>40</v>
      </c>
      <c r="J162" t="s">
        <v>41</v>
      </c>
      <c r="K162">
        <v>3</v>
      </c>
      <c r="L162" s="2">
        <v>164.22</v>
      </c>
      <c r="M162" s="3">
        <v>0.1</v>
      </c>
      <c r="N162" s="2">
        <v>443.39</v>
      </c>
      <c r="O162" s="2">
        <v>350.47</v>
      </c>
      <c r="P162" s="2">
        <v>92.92</v>
      </c>
      <c r="Q162" t="s">
        <v>61</v>
      </c>
    </row>
    <row r="163" spans="1:17" x14ac:dyDescent="0.2">
      <c r="A163" t="s">
        <v>324</v>
      </c>
      <c r="B163" s="1">
        <v>45674</v>
      </c>
      <c r="C163" t="s">
        <v>18</v>
      </c>
      <c r="D163" t="s">
        <v>19</v>
      </c>
      <c r="E163" t="s">
        <v>20</v>
      </c>
      <c r="F163" t="s">
        <v>60</v>
      </c>
      <c r="G163" t="s">
        <v>22</v>
      </c>
      <c r="H163" t="s">
        <v>31</v>
      </c>
      <c r="I163" t="s">
        <v>32</v>
      </c>
      <c r="J163" t="s">
        <v>104</v>
      </c>
      <c r="K163">
        <v>10</v>
      </c>
      <c r="L163" s="2">
        <v>906.99</v>
      </c>
      <c r="M163" s="3">
        <v>0.15</v>
      </c>
      <c r="N163" s="2">
        <v>7709.41</v>
      </c>
      <c r="O163" s="2">
        <v>4288.3599999999997</v>
      </c>
      <c r="P163" s="2">
        <v>3421.05</v>
      </c>
      <c r="Q163" t="s">
        <v>26</v>
      </c>
    </row>
    <row r="164" spans="1:17" x14ac:dyDescent="0.2">
      <c r="A164" t="s">
        <v>325</v>
      </c>
      <c r="B164" s="1">
        <v>45674</v>
      </c>
      <c r="C164" t="s">
        <v>43</v>
      </c>
      <c r="D164" t="s">
        <v>244</v>
      </c>
      <c r="E164" t="s">
        <v>326</v>
      </c>
      <c r="F164" t="s">
        <v>138</v>
      </c>
      <c r="G164" t="s">
        <v>75</v>
      </c>
      <c r="H164" t="s">
        <v>47</v>
      </c>
      <c r="I164" t="s">
        <v>141</v>
      </c>
      <c r="J164" t="s">
        <v>142</v>
      </c>
      <c r="K164">
        <v>5</v>
      </c>
      <c r="L164" s="2">
        <v>236.62</v>
      </c>
      <c r="M164" s="3">
        <v>0</v>
      </c>
      <c r="N164" s="2">
        <v>1183.0999999999999</v>
      </c>
      <c r="O164" s="2">
        <v>879.14</v>
      </c>
      <c r="P164" s="2">
        <v>303.95999999999998</v>
      </c>
      <c r="Q164" t="s">
        <v>57</v>
      </c>
    </row>
    <row r="165" spans="1:17" x14ac:dyDescent="0.2">
      <c r="A165" t="s">
        <v>327</v>
      </c>
      <c r="B165" s="1">
        <v>45674</v>
      </c>
      <c r="C165" t="s">
        <v>18</v>
      </c>
      <c r="D165" t="s">
        <v>152</v>
      </c>
      <c r="E165" t="s">
        <v>185</v>
      </c>
      <c r="F165" t="s">
        <v>46</v>
      </c>
      <c r="G165" t="s">
        <v>75</v>
      </c>
      <c r="H165" t="s">
        <v>31</v>
      </c>
      <c r="I165" t="s">
        <v>32</v>
      </c>
      <c r="J165" t="s">
        <v>104</v>
      </c>
      <c r="K165">
        <v>9</v>
      </c>
      <c r="L165" s="2">
        <v>1422.47</v>
      </c>
      <c r="M165" s="3">
        <v>0.15</v>
      </c>
      <c r="N165" s="2">
        <v>10881.9</v>
      </c>
      <c r="O165" s="2">
        <v>8916.0400000000009</v>
      </c>
      <c r="P165" s="2">
        <v>1965.86</v>
      </c>
      <c r="Q165" t="s">
        <v>34</v>
      </c>
    </row>
    <row r="166" spans="1:17" x14ac:dyDescent="0.2">
      <c r="A166" t="s">
        <v>328</v>
      </c>
      <c r="B166" s="1">
        <v>45674</v>
      </c>
      <c r="C166" t="s">
        <v>77</v>
      </c>
      <c r="D166" t="s">
        <v>78</v>
      </c>
      <c r="E166" t="s">
        <v>52</v>
      </c>
      <c r="F166" t="s">
        <v>60</v>
      </c>
      <c r="G166" t="s">
        <v>75</v>
      </c>
      <c r="H166" t="s">
        <v>31</v>
      </c>
      <c r="I166" t="s">
        <v>40</v>
      </c>
      <c r="J166" t="s">
        <v>122</v>
      </c>
      <c r="K166">
        <v>3</v>
      </c>
      <c r="L166" s="2">
        <v>64.650000000000006</v>
      </c>
      <c r="M166" s="3">
        <v>0.15</v>
      </c>
      <c r="N166" s="2">
        <v>164.86</v>
      </c>
      <c r="O166" s="2">
        <v>106.85</v>
      </c>
      <c r="P166" s="2">
        <v>58.01</v>
      </c>
      <c r="Q166" t="s">
        <v>57</v>
      </c>
    </row>
    <row r="167" spans="1:17" x14ac:dyDescent="0.2">
      <c r="A167" t="s">
        <v>329</v>
      </c>
      <c r="B167" s="1">
        <v>45674</v>
      </c>
      <c r="C167" t="s">
        <v>18</v>
      </c>
      <c r="D167" t="s">
        <v>152</v>
      </c>
      <c r="E167" t="s">
        <v>166</v>
      </c>
      <c r="F167" t="s">
        <v>60</v>
      </c>
      <c r="G167" t="s">
        <v>75</v>
      </c>
      <c r="H167" t="s">
        <v>31</v>
      </c>
      <c r="I167" t="s">
        <v>64</v>
      </c>
      <c r="J167" t="s">
        <v>126</v>
      </c>
      <c r="K167">
        <v>8</v>
      </c>
      <c r="L167" s="2">
        <v>87.97</v>
      </c>
      <c r="M167" s="3">
        <v>0.1</v>
      </c>
      <c r="N167" s="2">
        <v>633.38</v>
      </c>
      <c r="O167" s="2">
        <v>365.19</v>
      </c>
      <c r="P167" s="2">
        <v>268.19</v>
      </c>
      <c r="Q167" t="s">
        <v>57</v>
      </c>
    </row>
    <row r="168" spans="1:17" x14ac:dyDescent="0.2">
      <c r="A168" t="s">
        <v>330</v>
      </c>
      <c r="B168" s="1">
        <v>45674</v>
      </c>
      <c r="C168" t="s">
        <v>36</v>
      </c>
      <c r="D168" t="s">
        <v>73</v>
      </c>
      <c r="E168" t="s">
        <v>74</v>
      </c>
      <c r="F168" t="s">
        <v>138</v>
      </c>
      <c r="G168" t="s">
        <v>22</v>
      </c>
      <c r="H168" t="s">
        <v>23</v>
      </c>
      <c r="I168" t="s">
        <v>79</v>
      </c>
      <c r="J168" t="s">
        <v>179</v>
      </c>
      <c r="K168">
        <v>2</v>
      </c>
      <c r="L168" s="2">
        <v>453.75</v>
      </c>
      <c r="M168" s="3">
        <v>0.1</v>
      </c>
      <c r="N168" s="2">
        <v>816.75</v>
      </c>
      <c r="O168" s="2">
        <v>617.58000000000004</v>
      </c>
      <c r="P168" s="2">
        <v>199.17</v>
      </c>
      <c r="Q168" t="s">
        <v>61</v>
      </c>
    </row>
    <row r="169" spans="1:17" x14ac:dyDescent="0.2">
      <c r="A169" t="s">
        <v>331</v>
      </c>
      <c r="B169" s="1">
        <v>45674</v>
      </c>
      <c r="C169" t="s">
        <v>18</v>
      </c>
      <c r="D169" t="s">
        <v>19</v>
      </c>
      <c r="E169" t="s">
        <v>100</v>
      </c>
      <c r="F169" t="s">
        <v>46</v>
      </c>
      <c r="G169" t="s">
        <v>75</v>
      </c>
      <c r="H169" t="s">
        <v>47</v>
      </c>
      <c r="I169" t="s">
        <v>89</v>
      </c>
      <c r="J169" t="s">
        <v>204</v>
      </c>
      <c r="K169">
        <v>8</v>
      </c>
      <c r="L169" s="2">
        <v>196.58</v>
      </c>
      <c r="M169" s="3">
        <v>0.15</v>
      </c>
      <c r="N169" s="2">
        <v>1336.74</v>
      </c>
      <c r="O169" s="2">
        <v>896.74</v>
      </c>
      <c r="P169" s="2">
        <v>440</v>
      </c>
      <c r="Q169" t="s">
        <v>57</v>
      </c>
    </row>
    <row r="170" spans="1:17" x14ac:dyDescent="0.2">
      <c r="A170" t="s">
        <v>332</v>
      </c>
      <c r="B170" s="1">
        <v>45675</v>
      </c>
      <c r="C170" t="s">
        <v>36</v>
      </c>
      <c r="D170" t="s">
        <v>73</v>
      </c>
      <c r="E170" t="s">
        <v>212</v>
      </c>
      <c r="F170" t="s">
        <v>30</v>
      </c>
      <c r="G170" t="s">
        <v>22</v>
      </c>
      <c r="H170" t="s">
        <v>31</v>
      </c>
      <c r="I170" t="s">
        <v>40</v>
      </c>
      <c r="J170" t="s">
        <v>41</v>
      </c>
      <c r="K170">
        <v>10</v>
      </c>
      <c r="L170" s="2">
        <v>45.72</v>
      </c>
      <c r="M170" s="3">
        <v>0</v>
      </c>
      <c r="N170" s="2">
        <v>457.2</v>
      </c>
      <c r="O170" s="2">
        <v>307.77999999999997</v>
      </c>
      <c r="P170" s="2">
        <v>149.41999999999999</v>
      </c>
      <c r="Q170" t="s">
        <v>57</v>
      </c>
    </row>
    <row r="171" spans="1:17" x14ac:dyDescent="0.2">
      <c r="A171" t="s">
        <v>333</v>
      </c>
      <c r="B171" s="1">
        <v>45675</v>
      </c>
      <c r="C171" t="s">
        <v>18</v>
      </c>
      <c r="D171" t="s">
        <v>28</v>
      </c>
      <c r="E171" t="s">
        <v>29</v>
      </c>
      <c r="F171" t="s">
        <v>39</v>
      </c>
      <c r="G171" t="s">
        <v>22</v>
      </c>
      <c r="H171" t="s">
        <v>47</v>
      </c>
      <c r="I171" t="s">
        <v>141</v>
      </c>
      <c r="J171" t="s">
        <v>142</v>
      </c>
      <c r="K171">
        <v>9</v>
      </c>
      <c r="L171" s="2">
        <v>274.79000000000002</v>
      </c>
      <c r="M171" s="3">
        <v>0.1</v>
      </c>
      <c r="N171" s="2">
        <v>2225.8000000000002</v>
      </c>
      <c r="O171" s="2">
        <v>1324.92</v>
      </c>
      <c r="P171" s="2">
        <v>900.88</v>
      </c>
      <c r="Q171" t="s">
        <v>34</v>
      </c>
    </row>
    <row r="172" spans="1:17" x14ac:dyDescent="0.2">
      <c r="A172" t="s">
        <v>334</v>
      </c>
      <c r="B172" s="1">
        <v>45675</v>
      </c>
      <c r="C172" t="s">
        <v>18</v>
      </c>
      <c r="D172" t="s">
        <v>133</v>
      </c>
      <c r="E172" t="s">
        <v>134</v>
      </c>
      <c r="F172" t="s">
        <v>30</v>
      </c>
      <c r="G172" t="s">
        <v>22</v>
      </c>
      <c r="H172" t="s">
        <v>23</v>
      </c>
      <c r="I172" t="s">
        <v>79</v>
      </c>
      <c r="J172" t="s">
        <v>233</v>
      </c>
      <c r="K172">
        <v>1</v>
      </c>
      <c r="L172" s="2">
        <v>204.55</v>
      </c>
      <c r="M172" s="3">
        <v>0</v>
      </c>
      <c r="N172" s="2">
        <v>204.55</v>
      </c>
      <c r="O172" s="2">
        <v>137.94</v>
      </c>
      <c r="P172" s="2">
        <v>66.61</v>
      </c>
      <c r="Q172" t="s">
        <v>26</v>
      </c>
    </row>
    <row r="173" spans="1:17" x14ac:dyDescent="0.2">
      <c r="A173" t="s">
        <v>335</v>
      </c>
      <c r="B173" s="1">
        <v>45675</v>
      </c>
      <c r="C173" t="s">
        <v>18</v>
      </c>
      <c r="D173" t="s">
        <v>86</v>
      </c>
      <c r="E173" t="s">
        <v>87</v>
      </c>
      <c r="F173" t="s">
        <v>46</v>
      </c>
      <c r="G173" t="s">
        <v>75</v>
      </c>
      <c r="H173" t="s">
        <v>23</v>
      </c>
      <c r="I173" t="s">
        <v>83</v>
      </c>
      <c r="J173" t="s">
        <v>84</v>
      </c>
      <c r="K173">
        <v>2</v>
      </c>
      <c r="L173" s="2">
        <v>33.409999999999997</v>
      </c>
      <c r="M173" s="3">
        <v>0.15</v>
      </c>
      <c r="N173" s="2">
        <v>56.8</v>
      </c>
      <c r="O173" s="2">
        <v>41.25</v>
      </c>
      <c r="P173" s="2">
        <v>15.55</v>
      </c>
      <c r="Q173" t="s">
        <v>26</v>
      </c>
    </row>
    <row r="174" spans="1:17" x14ac:dyDescent="0.2">
      <c r="A174" t="s">
        <v>336</v>
      </c>
      <c r="B174" s="1">
        <v>45675</v>
      </c>
      <c r="C174" t="s">
        <v>36</v>
      </c>
      <c r="D174" t="s">
        <v>110</v>
      </c>
      <c r="E174" t="s">
        <v>203</v>
      </c>
      <c r="F174" t="s">
        <v>21</v>
      </c>
      <c r="G174" t="s">
        <v>54</v>
      </c>
      <c r="H174" t="s">
        <v>31</v>
      </c>
      <c r="I174" t="s">
        <v>32</v>
      </c>
      <c r="J174" t="s">
        <v>33</v>
      </c>
      <c r="K174">
        <v>9</v>
      </c>
      <c r="L174" s="2">
        <v>1261.43</v>
      </c>
      <c r="M174" s="3">
        <v>0.1</v>
      </c>
      <c r="N174" s="2">
        <v>10217.58</v>
      </c>
      <c r="O174" s="2">
        <v>7530.36</v>
      </c>
      <c r="P174" s="2">
        <v>2687.22</v>
      </c>
      <c r="Q174" t="s">
        <v>34</v>
      </c>
    </row>
    <row r="175" spans="1:17" x14ac:dyDescent="0.2">
      <c r="A175" t="s">
        <v>337</v>
      </c>
      <c r="B175" s="1">
        <v>45675</v>
      </c>
      <c r="C175" t="s">
        <v>43</v>
      </c>
      <c r="D175" t="s">
        <v>44</v>
      </c>
      <c r="E175" t="s">
        <v>82</v>
      </c>
      <c r="F175" t="s">
        <v>30</v>
      </c>
      <c r="G175" t="s">
        <v>75</v>
      </c>
      <c r="H175" t="s">
        <v>31</v>
      </c>
      <c r="I175" t="s">
        <v>64</v>
      </c>
      <c r="J175" t="s">
        <v>252</v>
      </c>
      <c r="K175">
        <v>2</v>
      </c>
      <c r="L175" s="2">
        <v>37.119999999999997</v>
      </c>
      <c r="M175" s="3">
        <v>0.1</v>
      </c>
      <c r="N175" s="2">
        <v>66.819999999999993</v>
      </c>
      <c r="O175" s="2">
        <v>45.21</v>
      </c>
      <c r="P175" s="2">
        <v>21.61</v>
      </c>
      <c r="Q175" t="s">
        <v>61</v>
      </c>
    </row>
    <row r="176" spans="1:17" x14ac:dyDescent="0.2">
      <c r="A176" t="s">
        <v>338</v>
      </c>
      <c r="B176" s="1">
        <v>45675</v>
      </c>
      <c r="C176" t="s">
        <v>77</v>
      </c>
      <c r="D176" t="s">
        <v>149</v>
      </c>
      <c r="E176" t="s">
        <v>206</v>
      </c>
      <c r="F176" t="s">
        <v>69</v>
      </c>
      <c r="G176" t="s">
        <v>75</v>
      </c>
      <c r="H176" t="s">
        <v>47</v>
      </c>
      <c r="I176" t="s">
        <v>48</v>
      </c>
      <c r="J176" t="s">
        <v>49</v>
      </c>
      <c r="K176">
        <v>8</v>
      </c>
      <c r="L176" s="2">
        <v>226.97</v>
      </c>
      <c r="M176" s="3">
        <v>0.05</v>
      </c>
      <c r="N176" s="2">
        <v>1724.97</v>
      </c>
      <c r="O176" s="2">
        <v>1223.42</v>
      </c>
      <c r="P176" s="2">
        <v>501.55</v>
      </c>
      <c r="Q176" t="s">
        <v>57</v>
      </c>
    </row>
    <row r="177" spans="1:17" x14ac:dyDescent="0.2">
      <c r="A177" t="s">
        <v>339</v>
      </c>
      <c r="B177" s="1">
        <v>45675</v>
      </c>
      <c r="C177" t="s">
        <v>43</v>
      </c>
      <c r="D177" t="s">
        <v>244</v>
      </c>
      <c r="E177" t="s">
        <v>245</v>
      </c>
      <c r="F177" t="s">
        <v>21</v>
      </c>
      <c r="G177" t="s">
        <v>22</v>
      </c>
      <c r="H177" t="s">
        <v>31</v>
      </c>
      <c r="I177" t="s">
        <v>32</v>
      </c>
      <c r="J177" t="s">
        <v>33</v>
      </c>
      <c r="K177">
        <v>2</v>
      </c>
      <c r="L177" s="2">
        <v>1019.69</v>
      </c>
      <c r="M177" s="3">
        <v>0</v>
      </c>
      <c r="N177" s="2">
        <v>2039.38</v>
      </c>
      <c r="O177" s="2">
        <v>1633.63</v>
      </c>
      <c r="P177" s="2">
        <v>405.75</v>
      </c>
      <c r="Q177" t="s">
        <v>57</v>
      </c>
    </row>
    <row r="178" spans="1:17" x14ac:dyDescent="0.2">
      <c r="A178" t="s">
        <v>340</v>
      </c>
      <c r="B178" s="1">
        <v>45675</v>
      </c>
      <c r="C178" t="s">
        <v>43</v>
      </c>
      <c r="D178" t="s">
        <v>44</v>
      </c>
      <c r="E178" t="s">
        <v>147</v>
      </c>
      <c r="F178" t="s">
        <v>60</v>
      </c>
      <c r="G178" t="s">
        <v>75</v>
      </c>
      <c r="H178" t="s">
        <v>23</v>
      </c>
      <c r="I178" t="s">
        <v>83</v>
      </c>
      <c r="J178" t="s">
        <v>84</v>
      </c>
      <c r="K178">
        <v>4</v>
      </c>
      <c r="L178" s="2">
        <v>26.53</v>
      </c>
      <c r="M178" s="3">
        <v>0</v>
      </c>
      <c r="N178" s="2">
        <v>106.12</v>
      </c>
      <c r="O178" s="2">
        <v>60.46</v>
      </c>
      <c r="P178" s="2">
        <v>45.66</v>
      </c>
      <c r="Q178" t="s">
        <v>26</v>
      </c>
    </row>
    <row r="179" spans="1:17" x14ac:dyDescent="0.2">
      <c r="A179" t="s">
        <v>341</v>
      </c>
      <c r="B179" s="1">
        <v>45675</v>
      </c>
      <c r="C179" t="s">
        <v>43</v>
      </c>
      <c r="D179" t="s">
        <v>161</v>
      </c>
      <c r="E179" t="s">
        <v>162</v>
      </c>
      <c r="F179" t="s">
        <v>30</v>
      </c>
      <c r="G179" t="s">
        <v>22</v>
      </c>
      <c r="H179" t="s">
        <v>47</v>
      </c>
      <c r="I179" t="s">
        <v>89</v>
      </c>
      <c r="J179" t="s">
        <v>204</v>
      </c>
      <c r="K179">
        <v>8</v>
      </c>
      <c r="L179" s="2">
        <v>476.77</v>
      </c>
      <c r="M179" s="3">
        <v>0.1</v>
      </c>
      <c r="N179" s="2">
        <v>3432.74</v>
      </c>
      <c r="O179" s="2">
        <v>2645.65</v>
      </c>
      <c r="P179" s="2">
        <v>787.09</v>
      </c>
      <c r="Q179" t="s">
        <v>34</v>
      </c>
    </row>
    <row r="180" spans="1:17" x14ac:dyDescent="0.2">
      <c r="A180" t="s">
        <v>342</v>
      </c>
      <c r="B180" s="1">
        <v>45675</v>
      </c>
      <c r="C180" t="s">
        <v>77</v>
      </c>
      <c r="D180" t="s">
        <v>128</v>
      </c>
      <c r="E180" t="s">
        <v>129</v>
      </c>
      <c r="F180" t="s">
        <v>21</v>
      </c>
      <c r="G180" t="s">
        <v>22</v>
      </c>
      <c r="H180" t="s">
        <v>31</v>
      </c>
      <c r="I180" t="s">
        <v>112</v>
      </c>
      <c r="J180" t="s">
        <v>113</v>
      </c>
      <c r="K180">
        <v>8</v>
      </c>
      <c r="L180" s="2">
        <v>544.37</v>
      </c>
      <c r="M180" s="3">
        <v>0</v>
      </c>
      <c r="N180" s="2">
        <v>4354.96</v>
      </c>
      <c r="O180" s="2">
        <v>2997.5</v>
      </c>
      <c r="P180" s="2">
        <v>1357.46</v>
      </c>
      <c r="Q180" t="s">
        <v>26</v>
      </c>
    </row>
    <row r="181" spans="1:17" x14ac:dyDescent="0.2">
      <c r="A181" t="s">
        <v>343</v>
      </c>
      <c r="B181" s="1">
        <v>45675</v>
      </c>
      <c r="C181" t="s">
        <v>18</v>
      </c>
      <c r="D181" t="s">
        <v>133</v>
      </c>
      <c r="E181" t="s">
        <v>226</v>
      </c>
      <c r="F181" t="s">
        <v>71</v>
      </c>
      <c r="G181" t="s">
        <v>22</v>
      </c>
      <c r="H181" t="s">
        <v>23</v>
      </c>
      <c r="I181" t="s">
        <v>79</v>
      </c>
      <c r="J181" t="s">
        <v>80</v>
      </c>
      <c r="K181">
        <v>8</v>
      </c>
      <c r="L181" s="2">
        <v>295.14</v>
      </c>
      <c r="M181" s="3">
        <v>0.05</v>
      </c>
      <c r="N181" s="2">
        <v>2243.06</v>
      </c>
      <c r="O181" s="2">
        <v>1503.39</v>
      </c>
      <c r="P181" s="2">
        <v>739.67</v>
      </c>
      <c r="Q181" t="s">
        <v>57</v>
      </c>
    </row>
    <row r="182" spans="1:17" x14ac:dyDescent="0.2">
      <c r="A182" t="s">
        <v>344</v>
      </c>
      <c r="B182" s="1">
        <v>45676</v>
      </c>
      <c r="C182" t="s">
        <v>43</v>
      </c>
      <c r="D182" t="s">
        <v>208</v>
      </c>
      <c r="E182" t="s">
        <v>209</v>
      </c>
      <c r="F182" t="s">
        <v>60</v>
      </c>
      <c r="G182" t="s">
        <v>54</v>
      </c>
      <c r="H182" t="s">
        <v>23</v>
      </c>
      <c r="I182" t="s">
        <v>24</v>
      </c>
      <c r="J182" t="s">
        <v>25</v>
      </c>
      <c r="K182">
        <v>4</v>
      </c>
      <c r="L182" s="2">
        <v>26.52</v>
      </c>
      <c r="M182" s="3">
        <v>0</v>
      </c>
      <c r="N182" s="2">
        <v>106.08</v>
      </c>
      <c r="O182" s="2">
        <v>65.89</v>
      </c>
      <c r="P182" s="2">
        <v>40.19</v>
      </c>
      <c r="Q182" t="s">
        <v>26</v>
      </c>
    </row>
    <row r="183" spans="1:17" x14ac:dyDescent="0.2">
      <c r="A183" t="s">
        <v>345</v>
      </c>
      <c r="B183" s="1">
        <v>45676</v>
      </c>
      <c r="C183" t="s">
        <v>77</v>
      </c>
      <c r="D183" t="s">
        <v>128</v>
      </c>
      <c r="E183" t="s">
        <v>155</v>
      </c>
      <c r="F183" t="s">
        <v>130</v>
      </c>
      <c r="G183" t="s">
        <v>22</v>
      </c>
      <c r="H183" t="s">
        <v>31</v>
      </c>
      <c r="I183" t="s">
        <v>40</v>
      </c>
      <c r="J183" t="s">
        <v>216</v>
      </c>
      <c r="K183">
        <v>5</v>
      </c>
      <c r="L183" s="2">
        <v>52.19</v>
      </c>
      <c r="M183" s="3">
        <v>0.05</v>
      </c>
      <c r="N183" s="2">
        <v>247.9</v>
      </c>
      <c r="O183" s="2">
        <v>189.56</v>
      </c>
      <c r="P183" s="2">
        <v>58.34</v>
      </c>
      <c r="Q183" t="s">
        <v>34</v>
      </c>
    </row>
    <row r="184" spans="1:17" x14ac:dyDescent="0.2">
      <c r="A184" t="s">
        <v>346</v>
      </c>
      <c r="B184" s="1">
        <v>45676</v>
      </c>
      <c r="C184" t="s">
        <v>77</v>
      </c>
      <c r="D184" t="s">
        <v>106</v>
      </c>
      <c r="E184" t="s">
        <v>303</v>
      </c>
      <c r="F184" t="s">
        <v>130</v>
      </c>
      <c r="G184" t="s">
        <v>22</v>
      </c>
      <c r="H184" t="s">
        <v>23</v>
      </c>
      <c r="I184" t="s">
        <v>79</v>
      </c>
      <c r="J184" t="s">
        <v>179</v>
      </c>
      <c r="K184">
        <v>9</v>
      </c>
      <c r="L184" s="2">
        <v>532.9</v>
      </c>
      <c r="M184" s="3">
        <v>0</v>
      </c>
      <c r="N184" s="2">
        <v>4796.1000000000004</v>
      </c>
      <c r="O184" s="2">
        <v>3038.29</v>
      </c>
      <c r="P184" s="2">
        <v>1757.81</v>
      </c>
      <c r="Q184" t="s">
        <v>61</v>
      </c>
    </row>
    <row r="185" spans="1:17" x14ac:dyDescent="0.2">
      <c r="A185" t="s">
        <v>347</v>
      </c>
      <c r="B185" s="1">
        <v>45676</v>
      </c>
      <c r="C185" t="s">
        <v>77</v>
      </c>
      <c r="D185" t="s">
        <v>78</v>
      </c>
      <c r="E185" t="s">
        <v>261</v>
      </c>
      <c r="F185" t="s">
        <v>138</v>
      </c>
      <c r="G185" t="s">
        <v>75</v>
      </c>
      <c r="H185" t="s">
        <v>31</v>
      </c>
      <c r="I185" t="s">
        <v>32</v>
      </c>
      <c r="J185" t="s">
        <v>104</v>
      </c>
      <c r="K185">
        <v>1</v>
      </c>
      <c r="L185" s="2">
        <v>1389.36</v>
      </c>
      <c r="M185" s="3">
        <v>0.05</v>
      </c>
      <c r="N185" s="2">
        <v>1319.89</v>
      </c>
      <c r="O185" s="2">
        <v>988.64</v>
      </c>
      <c r="P185" s="2">
        <v>331.25</v>
      </c>
      <c r="Q185" t="s">
        <v>61</v>
      </c>
    </row>
    <row r="186" spans="1:17" x14ac:dyDescent="0.2">
      <c r="A186" t="s">
        <v>348</v>
      </c>
      <c r="B186" s="1">
        <v>45676</v>
      </c>
      <c r="C186" t="s">
        <v>77</v>
      </c>
      <c r="D186" t="s">
        <v>149</v>
      </c>
      <c r="E186" t="s">
        <v>309</v>
      </c>
      <c r="F186" t="s">
        <v>138</v>
      </c>
      <c r="G186" t="s">
        <v>75</v>
      </c>
      <c r="H186" t="s">
        <v>23</v>
      </c>
      <c r="I186" t="s">
        <v>83</v>
      </c>
      <c r="J186" t="s">
        <v>84</v>
      </c>
      <c r="K186">
        <v>1</v>
      </c>
      <c r="L186" s="2">
        <v>20.79</v>
      </c>
      <c r="M186" s="3">
        <v>0</v>
      </c>
      <c r="N186" s="2">
        <v>20.79</v>
      </c>
      <c r="O186" s="2">
        <v>12.94</v>
      </c>
      <c r="P186" s="2">
        <v>7.85</v>
      </c>
      <c r="Q186" t="s">
        <v>57</v>
      </c>
    </row>
    <row r="187" spans="1:17" x14ac:dyDescent="0.2">
      <c r="A187" t="s">
        <v>349</v>
      </c>
      <c r="B187" s="1">
        <v>45676</v>
      </c>
      <c r="C187" t="s">
        <v>77</v>
      </c>
      <c r="D187" t="s">
        <v>106</v>
      </c>
      <c r="E187" t="s">
        <v>303</v>
      </c>
      <c r="F187" t="s">
        <v>130</v>
      </c>
      <c r="G187" t="s">
        <v>75</v>
      </c>
      <c r="H187" t="s">
        <v>31</v>
      </c>
      <c r="I187" t="s">
        <v>32</v>
      </c>
      <c r="J187" t="s">
        <v>33</v>
      </c>
      <c r="K187">
        <v>2</v>
      </c>
      <c r="L187" s="2">
        <v>1566.62</v>
      </c>
      <c r="M187" s="3">
        <v>0.1</v>
      </c>
      <c r="N187" s="2">
        <v>2819.92</v>
      </c>
      <c r="O187" s="2">
        <v>2070.59</v>
      </c>
      <c r="P187" s="2">
        <v>749.33</v>
      </c>
      <c r="Q187" t="s">
        <v>34</v>
      </c>
    </row>
    <row r="188" spans="1:17" x14ac:dyDescent="0.2">
      <c r="A188" t="s">
        <v>350</v>
      </c>
      <c r="B188" s="1">
        <v>45677</v>
      </c>
      <c r="C188" t="s">
        <v>77</v>
      </c>
      <c r="D188" t="s">
        <v>128</v>
      </c>
      <c r="E188" t="s">
        <v>159</v>
      </c>
      <c r="F188" t="s">
        <v>130</v>
      </c>
      <c r="G188" t="s">
        <v>22</v>
      </c>
      <c r="H188" t="s">
        <v>23</v>
      </c>
      <c r="I188" t="s">
        <v>83</v>
      </c>
      <c r="J188" t="s">
        <v>84</v>
      </c>
      <c r="K188">
        <v>10</v>
      </c>
      <c r="L188" s="2">
        <v>8.85</v>
      </c>
      <c r="M188" s="3">
        <v>0.1</v>
      </c>
      <c r="N188" s="2">
        <v>79.650000000000006</v>
      </c>
      <c r="O188" s="2">
        <v>50.85</v>
      </c>
      <c r="P188" s="2">
        <v>28.8</v>
      </c>
      <c r="Q188" t="s">
        <v>26</v>
      </c>
    </row>
    <row r="189" spans="1:17" x14ac:dyDescent="0.2">
      <c r="A189" t="s">
        <v>351</v>
      </c>
      <c r="B189" s="1">
        <v>45677</v>
      </c>
      <c r="C189" t="s">
        <v>36</v>
      </c>
      <c r="D189" t="s">
        <v>73</v>
      </c>
      <c r="E189" t="s">
        <v>212</v>
      </c>
      <c r="F189" t="s">
        <v>130</v>
      </c>
      <c r="G189" t="s">
        <v>22</v>
      </c>
      <c r="H189" t="s">
        <v>47</v>
      </c>
      <c r="I189" t="s">
        <v>97</v>
      </c>
      <c r="J189" t="s">
        <v>98</v>
      </c>
      <c r="K189">
        <v>1</v>
      </c>
      <c r="L189" s="2">
        <v>372.93</v>
      </c>
      <c r="M189" s="3">
        <v>0.1</v>
      </c>
      <c r="N189" s="2">
        <v>335.64</v>
      </c>
      <c r="O189" s="2">
        <v>243.41</v>
      </c>
      <c r="P189" s="2">
        <v>92.23</v>
      </c>
      <c r="Q189" t="s">
        <v>61</v>
      </c>
    </row>
    <row r="190" spans="1:17" x14ac:dyDescent="0.2">
      <c r="A190" t="s">
        <v>352</v>
      </c>
      <c r="B190" s="1">
        <v>45677</v>
      </c>
      <c r="C190" t="s">
        <v>77</v>
      </c>
      <c r="D190" t="s">
        <v>128</v>
      </c>
      <c r="E190" t="s">
        <v>129</v>
      </c>
      <c r="F190" t="s">
        <v>71</v>
      </c>
      <c r="G190" t="s">
        <v>22</v>
      </c>
      <c r="H190" t="s">
        <v>23</v>
      </c>
      <c r="I190" t="s">
        <v>83</v>
      </c>
      <c r="J190" t="s">
        <v>120</v>
      </c>
      <c r="K190">
        <v>7</v>
      </c>
      <c r="L190" s="2">
        <v>12.97</v>
      </c>
      <c r="M190" s="3">
        <v>0</v>
      </c>
      <c r="N190" s="2">
        <v>90.79</v>
      </c>
      <c r="O190" s="2">
        <v>68.55</v>
      </c>
      <c r="P190" s="2">
        <v>22.24</v>
      </c>
      <c r="Q190" t="s">
        <v>61</v>
      </c>
    </row>
    <row r="191" spans="1:17" x14ac:dyDescent="0.2">
      <c r="A191" t="s">
        <v>353</v>
      </c>
      <c r="B191" s="1">
        <v>45678</v>
      </c>
      <c r="C191" t="s">
        <v>36</v>
      </c>
      <c r="D191" t="s">
        <v>144</v>
      </c>
      <c r="E191" t="s">
        <v>145</v>
      </c>
      <c r="F191" t="s">
        <v>71</v>
      </c>
      <c r="G191" t="s">
        <v>22</v>
      </c>
      <c r="H191" t="s">
        <v>31</v>
      </c>
      <c r="I191" t="s">
        <v>32</v>
      </c>
      <c r="J191" t="s">
        <v>104</v>
      </c>
      <c r="K191">
        <v>5</v>
      </c>
      <c r="L191" s="2">
        <v>1198.27</v>
      </c>
      <c r="M191" s="3">
        <v>0.2</v>
      </c>
      <c r="N191" s="2">
        <v>4793.08</v>
      </c>
      <c r="O191" s="2">
        <v>3484.66</v>
      </c>
      <c r="P191" s="2">
        <v>1308.42</v>
      </c>
      <c r="Q191" t="s">
        <v>34</v>
      </c>
    </row>
    <row r="192" spans="1:17" x14ac:dyDescent="0.2">
      <c r="A192" t="s">
        <v>354</v>
      </c>
      <c r="B192" s="1">
        <v>45678</v>
      </c>
      <c r="C192" t="s">
        <v>36</v>
      </c>
      <c r="D192" t="s">
        <v>37</v>
      </c>
      <c r="E192" t="s">
        <v>255</v>
      </c>
      <c r="F192" t="s">
        <v>30</v>
      </c>
      <c r="G192" t="s">
        <v>22</v>
      </c>
      <c r="H192" t="s">
        <v>31</v>
      </c>
      <c r="I192" t="s">
        <v>112</v>
      </c>
      <c r="J192" t="s">
        <v>136</v>
      </c>
      <c r="K192">
        <v>1</v>
      </c>
      <c r="L192" s="2">
        <v>684.04</v>
      </c>
      <c r="M192" s="3">
        <v>0.1</v>
      </c>
      <c r="N192" s="2">
        <v>615.64</v>
      </c>
      <c r="O192" s="2">
        <v>414.66</v>
      </c>
      <c r="P192" s="2">
        <v>200.98</v>
      </c>
      <c r="Q192" t="s">
        <v>26</v>
      </c>
    </row>
    <row r="193" spans="1:17" x14ac:dyDescent="0.2">
      <c r="A193" t="s">
        <v>355</v>
      </c>
      <c r="B193" s="1">
        <v>45678</v>
      </c>
      <c r="C193" t="s">
        <v>77</v>
      </c>
      <c r="D193" t="s">
        <v>106</v>
      </c>
      <c r="E193" t="s">
        <v>107</v>
      </c>
      <c r="F193" t="s">
        <v>138</v>
      </c>
      <c r="G193" t="s">
        <v>22</v>
      </c>
      <c r="H193" t="s">
        <v>23</v>
      </c>
      <c r="I193" t="s">
        <v>79</v>
      </c>
      <c r="J193" t="s">
        <v>80</v>
      </c>
      <c r="K193">
        <v>4</v>
      </c>
      <c r="L193" s="2">
        <v>576.11</v>
      </c>
      <c r="M193" s="3">
        <v>0.1</v>
      </c>
      <c r="N193" s="2">
        <v>2074</v>
      </c>
      <c r="O193" s="2">
        <v>1542.62</v>
      </c>
      <c r="P193" s="2">
        <v>531.38</v>
      </c>
      <c r="Q193" t="s">
        <v>26</v>
      </c>
    </row>
    <row r="194" spans="1:17" x14ac:dyDescent="0.2">
      <c r="A194" t="s">
        <v>356</v>
      </c>
      <c r="B194" s="1">
        <v>45678</v>
      </c>
      <c r="C194" t="s">
        <v>18</v>
      </c>
      <c r="D194" t="s">
        <v>86</v>
      </c>
      <c r="E194" t="s">
        <v>92</v>
      </c>
      <c r="F194" t="s">
        <v>30</v>
      </c>
      <c r="G194" t="s">
        <v>75</v>
      </c>
      <c r="H194" t="s">
        <v>47</v>
      </c>
      <c r="I194" t="s">
        <v>48</v>
      </c>
      <c r="J194" t="s">
        <v>93</v>
      </c>
      <c r="K194">
        <v>10</v>
      </c>
      <c r="L194" s="2">
        <v>697.13</v>
      </c>
      <c r="M194" s="3">
        <v>0.05</v>
      </c>
      <c r="N194" s="2">
        <v>6622.74</v>
      </c>
      <c r="O194" s="2">
        <v>5414.94</v>
      </c>
      <c r="P194" s="2">
        <v>1207.8</v>
      </c>
      <c r="Q194" t="s">
        <v>34</v>
      </c>
    </row>
    <row r="195" spans="1:17" x14ac:dyDescent="0.2">
      <c r="A195" t="s">
        <v>357</v>
      </c>
      <c r="B195" s="1">
        <v>45678</v>
      </c>
      <c r="C195" t="s">
        <v>77</v>
      </c>
      <c r="D195" t="s">
        <v>149</v>
      </c>
      <c r="E195" t="s">
        <v>150</v>
      </c>
      <c r="F195" t="s">
        <v>53</v>
      </c>
      <c r="G195" t="s">
        <v>22</v>
      </c>
      <c r="H195" t="s">
        <v>47</v>
      </c>
      <c r="I195" t="s">
        <v>97</v>
      </c>
      <c r="J195" t="s">
        <v>98</v>
      </c>
      <c r="K195">
        <v>6</v>
      </c>
      <c r="L195" s="2">
        <v>171.4</v>
      </c>
      <c r="M195" s="3">
        <v>0.05</v>
      </c>
      <c r="N195" s="2">
        <v>976.98</v>
      </c>
      <c r="O195" s="2">
        <v>680.73</v>
      </c>
      <c r="P195" s="2">
        <v>296.25</v>
      </c>
      <c r="Q195" t="s">
        <v>26</v>
      </c>
    </row>
    <row r="196" spans="1:17" x14ac:dyDescent="0.2">
      <c r="A196" t="s">
        <v>358</v>
      </c>
      <c r="B196" s="1">
        <v>45678</v>
      </c>
      <c r="C196" t="s">
        <v>43</v>
      </c>
      <c r="D196" t="s">
        <v>51</v>
      </c>
      <c r="E196" t="s">
        <v>63</v>
      </c>
      <c r="F196" t="s">
        <v>39</v>
      </c>
      <c r="G196" t="s">
        <v>54</v>
      </c>
      <c r="H196" t="s">
        <v>31</v>
      </c>
      <c r="I196" t="s">
        <v>64</v>
      </c>
      <c r="J196" t="s">
        <v>65</v>
      </c>
      <c r="K196">
        <v>6</v>
      </c>
      <c r="L196" s="2">
        <v>159.93</v>
      </c>
      <c r="M196" s="3">
        <v>0.2</v>
      </c>
      <c r="N196" s="2">
        <v>767.66</v>
      </c>
      <c r="O196" s="2">
        <v>506.94</v>
      </c>
      <c r="P196" s="2">
        <v>260.72000000000003</v>
      </c>
      <c r="Q196" t="s">
        <v>34</v>
      </c>
    </row>
    <row r="197" spans="1:17" x14ac:dyDescent="0.2">
      <c r="A197" t="s">
        <v>359</v>
      </c>
      <c r="B197" s="1">
        <v>45678</v>
      </c>
      <c r="C197" t="s">
        <v>18</v>
      </c>
      <c r="D197" t="s">
        <v>86</v>
      </c>
      <c r="E197" t="s">
        <v>87</v>
      </c>
      <c r="F197" t="s">
        <v>60</v>
      </c>
      <c r="G197" t="s">
        <v>22</v>
      </c>
      <c r="H197" t="s">
        <v>47</v>
      </c>
      <c r="I197" t="s">
        <v>97</v>
      </c>
      <c r="J197" t="s">
        <v>168</v>
      </c>
      <c r="K197">
        <v>8</v>
      </c>
      <c r="L197" s="2">
        <v>644.16999999999996</v>
      </c>
      <c r="M197" s="3">
        <v>0.05</v>
      </c>
      <c r="N197" s="2">
        <v>4895.6899999999996</v>
      </c>
      <c r="O197" s="2">
        <v>3776.27</v>
      </c>
      <c r="P197" s="2">
        <v>1119.42</v>
      </c>
      <c r="Q197" t="s">
        <v>57</v>
      </c>
    </row>
    <row r="198" spans="1:17" x14ac:dyDescent="0.2">
      <c r="A198" t="s">
        <v>360</v>
      </c>
      <c r="B198" s="1">
        <v>45678</v>
      </c>
      <c r="C198" t="s">
        <v>77</v>
      </c>
      <c r="D198" t="s">
        <v>106</v>
      </c>
      <c r="E198" t="s">
        <v>107</v>
      </c>
      <c r="F198" t="s">
        <v>53</v>
      </c>
      <c r="G198" t="s">
        <v>54</v>
      </c>
      <c r="H198" t="s">
        <v>47</v>
      </c>
      <c r="I198" t="s">
        <v>48</v>
      </c>
      <c r="J198" t="s">
        <v>164</v>
      </c>
      <c r="K198">
        <v>2</v>
      </c>
      <c r="L198" s="2">
        <v>389.28</v>
      </c>
      <c r="M198" s="3">
        <v>0</v>
      </c>
      <c r="N198" s="2">
        <v>778.56</v>
      </c>
      <c r="O198" s="2">
        <v>575.66</v>
      </c>
      <c r="P198" s="2">
        <v>202.9</v>
      </c>
      <c r="Q198" t="s">
        <v>61</v>
      </c>
    </row>
    <row r="199" spans="1:17" x14ac:dyDescent="0.2">
      <c r="A199" t="s">
        <v>361</v>
      </c>
      <c r="B199" s="1">
        <v>45678</v>
      </c>
      <c r="C199" t="s">
        <v>18</v>
      </c>
      <c r="D199" t="s">
        <v>19</v>
      </c>
      <c r="E199" t="s">
        <v>100</v>
      </c>
      <c r="F199" t="s">
        <v>53</v>
      </c>
      <c r="G199" t="s">
        <v>22</v>
      </c>
      <c r="H199" t="s">
        <v>31</v>
      </c>
      <c r="I199" t="s">
        <v>112</v>
      </c>
      <c r="J199" t="s">
        <v>176</v>
      </c>
      <c r="K199">
        <v>6</v>
      </c>
      <c r="L199" s="2">
        <v>321.69</v>
      </c>
      <c r="M199" s="3">
        <v>0</v>
      </c>
      <c r="N199" s="2">
        <v>1930.14</v>
      </c>
      <c r="O199" s="2">
        <v>1226.02</v>
      </c>
      <c r="P199" s="2">
        <v>704.12</v>
      </c>
      <c r="Q199" t="s">
        <v>26</v>
      </c>
    </row>
    <row r="200" spans="1:17" x14ac:dyDescent="0.2">
      <c r="A200" t="s">
        <v>362</v>
      </c>
      <c r="B200" s="1">
        <v>45679</v>
      </c>
      <c r="C200" t="s">
        <v>43</v>
      </c>
      <c r="D200" t="s">
        <v>44</v>
      </c>
      <c r="E200" t="s">
        <v>45</v>
      </c>
      <c r="F200" t="s">
        <v>130</v>
      </c>
      <c r="G200" t="s">
        <v>22</v>
      </c>
      <c r="H200" t="s">
        <v>23</v>
      </c>
      <c r="I200" t="s">
        <v>79</v>
      </c>
      <c r="J200" t="s">
        <v>179</v>
      </c>
      <c r="K200">
        <v>7</v>
      </c>
      <c r="L200" s="2">
        <v>408.01</v>
      </c>
      <c r="M200" s="3">
        <v>0.1</v>
      </c>
      <c r="N200" s="2">
        <v>2570.46</v>
      </c>
      <c r="O200" s="2">
        <v>2084.92</v>
      </c>
      <c r="P200" s="2">
        <v>485.54</v>
      </c>
      <c r="Q200" t="s">
        <v>26</v>
      </c>
    </row>
    <row r="201" spans="1:17" x14ac:dyDescent="0.2">
      <c r="A201" t="s">
        <v>363</v>
      </c>
      <c r="B201" s="1">
        <v>45679</v>
      </c>
      <c r="C201" t="s">
        <v>18</v>
      </c>
      <c r="D201" t="s">
        <v>152</v>
      </c>
      <c r="E201" t="s">
        <v>153</v>
      </c>
      <c r="F201" t="s">
        <v>71</v>
      </c>
      <c r="G201" t="s">
        <v>22</v>
      </c>
      <c r="H201" t="s">
        <v>31</v>
      </c>
      <c r="I201" t="s">
        <v>32</v>
      </c>
      <c r="J201" t="s">
        <v>33</v>
      </c>
      <c r="K201">
        <v>6</v>
      </c>
      <c r="L201" s="2">
        <v>1171.25</v>
      </c>
      <c r="M201" s="3">
        <v>0</v>
      </c>
      <c r="N201" s="2">
        <v>7027.5</v>
      </c>
      <c r="O201" s="2">
        <v>4739.72</v>
      </c>
      <c r="P201" s="2">
        <v>2287.7800000000002</v>
      </c>
      <c r="Q201" t="s">
        <v>57</v>
      </c>
    </row>
    <row r="202" spans="1:17" x14ac:dyDescent="0.2">
      <c r="A202" t="s">
        <v>364</v>
      </c>
      <c r="B202" s="1">
        <v>45679</v>
      </c>
      <c r="C202" t="s">
        <v>43</v>
      </c>
      <c r="D202" t="s">
        <v>244</v>
      </c>
      <c r="E202" t="s">
        <v>300</v>
      </c>
      <c r="F202" t="s">
        <v>30</v>
      </c>
      <c r="G202" t="s">
        <v>75</v>
      </c>
      <c r="H202" t="s">
        <v>31</v>
      </c>
      <c r="I202" t="s">
        <v>64</v>
      </c>
      <c r="J202" t="s">
        <v>65</v>
      </c>
      <c r="K202">
        <v>7</v>
      </c>
      <c r="L202" s="2">
        <v>119.08</v>
      </c>
      <c r="M202" s="3">
        <v>0.15</v>
      </c>
      <c r="N202" s="2">
        <v>708.53</v>
      </c>
      <c r="O202" s="2">
        <v>522.36</v>
      </c>
      <c r="P202" s="2">
        <v>186.17</v>
      </c>
      <c r="Q202" t="s">
        <v>26</v>
      </c>
    </row>
    <row r="203" spans="1:17" x14ac:dyDescent="0.2">
      <c r="A203" t="s">
        <v>365</v>
      </c>
      <c r="B203" s="1">
        <v>45679</v>
      </c>
      <c r="C203" t="s">
        <v>36</v>
      </c>
      <c r="D203" t="s">
        <v>37</v>
      </c>
      <c r="E203" t="s">
        <v>187</v>
      </c>
      <c r="F203" t="s">
        <v>46</v>
      </c>
      <c r="G203" t="s">
        <v>75</v>
      </c>
      <c r="H203" t="s">
        <v>47</v>
      </c>
      <c r="I203" t="s">
        <v>97</v>
      </c>
      <c r="J203" t="s">
        <v>116</v>
      </c>
      <c r="K203">
        <v>4</v>
      </c>
      <c r="L203" s="2">
        <v>637.08000000000004</v>
      </c>
      <c r="M203" s="3">
        <v>0</v>
      </c>
      <c r="N203" s="2">
        <v>2548.3200000000002</v>
      </c>
      <c r="O203" s="2">
        <v>1998.14</v>
      </c>
      <c r="P203" s="2">
        <v>550.17999999999995</v>
      </c>
      <c r="Q203" t="s">
        <v>61</v>
      </c>
    </row>
    <row r="204" spans="1:17" x14ac:dyDescent="0.2">
      <c r="A204" t="s">
        <v>366</v>
      </c>
      <c r="B204" s="1">
        <v>45679</v>
      </c>
      <c r="C204" t="s">
        <v>77</v>
      </c>
      <c r="D204" t="s">
        <v>95</v>
      </c>
      <c r="E204" t="s">
        <v>367</v>
      </c>
      <c r="F204" t="s">
        <v>69</v>
      </c>
      <c r="G204" t="s">
        <v>75</v>
      </c>
      <c r="H204" t="s">
        <v>31</v>
      </c>
      <c r="I204" t="s">
        <v>64</v>
      </c>
      <c r="J204" t="s">
        <v>126</v>
      </c>
      <c r="K204">
        <v>5</v>
      </c>
      <c r="L204" s="2">
        <v>32.31</v>
      </c>
      <c r="M204" s="3">
        <v>0.15</v>
      </c>
      <c r="N204" s="2">
        <v>137.32</v>
      </c>
      <c r="O204" s="2">
        <v>102.74</v>
      </c>
      <c r="P204" s="2">
        <v>34.58</v>
      </c>
      <c r="Q204" t="s">
        <v>34</v>
      </c>
    </row>
    <row r="205" spans="1:17" x14ac:dyDescent="0.2">
      <c r="A205" t="s">
        <v>368</v>
      </c>
      <c r="B205" s="1">
        <v>45679</v>
      </c>
      <c r="C205" t="s">
        <v>18</v>
      </c>
      <c r="D205" t="s">
        <v>152</v>
      </c>
      <c r="E205" t="s">
        <v>153</v>
      </c>
      <c r="F205" t="s">
        <v>60</v>
      </c>
      <c r="G205" t="s">
        <v>75</v>
      </c>
      <c r="H205" t="s">
        <v>47</v>
      </c>
      <c r="I205" t="s">
        <v>89</v>
      </c>
      <c r="J205" t="s">
        <v>204</v>
      </c>
      <c r="K205">
        <v>10</v>
      </c>
      <c r="L205" s="2">
        <v>148.78</v>
      </c>
      <c r="M205" s="3">
        <v>0.1</v>
      </c>
      <c r="N205" s="2">
        <v>1339.02</v>
      </c>
      <c r="O205" s="2">
        <v>974.11</v>
      </c>
      <c r="P205" s="2">
        <v>364.91</v>
      </c>
      <c r="Q205" t="s">
        <v>34</v>
      </c>
    </row>
    <row r="206" spans="1:17" x14ac:dyDescent="0.2">
      <c r="A206" t="s">
        <v>369</v>
      </c>
      <c r="B206" s="1">
        <v>45679</v>
      </c>
      <c r="C206" t="s">
        <v>36</v>
      </c>
      <c r="D206" t="s">
        <v>67</v>
      </c>
      <c r="E206" t="s">
        <v>323</v>
      </c>
      <c r="F206" t="s">
        <v>60</v>
      </c>
      <c r="G206" t="s">
        <v>22</v>
      </c>
      <c r="H206" t="s">
        <v>31</v>
      </c>
      <c r="I206" t="s">
        <v>40</v>
      </c>
      <c r="J206" t="s">
        <v>122</v>
      </c>
      <c r="K206">
        <v>4</v>
      </c>
      <c r="L206" s="2">
        <v>168.27</v>
      </c>
      <c r="M206" s="3">
        <v>0.1</v>
      </c>
      <c r="N206" s="2">
        <v>605.77</v>
      </c>
      <c r="O206" s="2">
        <v>389.16</v>
      </c>
      <c r="P206" s="2">
        <v>216.61</v>
      </c>
      <c r="Q206" t="s">
        <v>61</v>
      </c>
    </row>
    <row r="207" spans="1:17" x14ac:dyDescent="0.2">
      <c r="A207" t="s">
        <v>370</v>
      </c>
      <c r="B207" s="1">
        <v>45679</v>
      </c>
      <c r="C207" t="s">
        <v>43</v>
      </c>
      <c r="D207" t="s">
        <v>44</v>
      </c>
      <c r="E207" t="s">
        <v>82</v>
      </c>
      <c r="F207" t="s">
        <v>53</v>
      </c>
      <c r="G207" t="s">
        <v>75</v>
      </c>
      <c r="H207" t="s">
        <v>23</v>
      </c>
      <c r="I207" t="s">
        <v>24</v>
      </c>
      <c r="J207" t="s">
        <v>220</v>
      </c>
      <c r="K207">
        <v>3</v>
      </c>
      <c r="L207" s="2">
        <v>12.85</v>
      </c>
      <c r="M207" s="3">
        <v>0.1</v>
      </c>
      <c r="N207" s="2">
        <v>34.700000000000003</v>
      </c>
      <c r="O207" s="2">
        <v>25.64</v>
      </c>
      <c r="P207" s="2">
        <v>9.06</v>
      </c>
      <c r="Q207" t="s">
        <v>57</v>
      </c>
    </row>
    <row r="208" spans="1:17" x14ac:dyDescent="0.2">
      <c r="A208" t="s">
        <v>371</v>
      </c>
      <c r="B208" s="1">
        <v>45679</v>
      </c>
      <c r="C208" t="s">
        <v>18</v>
      </c>
      <c r="D208" t="s">
        <v>152</v>
      </c>
      <c r="E208" t="s">
        <v>185</v>
      </c>
      <c r="F208" t="s">
        <v>21</v>
      </c>
      <c r="G208" t="s">
        <v>75</v>
      </c>
      <c r="H208" t="s">
        <v>47</v>
      </c>
      <c r="I208" t="s">
        <v>141</v>
      </c>
      <c r="J208" t="s">
        <v>372</v>
      </c>
      <c r="K208">
        <v>1</v>
      </c>
      <c r="L208" s="2">
        <v>196.79</v>
      </c>
      <c r="M208" s="3">
        <v>0.05</v>
      </c>
      <c r="N208" s="2">
        <v>186.95</v>
      </c>
      <c r="O208" s="2">
        <v>127.79</v>
      </c>
      <c r="P208" s="2">
        <v>59.16</v>
      </c>
      <c r="Q208" t="s">
        <v>61</v>
      </c>
    </row>
    <row r="209" spans="1:17" x14ac:dyDescent="0.2">
      <c r="A209" t="s">
        <v>373</v>
      </c>
      <c r="B209" s="1">
        <v>45679</v>
      </c>
      <c r="C209" t="s">
        <v>36</v>
      </c>
      <c r="D209" t="s">
        <v>110</v>
      </c>
      <c r="E209" t="s">
        <v>203</v>
      </c>
      <c r="F209" t="s">
        <v>53</v>
      </c>
      <c r="G209" t="s">
        <v>54</v>
      </c>
      <c r="H209" t="s">
        <v>23</v>
      </c>
      <c r="I209" t="s">
        <v>83</v>
      </c>
      <c r="J209" t="s">
        <v>120</v>
      </c>
      <c r="K209">
        <v>7</v>
      </c>
      <c r="L209" s="2">
        <v>17.25</v>
      </c>
      <c r="M209" s="3">
        <v>0</v>
      </c>
      <c r="N209" s="2">
        <v>120.75</v>
      </c>
      <c r="O209" s="2">
        <v>76.599999999999994</v>
      </c>
      <c r="P209" s="2">
        <v>44.15</v>
      </c>
      <c r="Q209" t="s">
        <v>61</v>
      </c>
    </row>
    <row r="210" spans="1:17" x14ac:dyDescent="0.2">
      <c r="A210" t="s">
        <v>374</v>
      </c>
      <c r="B210" s="1">
        <v>45679</v>
      </c>
      <c r="C210" t="s">
        <v>36</v>
      </c>
      <c r="D210" t="s">
        <v>73</v>
      </c>
      <c r="E210" t="s">
        <v>212</v>
      </c>
      <c r="F210" t="s">
        <v>53</v>
      </c>
      <c r="G210" t="s">
        <v>75</v>
      </c>
      <c r="H210" t="s">
        <v>31</v>
      </c>
      <c r="I210" t="s">
        <v>40</v>
      </c>
      <c r="J210" t="s">
        <v>216</v>
      </c>
      <c r="K210">
        <v>4</v>
      </c>
      <c r="L210" s="2">
        <v>154.12</v>
      </c>
      <c r="M210" s="3">
        <v>0</v>
      </c>
      <c r="N210" s="2">
        <v>616.48</v>
      </c>
      <c r="O210" s="2">
        <v>483.63</v>
      </c>
      <c r="P210" s="2">
        <v>132.85</v>
      </c>
      <c r="Q210" t="s">
        <v>34</v>
      </c>
    </row>
    <row r="211" spans="1:17" x14ac:dyDescent="0.2">
      <c r="A211" t="s">
        <v>375</v>
      </c>
      <c r="B211" s="1">
        <v>45680</v>
      </c>
      <c r="C211" t="s">
        <v>36</v>
      </c>
      <c r="D211" t="s">
        <v>37</v>
      </c>
      <c r="E211" t="s">
        <v>187</v>
      </c>
      <c r="F211" t="s">
        <v>53</v>
      </c>
      <c r="G211" t="s">
        <v>75</v>
      </c>
      <c r="H211" t="s">
        <v>23</v>
      </c>
      <c r="I211" t="s">
        <v>24</v>
      </c>
      <c r="J211" t="s">
        <v>220</v>
      </c>
      <c r="K211">
        <v>3</v>
      </c>
      <c r="L211" s="2">
        <v>6.82</v>
      </c>
      <c r="M211" s="3">
        <v>0.1</v>
      </c>
      <c r="N211" s="2">
        <v>18.41</v>
      </c>
      <c r="O211" s="2">
        <v>11.45</v>
      </c>
      <c r="P211" s="2">
        <v>6.96</v>
      </c>
      <c r="Q211" t="s">
        <v>26</v>
      </c>
    </row>
    <row r="212" spans="1:17" x14ac:dyDescent="0.2">
      <c r="A212" t="s">
        <v>376</v>
      </c>
      <c r="B212" s="1">
        <v>45680</v>
      </c>
      <c r="C212" t="s">
        <v>18</v>
      </c>
      <c r="D212" t="s">
        <v>28</v>
      </c>
      <c r="E212" t="s">
        <v>170</v>
      </c>
      <c r="F212" t="s">
        <v>60</v>
      </c>
      <c r="G212" t="s">
        <v>22</v>
      </c>
      <c r="H212" t="s">
        <v>47</v>
      </c>
      <c r="I212" t="s">
        <v>141</v>
      </c>
      <c r="J212" t="s">
        <v>372</v>
      </c>
      <c r="K212">
        <v>6</v>
      </c>
      <c r="L212" s="2">
        <v>432.29</v>
      </c>
      <c r="M212" s="3">
        <v>0.1</v>
      </c>
      <c r="N212" s="2">
        <v>2334.37</v>
      </c>
      <c r="O212" s="2">
        <v>1525.86</v>
      </c>
      <c r="P212" s="2">
        <v>808.51</v>
      </c>
      <c r="Q212" t="s">
        <v>57</v>
      </c>
    </row>
    <row r="213" spans="1:17" x14ac:dyDescent="0.2">
      <c r="A213" t="s">
        <v>377</v>
      </c>
      <c r="B213" s="1">
        <v>45680</v>
      </c>
      <c r="C213" t="s">
        <v>77</v>
      </c>
      <c r="D213" t="s">
        <v>106</v>
      </c>
      <c r="E213" t="s">
        <v>107</v>
      </c>
      <c r="F213" t="s">
        <v>39</v>
      </c>
      <c r="G213" t="s">
        <v>54</v>
      </c>
      <c r="H213" t="s">
        <v>23</v>
      </c>
      <c r="I213" t="s">
        <v>55</v>
      </c>
      <c r="J213" t="s">
        <v>102</v>
      </c>
      <c r="K213">
        <v>1</v>
      </c>
      <c r="L213" s="2">
        <v>19.579999999999998</v>
      </c>
      <c r="M213" s="3">
        <v>0</v>
      </c>
      <c r="N213" s="2">
        <v>19.579999999999998</v>
      </c>
      <c r="O213" s="2">
        <v>11.84</v>
      </c>
      <c r="P213" s="2">
        <v>7.74</v>
      </c>
      <c r="Q213" t="s">
        <v>26</v>
      </c>
    </row>
    <row r="214" spans="1:17" x14ac:dyDescent="0.2">
      <c r="A214" t="s">
        <v>378</v>
      </c>
      <c r="B214" s="1">
        <v>45680</v>
      </c>
      <c r="C214" t="s">
        <v>77</v>
      </c>
      <c r="D214" t="s">
        <v>149</v>
      </c>
      <c r="E214" t="s">
        <v>206</v>
      </c>
      <c r="F214" t="s">
        <v>71</v>
      </c>
      <c r="G214" t="s">
        <v>75</v>
      </c>
      <c r="H214" t="s">
        <v>47</v>
      </c>
      <c r="I214" t="s">
        <v>48</v>
      </c>
      <c r="J214" t="s">
        <v>93</v>
      </c>
      <c r="K214">
        <v>8</v>
      </c>
      <c r="L214" s="2">
        <v>751.61</v>
      </c>
      <c r="M214" s="3">
        <v>0</v>
      </c>
      <c r="N214" s="2">
        <v>6012.88</v>
      </c>
      <c r="O214" s="2">
        <v>4404.9399999999996</v>
      </c>
      <c r="P214" s="2">
        <v>1607.94</v>
      </c>
      <c r="Q214" t="s">
        <v>34</v>
      </c>
    </row>
    <row r="215" spans="1:17" x14ac:dyDescent="0.2">
      <c r="A215" t="s">
        <v>379</v>
      </c>
      <c r="B215" s="1">
        <v>45680</v>
      </c>
      <c r="C215" t="s">
        <v>43</v>
      </c>
      <c r="D215" t="s">
        <v>208</v>
      </c>
      <c r="E215" t="s">
        <v>287</v>
      </c>
      <c r="F215" t="s">
        <v>53</v>
      </c>
      <c r="G215" t="s">
        <v>75</v>
      </c>
      <c r="H215" t="s">
        <v>31</v>
      </c>
      <c r="I215" t="s">
        <v>32</v>
      </c>
      <c r="J215" t="s">
        <v>104</v>
      </c>
      <c r="K215">
        <v>2</v>
      </c>
      <c r="L215" s="2">
        <v>1429.31</v>
      </c>
      <c r="M215" s="3">
        <v>0.2</v>
      </c>
      <c r="N215" s="2">
        <v>2286.9</v>
      </c>
      <c r="O215" s="2">
        <v>1774.18</v>
      </c>
      <c r="P215" s="2">
        <v>512.72</v>
      </c>
      <c r="Q215" t="s">
        <v>26</v>
      </c>
    </row>
    <row r="216" spans="1:17" x14ac:dyDescent="0.2">
      <c r="A216" t="s">
        <v>380</v>
      </c>
      <c r="B216" s="1">
        <v>45680</v>
      </c>
      <c r="C216" t="s">
        <v>18</v>
      </c>
      <c r="D216" t="s">
        <v>86</v>
      </c>
      <c r="E216" t="s">
        <v>92</v>
      </c>
      <c r="F216" t="s">
        <v>39</v>
      </c>
      <c r="G216" t="s">
        <v>75</v>
      </c>
      <c r="H216" t="s">
        <v>31</v>
      </c>
      <c r="I216" t="s">
        <v>112</v>
      </c>
      <c r="J216" t="s">
        <v>113</v>
      </c>
      <c r="K216">
        <v>3</v>
      </c>
      <c r="L216" s="2">
        <v>475.92</v>
      </c>
      <c r="M216" s="3">
        <v>0.1</v>
      </c>
      <c r="N216" s="2">
        <v>1284.98</v>
      </c>
      <c r="O216" s="2">
        <v>827.65</v>
      </c>
      <c r="P216" s="2">
        <v>457.33</v>
      </c>
      <c r="Q216" t="s">
        <v>34</v>
      </c>
    </row>
    <row r="217" spans="1:17" x14ac:dyDescent="0.2">
      <c r="A217" t="s">
        <v>381</v>
      </c>
      <c r="B217" s="1">
        <v>45680</v>
      </c>
      <c r="C217" t="s">
        <v>36</v>
      </c>
      <c r="D217" t="s">
        <v>37</v>
      </c>
      <c r="E217" t="s">
        <v>38</v>
      </c>
      <c r="F217" t="s">
        <v>130</v>
      </c>
      <c r="G217" t="s">
        <v>54</v>
      </c>
      <c r="H217" t="s">
        <v>23</v>
      </c>
      <c r="I217" t="s">
        <v>24</v>
      </c>
      <c r="J217" t="s">
        <v>108</v>
      </c>
      <c r="K217">
        <v>6</v>
      </c>
      <c r="L217" s="2">
        <v>29.25</v>
      </c>
      <c r="M217" s="3">
        <v>0</v>
      </c>
      <c r="N217" s="2">
        <v>175.5</v>
      </c>
      <c r="O217" s="2">
        <v>110.42</v>
      </c>
      <c r="P217" s="2">
        <v>65.08</v>
      </c>
      <c r="Q217" t="s">
        <v>57</v>
      </c>
    </row>
    <row r="218" spans="1:17" x14ac:dyDescent="0.2">
      <c r="A218" t="s">
        <v>382</v>
      </c>
      <c r="B218" s="1">
        <v>45680</v>
      </c>
      <c r="C218" t="s">
        <v>43</v>
      </c>
      <c r="D218" t="s">
        <v>244</v>
      </c>
      <c r="E218" t="s">
        <v>245</v>
      </c>
      <c r="F218" t="s">
        <v>71</v>
      </c>
      <c r="G218" t="s">
        <v>22</v>
      </c>
      <c r="H218" t="s">
        <v>23</v>
      </c>
      <c r="I218" t="s">
        <v>83</v>
      </c>
      <c r="J218" t="s">
        <v>120</v>
      </c>
      <c r="K218">
        <v>7</v>
      </c>
      <c r="L218" s="2">
        <v>19.54</v>
      </c>
      <c r="M218" s="3">
        <v>0.1</v>
      </c>
      <c r="N218" s="2">
        <v>123.1</v>
      </c>
      <c r="O218" s="2">
        <v>90.31</v>
      </c>
      <c r="P218" s="2">
        <v>32.79</v>
      </c>
      <c r="Q218" t="s">
        <v>34</v>
      </c>
    </row>
    <row r="219" spans="1:17" x14ac:dyDescent="0.2">
      <c r="A219" t="s">
        <v>383</v>
      </c>
      <c r="B219" s="1">
        <v>45681</v>
      </c>
      <c r="C219" t="s">
        <v>77</v>
      </c>
      <c r="D219" t="s">
        <v>149</v>
      </c>
      <c r="E219" t="s">
        <v>150</v>
      </c>
      <c r="F219" t="s">
        <v>30</v>
      </c>
      <c r="G219" t="s">
        <v>22</v>
      </c>
      <c r="H219" t="s">
        <v>23</v>
      </c>
      <c r="I219" t="s">
        <v>24</v>
      </c>
      <c r="J219" t="s">
        <v>25</v>
      </c>
      <c r="K219">
        <v>7</v>
      </c>
      <c r="L219" s="2">
        <v>16.71</v>
      </c>
      <c r="M219" s="3">
        <v>0.1</v>
      </c>
      <c r="N219" s="2">
        <v>105.27</v>
      </c>
      <c r="O219" s="2">
        <v>65.77</v>
      </c>
      <c r="P219" s="2">
        <v>39.5</v>
      </c>
      <c r="Q219" t="s">
        <v>34</v>
      </c>
    </row>
    <row r="220" spans="1:17" x14ac:dyDescent="0.2">
      <c r="A220" t="s">
        <v>384</v>
      </c>
      <c r="B220" s="1">
        <v>45681</v>
      </c>
      <c r="C220" t="s">
        <v>36</v>
      </c>
      <c r="D220" t="s">
        <v>67</v>
      </c>
      <c r="E220" t="s">
        <v>270</v>
      </c>
      <c r="F220" t="s">
        <v>30</v>
      </c>
      <c r="G220" t="s">
        <v>22</v>
      </c>
      <c r="H220" t="s">
        <v>23</v>
      </c>
      <c r="I220" t="s">
        <v>83</v>
      </c>
      <c r="J220" t="s">
        <v>131</v>
      </c>
      <c r="K220">
        <v>9</v>
      </c>
      <c r="L220" s="2">
        <v>31.92</v>
      </c>
      <c r="M220" s="3">
        <v>0.1</v>
      </c>
      <c r="N220" s="2">
        <v>258.55</v>
      </c>
      <c r="O220" s="2">
        <v>185.49</v>
      </c>
      <c r="P220" s="2">
        <v>73.06</v>
      </c>
      <c r="Q220" t="s">
        <v>61</v>
      </c>
    </row>
    <row r="221" spans="1:17" x14ac:dyDescent="0.2">
      <c r="A221" t="s">
        <v>385</v>
      </c>
      <c r="B221" s="1">
        <v>45681</v>
      </c>
      <c r="C221" t="s">
        <v>43</v>
      </c>
      <c r="D221" t="s">
        <v>51</v>
      </c>
      <c r="E221" t="s">
        <v>59</v>
      </c>
      <c r="F221" t="s">
        <v>71</v>
      </c>
      <c r="G221" t="s">
        <v>22</v>
      </c>
      <c r="H221" t="s">
        <v>47</v>
      </c>
      <c r="I221" t="s">
        <v>89</v>
      </c>
      <c r="J221" t="s">
        <v>90</v>
      </c>
      <c r="K221">
        <v>9</v>
      </c>
      <c r="L221" s="2">
        <v>135.76</v>
      </c>
      <c r="M221" s="3">
        <v>0.2</v>
      </c>
      <c r="N221" s="2">
        <v>977.47</v>
      </c>
      <c r="O221" s="2">
        <v>713.2</v>
      </c>
      <c r="P221" s="2">
        <v>264.27</v>
      </c>
      <c r="Q221" t="s">
        <v>61</v>
      </c>
    </row>
    <row r="222" spans="1:17" x14ac:dyDescent="0.2">
      <c r="A222" t="s">
        <v>386</v>
      </c>
      <c r="B222" s="1">
        <v>45681</v>
      </c>
      <c r="C222" t="s">
        <v>77</v>
      </c>
      <c r="D222" t="s">
        <v>128</v>
      </c>
      <c r="E222" t="s">
        <v>129</v>
      </c>
      <c r="F222" t="s">
        <v>60</v>
      </c>
      <c r="G222" t="s">
        <v>54</v>
      </c>
      <c r="H222" t="s">
        <v>47</v>
      </c>
      <c r="I222" t="s">
        <v>97</v>
      </c>
      <c r="J222" t="s">
        <v>116</v>
      </c>
      <c r="K222">
        <v>9</v>
      </c>
      <c r="L222" s="2">
        <v>163.92</v>
      </c>
      <c r="M222" s="3">
        <v>0.1</v>
      </c>
      <c r="N222" s="2">
        <v>1327.75</v>
      </c>
      <c r="O222" s="2">
        <v>982.52</v>
      </c>
      <c r="P222" s="2">
        <v>345.23</v>
      </c>
      <c r="Q222" t="s">
        <v>26</v>
      </c>
    </row>
    <row r="223" spans="1:17" x14ac:dyDescent="0.2">
      <c r="A223" t="s">
        <v>387</v>
      </c>
      <c r="B223" s="1">
        <v>45681</v>
      </c>
      <c r="C223" t="s">
        <v>77</v>
      </c>
      <c r="D223" t="s">
        <v>128</v>
      </c>
      <c r="E223" t="s">
        <v>159</v>
      </c>
      <c r="F223" t="s">
        <v>46</v>
      </c>
      <c r="G223" t="s">
        <v>54</v>
      </c>
      <c r="H223" t="s">
        <v>31</v>
      </c>
      <c r="I223" t="s">
        <v>40</v>
      </c>
      <c r="J223" t="s">
        <v>216</v>
      </c>
      <c r="K223">
        <v>10</v>
      </c>
      <c r="L223" s="2">
        <v>70.959999999999994</v>
      </c>
      <c r="M223" s="3">
        <v>0.05</v>
      </c>
      <c r="N223" s="2">
        <v>674.12</v>
      </c>
      <c r="O223" s="2">
        <v>385.5</v>
      </c>
      <c r="P223" s="2">
        <v>288.62</v>
      </c>
      <c r="Q223" t="s">
        <v>26</v>
      </c>
    </row>
    <row r="224" spans="1:17" x14ac:dyDescent="0.2">
      <c r="A224" t="s">
        <v>388</v>
      </c>
      <c r="B224" s="1">
        <v>45681</v>
      </c>
      <c r="C224" t="s">
        <v>43</v>
      </c>
      <c r="D224" t="s">
        <v>44</v>
      </c>
      <c r="E224" t="s">
        <v>45</v>
      </c>
      <c r="F224" t="s">
        <v>60</v>
      </c>
      <c r="G224" t="s">
        <v>22</v>
      </c>
      <c r="H224" t="s">
        <v>31</v>
      </c>
      <c r="I224" t="s">
        <v>32</v>
      </c>
      <c r="J224" t="s">
        <v>104</v>
      </c>
      <c r="K224">
        <v>8</v>
      </c>
      <c r="L224" s="2">
        <v>1356.29</v>
      </c>
      <c r="M224" s="3">
        <v>0.05</v>
      </c>
      <c r="N224" s="2">
        <v>10307.799999999999</v>
      </c>
      <c r="O224" s="2">
        <v>7676.26</v>
      </c>
      <c r="P224" s="2">
        <v>2631.54</v>
      </c>
      <c r="Q224" t="s">
        <v>26</v>
      </c>
    </row>
    <row r="225" spans="1:17" x14ac:dyDescent="0.2">
      <c r="A225" t="s">
        <v>389</v>
      </c>
      <c r="B225" s="1">
        <v>45681</v>
      </c>
      <c r="C225" t="s">
        <v>77</v>
      </c>
      <c r="D225" t="s">
        <v>78</v>
      </c>
      <c r="E225" t="s">
        <v>52</v>
      </c>
      <c r="F225" t="s">
        <v>71</v>
      </c>
      <c r="G225" t="s">
        <v>54</v>
      </c>
      <c r="H225" t="s">
        <v>23</v>
      </c>
      <c r="I225" t="s">
        <v>24</v>
      </c>
      <c r="J225" t="s">
        <v>108</v>
      </c>
      <c r="K225">
        <v>2</v>
      </c>
      <c r="L225" s="2">
        <v>7.73</v>
      </c>
      <c r="M225" s="3">
        <v>0</v>
      </c>
      <c r="N225" s="2">
        <v>15.46</v>
      </c>
      <c r="O225" s="2">
        <v>8.6999999999999993</v>
      </c>
      <c r="P225" s="2">
        <v>6.76</v>
      </c>
      <c r="Q225" t="s">
        <v>34</v>
      </c>
    </row>
    <row r="226" spans="1:17" x14ac:dyDescent="0.2">
      <c r="A226" t="s">
        <v>390</v>
      </c>
      <c r="B226" s="1">
        <v>45681</v>
      </c>
      <c r="C226" t="s">
        <v>43</v>
      </c>
      <c r="D226" t="s">
        <v>244</v>
      </c>
      <c r="E226" t="s">
        <v>326</v>
      </c>
      <c r="F226" t="s">
        <v>71</v>
      </c>
      <c r="G226" t="s">
        <v>22</v>
      </c>
      <c r="H226" t="s">
        <v>31</v>
      </c>
      <c r="I226" t="s">
        <v>112</v>
      </c>
      <c r="J226" t="s">
        <v>113</v>
      </c>
      <c r="K226">
        <v>8</v>
      </c>
      <c r="L226" s="2">
        <v>377.73</v>
      </c>
      <c r="M226" s="3">
        <v>0.1</v>
      </c>
      <c r="N226" s="2">
        <v>2719.66</v>
      </c>
      <c r="O226" s="2">
        <v>1966.5</v>
      </c>
      <c r="P226" s="2">
        <v>753.16</v>
      </c>
      <c r="Q226" t="s">
        <v>26</v>
      </c>
    </row>
    <row r="227" spans="1:17" x14ac:dyDescent="0.2">
      <c r="A227" t="s">
        <v>391</v>
      </c>
      <c r="B227" s="1">
        <v>45681</v>
      </c>
      <c r="C227" t="s">
        <v>36</v>
      </c>
      <c r="D227" t="s">
        <v>67</v>
      </c>
      <c r="E227" t="s">
        <v>323</v>
      </c>
      <c r="F227" t="s">
        <v>138</v>
      </c>
      <c r="G227" t="s">
        <v>22</v>
      </c>
      <c r="H227" t="s">
        <v>31</v>
      </c>
      <c r="I227" t="s">
        <v>32</v>
      </c>
      <c r="J227" t="s">
        <v>33</v>
      </c>
      <c r="K227">
        <v>9</v>
      </c>
      <c r="L227" s="2">
        <v>1447.75</v>
      </c>
      <c r="M227" s="3">
        <v>0</v>
      </c>
      <c r="N227" s="2">
        <v>13029.75</v>
      </c>
      <c r="O227" s="2">
        <v>10154.4</v>
      </c>
      <c r="P227" s="2">
        <v>2875.35</v>
      </c>
      <c r="Q227" t="s">
        <v>57</v>
      </c>
    </row>
    <row r="228" spans="1:17" x14ac:dyDescent="0.2">
      <c r="A228" t="s">
        <v>392</v>
      </c>
      <c r="B228" s="1">
        <v>45681</v>
      </c>
      <c r="C228" t="s">
        <v>18</v>
      </c>
      <c r="D228" t="s">
        <v>86</v>
      </c>
      <c r="E228" t="s">
        <v>87</v>
      </c>
      <c r="F228" t="s">
        <v>69</v>
      </c>
      <c r="G228" t="s">
        <v>22</v>
      </c>
      <c r="H228" t="s">
        <v>31</v>
      </c>
      <c r="I228" t="s">
        <v>32</v>
      </c>
      <c r="J228" t="s">
        <v>104</v>
      </c>
      <c r="K228">
        <v>1</v>
      </c>
      <c r="L228" s="2">
        <v>1075.69</v>
      </c>
      <c r="M228" s="3">
        <v>0.05</v>
      </c>
      <c r="N228" s="2">
        <v>1021.91</v>
      </c>
      <c r="O228" s="2">
        <v>613.63</v>
      </c>
      <c r="P228" s="2">
        <v>408.28</v>
      </c>
      <c r="Q228" t="s">
        <v>34</v>
      </c>
    </row>
    <row r="229" spans="1:17" x14ac:dyDescent="0.2">
      <c r="A229" t="s">
        <v>393</v>
      </c>
      <c r="B229" s="1">
        <v>45682</v>
      </c>
      <c r="C229" t="s">
        <v>43</v>
      </c>
      <c r="D229" t="s">
        <v>161</v>
      </c>
      <c r="E229" t="s">
        <v>162</v>
      </c>
      <c r="F229" t="s">
        <v>53</v>
      </c>
      <c r="G229" t="s">
        <v>54</v>
      </c>
      <c r="H229" t="s">
        <v>23</v>
      </c>
      <c r="I229" t="s">
        <v>79</v>
      </c>
      <c r="J229" t="s">
        <v>233</v>
      </c>
      <c r="K229">
        <v>4</v>
      </c>
      <c r="L229" s="2">
        <v>436.86</v>
      </c>
      <c r="M229" s="3">
        <v>0.1</v>
      </c>
      <c r="N229" s="2">
        <v>1572.7</v>
      </c>
      <c r="O229" s="2">
        <v>1210.52</v>
      </c>
      <c r="P229" s="2">
        <v>362.18</v>
      </c>
      <c r="Q229" t="s">
        <v>57</v>
      </c>
    </row>
    <row r="230" spans="1:17" x14ac:dyDescent="0.2">
      <c r="A230" t="s">
        <v>394</v>
      </c>
      <c r="B230" s="1">
        <v>45682</v>
      </c>
      <c r="C230" t="s">
        <v>43</v>
      </c>
      <c r="D230" t="s">
        <v>51</v>
      </c>
      <c r="E230" t="s">
        <v>59</v>
      </c>
      <c r="F230" t="s">
        <v>30</v>
      </c>
      <c r="G230" t="s">
        <v>75</v>
      </c>
      <c r="H230" t="s">
        <v>47</v>
      </c>
      <c r="I230" t="s">
        <v>89</v>
      </c>
      <c r="J230" t="s">
        <v>240</v>
      </c>
      <c r="K230">
        <v>6</v>
      </c>
      <c r="L230" s="2">
        <v>388.03</v>
      </c>
      <c r="M230" s="3">
        <v>0</v>
      </c>
      <c r="N230" s="2">
        <v>2328.1799999999998</v>
      </c>
      <c r="O230" s="2">
        <v>1892.17</v>
      </c>
      <c r="P230" s="2">
        <v>436.01</v>
      </c>
      <c r="Q230" t="s">
        <v>34</v>
      </c>
    </row>
    <row r="231" spans="1:17" x14ac:dyDescent="0.2">
      <c r="A231" t="s">
        <v>395</v>
      </c>
      <c r="B231" s="1">
        <v>45682</v>
      </c>
      <c r="C231" t="s">
        <v>43</v>
      </c>
      <c r="D231" t="s">
        <v>161</v>
      </c>
      <c r="E231" t="s">
        <v>172</v>
      </c>
      <c r="F231" t="s">
        <v>46</v>
      </c>
      <c r="G231" t="s">
        <v>22</v>
      </c>
      <c r="H231" t="s">
        <v>31</v>
      </c>
      <c r="I231" t="s">
        <v>112</v>
      </c>
      <c r="J231" t="s">
        <v>113</v>
      </c>
      <c r="K231">
        <v>8</v>
      </c>
      <c r="L231" s="2">
        <v>671.74</v>
      </c>
      <c r="M231" s="3">
        <v>0</v>
      </c>
      <c r="N231" s="2">
        <v>5373.92</v>
      </c>
      <c r="O231" s="2">
        <v>4191.0200000000004</v>
      </c>
      <c r="P231" s="2">
        <v>1182.9000000000001</v>
      </c>
      <c r="Q231" t="s">
        <v>57</v>
      </c>
    </row>
    <row r="232" spans="1:17" x14ac:dyDescent="0.2">
      <c r="A232" t="s">
        <v>396</v>
      </c>
      <c r="B232" s="1">
        <v>45682</v>
      </c>
      <c r="C232" t="s">
        <v>18</v>
      </c>
      <c r="D232" t="s">
        <v>28</v>
      </c>
      <c r="E232" t="s">
        <v>170</v>
      </c>
      <c r="F232" t="s">
        <v>60</v>
      </c>
      <c r="G232" t="s">
        <v>22</v>
      </c>
      <c r="H232" t="s">
        <v>47</v>
      </c>
      <c r="I232" t="s">
        <v>97</v>
      </c>
      <c r="J232" t="s">
        <v>116</v>
      </c>
      <c r="K232">
        <v>1</v>
      </c>
      <c r="L232" s="2">
        <v>451.66</v>
      </c>
      <c r="M232" s="3">
        <v>0.1</v>
      </c>
      <c r="N232" s="2">
        <v>406.49</v>
      </c>
      <c r="O232" s="2">
        <v>237.86</v>
      </c>
      <c r="P232" s="2">
        <v>168.63</v>
      </c>
      <c r="Q232" t="s">
        <v>34</v>
      </c>
    </row>
    <row r="233" spans="1:17" x14ac:dyDescent="0.2">
      <c r="A233" t="s">
        <v>397</v>
      </c>
      <c r="B233" s="1">
        <v>45682</v>
      </c>
      <c r="C233" t="s">
        <v>77</v>
      </c>
      <c r="D233" t="s">
        <v>78</v>
      </c>
      <c r="E233" t="s">
        <v>52</v>
      </c>
      <c r="F233" t="s">
        <v>71</v>
      </c>
      <c r="G233" t="s">
        <v>75</v>
      </c>
      <c r="H233" t="s">
        <v>47</v>
      </c>
      <c r="I233" t="s">
        <v>48</v>
      </c>
      <c r="J233" t="s">
        <v>164</v>
      </c>
      <c r="K233">
        <v>4</v>
      </c>
      <c r="L233" s="2">
        <v>481.7</v>
      </c>
      <c r="M233" s="3">
        <v>0.2</v>
      </c>
      <c r="N233" s="2">
        <v>1541.44</v>
      </c>
      <c r="O233" s="2">
        <v>1147.44</v>
      </c>
      <c r="P233" s="2">
        <v>394</v>
      </c>
      <c r="Q233" t="s">
        <v>57</v>
      </c>
    </row>
    <row r="234" spans="1:17" x14ac:dyDescent="0.2">
      <c r="A234" t="s">
        <v>398</v>
      </c>
      <c r="B234" s="1">
        <v>45682</v>
      </c>
      <c r="C234" t="s">
        <v>77</v>
      </c>
      <c r="D234" t="s">
        <v>95</v>
      </c>
      <c r="E234" t="s">
        <v>367</v>
      </c>
      <c r="F234" t="s">
        <v>39</v>
      </c>
      <c r="G234" t="s">
        <v>22</v>
      </c>
      <c r="H234" t="s">
        <v>23</v>
      </c>
      <c r="I234" t="s">
        <v>55</v>
      </c>
      <c r="J234" t="s">
        <v>56</v>
      </c>
      <c r="K234">
        <v>4</v>
      </c>
      <c r="L234" s="2">
        <v>11.51</v>
      </c>
      <c r="M234" s="3">
        <v>0</v>
      </c>
      <c r="N234" s="2">
        <v>46.04</v>
      </c>
      <c r="O234" s="2">
        <v>32.909999999999997</v>
      </c>
      <c r="P234" s="2">
        <v>13.13</v>
      </c>
      <c r="Q234" t="s">
        <v>26</v>
      </c>
    </row>
    <row r="235" spans="1:17" x14ac:dyDescent="0.2">
      <c r="A235" t="s">
        <v>399</v>
      </c>
      <c r="B235" s="1">
        <v>45682</v>
      </c>
      <c r="C235" t="s">
        <v>43</v>
      </c>
      <c r="D235" t="s">
        <v>44</v>
      </c>
      <c r="E235" t="s">
        <v>45</v>
      </c>
      <c r="F235" t="s">
        <v>39</v>
      </c>
      <c r="G235" t="s">
        <v>22</v>
      </c>
      <c r="H235" t="s">
        <v>31</v>
      </c>
      <c r="I235" t="s">
        <v>32</v>
      </c>
      <c r="J235" t="s">
        <v>33</v>
      </c>
      <c r="K235">
        <v>10</v>
      </c>
      <c r="L235" s="2">
        <v>1126.2</v>
      </c>
      <c r="M235" s="3">
        <v>0</v>
      </c>
      <c r="N235" s="2">
        <v>11262</v>
      </c>
      <c r="O235" s="2">
        <v>9203.31</v>
      </c>
      <c r="P235" s="2">
        <v>2058.69</v>
      </c>
      <c r="Q235" t="s">
        <v>61</v>
      </c>
    </row>
    <row r="236" spans="1:17" x14ac:dyDescent="0.2">
      <c r="A236" t="s">
        <v>400</v>
      </c>
      <c r="B236" s="1">
        <v>45682</v>
      </c>
      <c r="C236" t="s">
        <v>43</v>
      </c>
      <c r="D236" t="s">
        <v>51</v>
      </c>
      <c r="E236" t="s">
        <v>63</v>
      </c>
      <c r="F236" t="s">
        <v>39</v>
      </c>
      <c r="G236" t="s">
        <v>75</v>
      </c>
      <c r="H236" t="s">
        <v>31</v>
      </c>
      <c r="I236" t="s">
        <v>112</v>
      </c>
      <c r="J236" t="s">
        <v>113</v>
      </c>
      <c r="K236">
        <v>2</v>
      </c>
      <c r="L236" s="2">
        <v>668.21</v>
      </c>
      <c r="M236" s="3">
        <v>0</v>
      </c>
      <c r="N236" s="2">
        <v>1336.42</v>
      </c>
      <c r="O236" s="2">
        <v>932.37</v>
      </c>
      <c r="P236" s="2">
        <v>404.05</v>
      </c>
      <c r="Q236" t="s">
        <v>57</v>
      </c>
    </row>
    <row r="237" spans="1:17" x14ac:dyDescent="0.2">
      <c r="A237" t="s">
        <v>401</v>
      </c>
      <c r="B237" s="1">
        <v>45683</v>
      </c>
      <c r="C237" t="s">
        <v>77</v>
      </c>
      <c r="D237" t="s">
        <v>78</v>
      </c>
      <c r="E237" t="s">
        <v>261</v>
      </c>
      <c r="F237" t="s">
        <v>60</v>
      </c>
      <c r="G237" t="s">
        <v>75</v>
      </c>
      <c r="H237" t="s">
        <v>31</v>
      </c>
      <c r="I237" t="s">
        <v>112</v>
      </c>
      <c r="J237" t="s">
        <v>136</v>
      </c>
      <c r="K237">
        <v>3</v>
      </c>
      <c r="L237" s="2">
        <v>347.15</v>
      </c>
      <c r="M237" s="3">
        <v>0.05</v>
      </c>
      <c r="N237" s="2">
        <v>989.38</v>
      </c>
      <c r="O237" s="2">
        <v>728.51</v>
      </c>
      <c r="P237" s="2">
        <v>260.87</v>
      </c>
      <c r="Q237" t="s">
        <v>57</v>
      </c>
    </row>
    <row r="238" spans="1:17" x14ac:dyDescent="0.2">
      <c r="A238" t="s">
        <v>402</v>
      </c>
      <c r="B238" s="1">
        <v>45683</v>
      </c>
      <c r="C238" t="s">
        <v>43</v>
      </c>
      <c r="D238" t="s">
        <v>51</v>
      </c>
      <c r="E238" t="s">
        <v>52</v>
      </c>
      <c r="F238" t="s">
        <v>46</v>
      </c>
      <c r="G238" t="s">
        <v>22</v>
      </c>
      <c r="H238" t="s">
        <v>31</v>
      </c>
      <c r="I238" t="s">
        <v>112</v>
      </c>
      <c r="J238" t="s">
        <v>113</v>
      </c>
      <c r="K238">
        <v>7</v>
      </c>
      <c r="L238" s="2">
        <v>317.16000000000003</v>
      </c>
      <c r="M238" s="3">
        <v>0.05</v>
      </c>
      <c r="N238" s="2">
        <v>2109.11</v>
      </c>
      <c r="O238" s="2">
        <v>1633.87</v>
      </c>
      <c r="P238" s="2">
        <v>475.24</v>
      </c>
      <c r="Q238" t="s">
        <v>34</v>
      </c>
    </row>
    <row r="239" spans="1:17" x14ac:dyDescent="0.2">
      <c r="A239" t="s">
        <v>403</v>
      </c>
      <c r="B239" s="1">
        <v>45683</v>
      </c>
      <c r="C239" t="s">
        <v>36</v>
      </c>
      <c r="D239" t="s">
        <v>110</v>
      </c>
      <c r="E239" t="s">
        <v>111</v>
      </c>
      <c r="F239" t="s">
        <v>60</v>
      </c>
      <c r="G239" t="s">
        <v>75</v>
      </c>
      <c r="H239" t="s">
        <v>23</v>
      </c>
      <c r="I239" t="s">
        <v>55</v>
      </c>
      <c r="J239" t="s">
        <v>56</v>
      </c>
      <c r="K239">
        <v>5</v>
      </c>
      <c r="L239" s="2">
        <v>10.84</v>
      </c>
      <c r="M239" s="3">
        <v>0.05</v>
      </c>
      <c r="N239" s="2">
        <v>51.49</v>
      </c>
      <c r="O239" s="2">
        <v>30.3</v>
      </c>
      <c r="P239" s="2">
        <v>21.19</v>
      </c>
      <c r="Q239" t="s">
        <v>57</v>
      </c>
    </row>
    <row r="240" spans="1:17" x14ac:dyDescent="0.2">
      <c r="A240" t="s">
        <v>404</v>
      </c>
      <c r="B240" s="1">
        <v>45683</v>
      </c>
      <c r="C240" t="s">
        <v>18</v>
      </c>
      <c r="D240" t="s">
        <v>133</v>
      </c>
      <c r="E240" t="s">
        <v>197</v>
      </c>
      <c r="F240" t="s">
        <v>46</v>
      </c>
      <c r="G240" t="s">
        <v>22</v>
      </c>
      <c r="H240" t="s">
        <v>31</v>
      </c>
      <c r="I240" t="s">
        <v>40</v>
      </c>
      <c r="J240" t="s">
        <v>216</v>
      </c>
      <c r="K240">
        <v>7</v>
      </c>
      <c r="L240" s="2">
        <v>249.28</v>
      </c>
      <c r="M240" s="3">
        <v>0</v>
      </c>
      <c r="N240" s="2">
        <v>1744.96</v>
      </c>
      <c r="O240" s="2">
        <v>1039.1500000000001</v>
      </c>
      <c r="P240" s="2">
        <v>705.81</v>
      </c>
      <c r="Q240" t="s">
        <v>57</v>
      </c>
    </row>
    <row r="241" spans="1:17" x14ac:dyDescent="0.2">
      <c r="A241" t="s">
        <v>405</v>
      </c>
      <c r="B241" s="1">
        <v>45683</v>
      </c>
      <c r="C241" t="s">
        <v>77</v>
      </c>
      <c r="D241" t="s">
        <v>95</v>
      </c>
      <c r="E241" t="s">
        <v>96</v>
      </c>
      <c r="F241" t="s">
        <v>39</v>
      </c>
      <c r="G241" t="s">
        <v>75</v>
      </c>
      <c r="H241" t="s">
        <v>23</v>
      </c>
      <c r="I241" t="s">
        <v>79</v>
      </c>
      <c r="J241" t="s">
        <v>179</v>
      </c>
      <c r="K241">
        <v>2</v>
      </c>
      <c r="L241" s="2">
        <v>551.69000000000005</v>
      </c>
      <c r="M241" s="3">
        <v>0.2</v>
      </c>
      <c r="N241" s="2">
        <v>882.7</v>
      </c>
      <c r="O241" s="2">
        <v>649.29999999999995</v>
      </c>
      <c r="P241" s="2">
        <v>233.4</v>
      </c>
      <c r="Q241" t="s">
        <v>57</v>
      </c>
    </row>
    <row r="242" spans="1:17" x14ac:dyDescent="0.2">
      <c r="A242" t="s">
        <v>406</v>
      </c>
      <c r="B242" s="1">
        <v>45683</v>
      </c>
      <c r="C242" t="s">
        <v>43</v>
      </c>
      <c r="D242" t="s">
        <v>44</v>
      </c>
      <c r="E242" t="s">
        <v>45</v>
      </c>
      <c r="F242" t="s">
        <v>30</v>
      </c>
      <c r="G242" t="s">
        <v>54</v>
      </c>
      <c r="H242" t="s">
        <v>31</v>
      </c>
      <c r="I242" t="s">
        <v>112</v>
      </c>
      <c r="J242" t="s">
        <v>176</v>
      </c>
      <c r="K242">
        <v>6</v>
      </c>
      <c r="L242" s="2">
        <v>482.97</v>
      </c>
      <c r="M242" s="3">
        <v>0.05</v>
      </c>
      <c r="N242" s="2">
        <v>2752.93</v>
      </c>
      <c r="O242" s="2">
        <v>1925.66</v>
      </c>
      <c r="P242" s="2">
        <v>827.27</v>
      </c>
      <c r="Q242" t="s">
        <v>57</v>
      </c>
    </row>
    <row r="243" spans="1:17" x14ac:dyDescent="0.2">
      <c r="A243" t="s">
        <v>407</v>
      </c>
      <c r="B243" s="1">
        <v>45683</v>
      </c>
      <c r="C243" t="s">
        <v>36</v>
      </c>
      <c r="D243" t="s">
        <v>144</v>
      </c>
      <c r="E243" t="s">
        <v>145</v>
      </c>
      <c r="F243" t="s">
        <v>138</v>
      </c>
      <c r="G243" t="s">
        <v>22</v>
      </c>
      <c r="H243" t="s">
        <v>47</v>
      </c>
      <c r="I243" t="s">
        <v>89</v>
      </c>
      <c r="J243" t="s">
        <v>204</v>
      </c>
      <c r="K243">
        <v>5</v>
      </c>
      <c r="L243" s="2">
        <v>284.7</v>
      </c>
      <c r="M243" s="3">
        <v>0.15</v>
      </c>
      <c r="N243" s="2">
        <v>1209.97</v>
      </c>
      <c r="O243" s="2">
        <v>914.77</v>
      </c>
      <c r="P243" s="2">
        <v>295.2</v>
      </c>
      <c r="Q243" t="s">
        <v>57</v>
      </c>
    </row>
    <row r="244" spans="1:17" x14ac:dyDescent="0.2">
      <c r="A244" t="s">
        <v>408</v>
      </c>
      <c r="B244" s="1">
        <v>45683</v>
      </c>
      <c r="C244" t="s">
        <v>77</v>
      </c>
      <c r="D244" t="s">
        <v>128</v>
      </c>
      <c r="E244" t="s">
        <v>155</v>
      </c>
      <c r="F244" t="s">
        <v>138</v>
      </c>
      <c r="G244" t="s">
        <v>54</v>
      </c>
      <c r="H244" t="s">
        <v>31</v>
      </c>
      <c r="I244" t="s">
        <v>40</v>
      </c>
      <c r="J244" t="s">
        <v>122</v>
      </c>
      <c r="K244">
        <v>8</v>
      </c>
      <c r="L244" s="2">
        <v>85.91</v>
      </c>
      <c r="M244" s="3">
        <v>0.05</v>
      </c>
      <c r="N244" s="2">
        <v>652.91999999999996</v>
      </c>
      <c r="O244" s="2">
        <v>454.04</v>
      </c>
      <c r="P244" s="2">
        <v>198.88</v>
      </c>
      <c r="Q244" t="s">
        <v>26</v>
      </c>
    </row>
    <row r="245" spans="1:17" x14ac:dyDescent="0.2">
      <c r="A245" t="s">
        <v>409</v>
      </c>
      <c r="B245" s="1">
        <v>45683</v>
      </c>
      <c r="C245" t="s">
        <v>18</v>
      </c>
      <c r="D245" t="s">
        <v>152</v>
      </c>
      <c r="E245" t="s">
        <v>166</v>
      </c>
      <c r="F245" t="s">
        <v>69</v>
      </c>
      <c r="G245" t="s">
        <v>22</v>
      </c>
      <c r="H245" t="s">
        <v>31</v>
      </c>
      <c r="I245" t="s">
        <v>112</v>
      </c>
      <c r="J245" t="s">
        <v>136</v>
      </c>
      <c r="K245">
        <v>1</v>
      </c>
      <c r="L245" s="2">
        <v>454.06</v>
      </c>
      <c r="M245" s="3">
        <v>0.1</v>
      </c>
      <c r="N245" s="2">
        <v>408.65</v>
      </c>
      <c r="O245" s="2">
        <v>270.18</v>
      </c>
      <c r="P245" s="2">
        <v>138.47</v>
      </c>
      <c r="Q245" t="s">
        <v>57</v>
      </c>
    </row>
    <row r="246" spans="1:17" x14ac:dyDescent="0.2">
      <c r="A246" t="s">
        <v>410</v>
      </c>
      <c r="B246" s="1">
        <v>45683</v>
      </c>
      <c r="C246" t="s">
        <v>18</v>
      </c>
      <c r="D246" t="s">
        <v>152</v>
      </c>
      <c r="E246" t="s">
        <v>153</v>
      </c>
      <c r="F246" t="s">
        <v>138</v>
      </c>
      <c r="G246" t="s">
        <v>22</v>
      </c>
      <c r="H246" t="s">
        <v>23</v>
      </c>
      <c r="I246" t="s">
        <v>83</v>
      </c>
      <c r="J246" t="s">
        <v>84</v>
      </c>
      <c r="K246">
        <v>6</v>
      </c>
      <c r="L246" s="2">
        <v>19.18</v>
      </c>
      <c r="M246" s="3">
        <v>0.05</v>
      </c>
      <c r="N246" s="2">
        <v>109.33</v>
      </c>
      <c r="O246" s="2">
        <v>78.75</v>
      </c>
      <c r="P246" s="2">
        <v>30.58</v>
      </c>
      <c r="Q246" t="s">
        <v>57</v>
      </c>
    </row>
    <row r="247" spans="1:17" x14ac:dyDescent="0.2">
      <c r="A247" t="s">
        <v>411</v>
      </c>
      <c r="B247" s="1">
        <v>45683</v>
      </c>
      <c r="C247" t="s">
        <v>43</v>
      </c>
      <c r="D247" t="s">
        <v>208</v>
      </c>
      <c r="E247" t="s">
        <v>209</v>
      </c>
      <c r="F247" t="s">
        <v>21</v>
      </c>
      <c r="G247" t="s">
        <v>75</v>
      </c>
      <c r="H247" t="s">
        <v>47</v>
      </c>
      <c r="I247" t="s">
        <v>97</v>
      </c>
      <c r="J247" t="s">
        <v>168</v>
      </c>
      <c r="K247">
        <v>10</v>
      </c>
      <c r="L247" s="2">
        <v>214.4</v>
      </c>
      <c r="M247" s="3">
        <v>0.05</v>
      </c>
      <c r="N247" s="2">
        <v>2036.8</v>
      </c>
      <c r="O247" s="2">
        <v>1368.11</v>
      </c>
      <c r="P247" s="2">
        <v>668.69</v>
      </c>
      <c r="Q247" t="s">
        <v>34</v>
      </c>
    </row>
    <row r="248" spans="1:17" x14ac:dyDescent="0.2">
      <c r="A248" t="s">
        <v>412</v>
      </c>
      <c r="B248" s="1">
        <v>45683</v>
      </c>
      <c r="C248" t="s">
        <v>43</v>
      </c>
      <c r="D248" t="s">
        <v>244</v>
      </c>
      <c r="E248" t="s">
        <v>245</v>
      </c>
      <c r="F248" t="s">
        <v>53</v>
      </c>
      <c r="G248" t="s">
        <v>22</v>
      </c>
      <c r="H248" t="s">
        <v>23</v>
      </c>
      <c r="I248" t="s">
        <v>24</v>
      </c>
      <c r="J248" t="s">
        <v>220</v>
      </c>
      <c r="K248">
        <v>6</v>
      </c>
      <c r="L248" s="2">
        <v>21.4</v>
      </c>
      <c r="M248" s="3">
        <v>0.05</v>
      </c>
      <c r="N248" s="2">
        <v>121.98</v>
      </c>
      <c r="O248" s="2">
        <v>67.59</v>
      </c>
      <c r="P248" s="2">
        <v>54.39</v>
      </c>
      <c r="Q248" t="s">
        <v>26</v>
      </c>
    </row>
    <row r="249" spans="1:17" x14ac:dyDescent="0.2">
      <c r="A249" t="s">
        <v>413</v>
      </c>
      <c r="B249" s="1">
        <v>45683</v>
      </c>
      <c r="C249" t="s">
        <v>18</v>
      </c>
      <c r="D249" t="s">
        <v>86</v>
      </c>
      <c r="E249" t="s">
        <v>92</v>
      </c>
      <c r="F249" t="s">
        <v>30</v>
      </c>
      <c r="G249" t="s">
        <v>54</v>
      </c>
      <c r="H249" t="s">
        <v>47</v>
      </c>
      <c r="I249" t="s">
        <v>89</v>
      </c>
      <c r="J249" t="s">
        <v>204</v>
      </c>
      <c r="K249">
        <v>9</v>
      </c>
      <c r="L249" s="2">
        <v>237.41</v>
      </c>
      <c r="M249" s="3">
        <v>0.05</v>
      </c>
      <c r="N249" s="2">
        <v>2029.86</v>
      </c>
      <c r="O249" s="2">
        <v>1235.92</v>
      </c>
      <c r="P249" s="2">
        <v>793.94</v>
      </c>
      <c r="Q249" t="s">
        <v>34</v>
      </c>
    </row>
    <row r="250" spans="1:17" x14ac:dyDescent="0.2">
      <c r="A250" t="s">
        <v>414</v>
      </c>
      <c r="B250" s="1">
        <v>45684</v>
      </c>
      <c r="C250" t="s">
        <v>77</v>
      </c>
      <c r="D250" t="s">
        <v>149</v>
      </c>
      <c r="E250" t="s">
        <v>150</v>
      </c>
      <c r="F250" t="s">
        <v>130</v>
      </c>
      <c r="G250" t="s">
        <v>22</v>
      </c>
      <c r="H250" t="s">
        <v>47</v>
      </c>
      <c r="I250" t="s">
        <v>89</v>
      </c>
      <c r="J250" t="s">
        <v>90</v>
      </c>
      <c r="K250">
        <v>7</v>
      </c>
      <c r="L250" s="2">
        <v>309.81</v>
      </c>
      <c r="M250" s="3">
        <v>0.15</v>
      </c>
      <c r="N250" s="2">
        <v>1843.37</v>
      </c>
      <c r="O250" s="2">
        <v>1269.28</v>
      </c>
      <c r="P250" s="2">
        <v>574.09</v>
      </c>
      <c r="Q250" t="s">
        <v>34</v>
      </c>
    </row>
    <row r="251" spans="1:17" x14ac:dyDescent="0.2">
      <c r="A251" t="s">
        <v>415</v>
      </c>
      <c r="B251" s="1">
        <v>45684</v>
      </c>
      <c r="C251" t="s">
        <v>18</v>
      </c>
      <c r="D251" t="s">
        <v>86</v>
      </c>
      <c r="E251" t="s">
        <v>140</v>
      </c>
      <c r="F251" t="s">
        <v>71</v>
      </c>
      <c r="G251" t="s">
        <v>22</v>
      </c>
      <c r="H251" t="s">
        <v>23</v>
      </c>
      <c r="I251" t="s">
        <v>83</v>
      </c>
      <c r="J251" t="s">
        <v>120</v>
      </c>
      <c r="K251">
        <v>4</v>
      </c>
      <c r="L251" s="2">
        <v>24.94</v>
      </c>
      <c r="M251" s="3">
        <v>0</v>
      </c>
      <c r="N251" s="2">
        <v>99.76</v>
      </c>
      <c r="O251" s="2">
        <v>66.98</v>
      </c>
      <c r="P251" s="2">
        <v>32.78</v>
      </c>
      <c r="Q251" t="s">
        <v>26</v>
      </c>
    </row>
    <row r="252" spans="1:17" x14ac:dyDescent="0.2">
      <c r="A252" t="s">
        <v>416</v>
      </c>
      <c r="B252" s="1">
        <v>45684</v>
      </c>
      <c r="C252" t="s">
        <v>77</v>
      </c>
      <c r="D252" t="s">
        <v>106</v>
      </c>
      <c r="E252" t="s">
        <v>107</v>
      </c>
      <c r="F252" t="s">
        <v>30</v>
      </c>
      <c r="G252" t="s">
        <v>54</v>
      </c>
      <c r="H252" t="s">
        <v>31</v>
      </c>
      <c r="I252" t="s">
        <v>112</v>
      </c>
      <c r="J252" t="s">
        <v>113</v>
      </c>
      <c r="K252">
        <v>1</v>
      </c>
      <c r="L252" s="2">
        <v>644.08000000000004</v>
      </c>
      <c r="M252" s="3">
        <v>0</v>
      </c>
      <c r="N252" s="2">
        <v>644.08000000000004</v>
      </c>
      <c r="O252" s="2">
        <v>469.64</v>
      </c>
      <c r="P252" s="2">
        <v>174.44</v>
      </c>
      <c r="Q252" t="s">
        <v>61</v>
      </c>
    </row>
    <row r="253" spans="1:17" x14ac:dyDescent="0.2">
      <c r="A253" t="s">
        <v>417</v>
      </c>
      <c r="B253" s="1">
        <v>45684</v>
      </c>
      <c r="C253" t="s">
        <v>43</v>
      </c>
      <c r="D253" t="s">
        <v>161</v>
      </c>
      <c r="E253" t="s">
        <v>418</v>
      </c>
      <c r="F253" t="s">
        <v>30</v>
      </c>
      <c r="G253" t="s">
        <v>22</v>
      </c>
      <c r="H253" t="s">
        <v>23</v>
      </c>
      <c r="I253" t="s">
        <v>83</v>
      </c>
      <c r="J253" t="s">
        <v>120</v>
      </c>
      <c r="K253">
        <v>10</v>
      </c>
      <c r="L253" s="2">
        <v>34.58</v>
      </c>
      <c r="M253" s="3">
        <v>0.1</v>
      </c>
      <c r="N253" s="2">
        <v>311.22000000000003</v>
      </c>
      <c r="O253" s="2">
        <v>223.51</v>
      </c>
      <c r="P253" s="2">
        <v>87.71</v>
      </c>
      <c r="Q253" t="s">
        <v>61</v>
      </c>
    </row>
    <row r="254" spans="1:17" x14ac:dyDescent="0.2">
      <c r="A254" t="s">
        <v>419</v>
      </c>
      <c r="B254" s="1">
        <v>45684</v>
      </c>
      <c r="C254" t="s">
        <v>77</v>
      </c>
      <c r="D254" t="s">
        <v>149</v>
      </c>
      <c r="E254" t="s">
        <v>206</v>
      </c>
      <c r="F254" t="s">
        <v>130</v>
      </c>
      <c r="G254" t="s">
        <v>22</v>
      </c>
      <c r="H254" t="s">
        <v>31</v>
      </c>
      <c r="I254" t="s">
        <v>112</v>
      </c>
      <c r="J254" t="s">
        <v>113</v>
      </c>
      <c r="K254">
        <v>3</v>
      </c>
      <c r="L254" s="2">
        <v>621.41</v>
      </c>
      <c r="M254" s="3">
        <v>0.15</v>
      </c>
      <c r="N254" s="2">
        <v>1584.6</v>
      </c>
      <c r="O254" s="2">
        <v>1156.48</v>
      </c>
      <c r="P254" s="2">
        <v>428.12</v>
      </c>
      <c r="Q254" t="s">
        <v>34</v>
      </c>
    </row>
    <row r="255" spans="1:17" x14ac:dyDescent="0.2">
      <c r="A255" t="s">
        <v>420</v>
      </c>
      <c r="B255" s="1">
        <v>45684</v>
      </c>
      <c r="C255" t="s">
        <v>18</v>
      </c>
      <c r="D255" t="s">
        <v>133</v>
      </c>
      <c r="E255" t="s">
        <v>134</v>
      </c>
      <c r="F255" t="s">
        <v>46</v>
      </c>
      <c r="G255" t="s">
        <v>75</v>
      </c>
      <c r="H255" t="s">
        <v>23</v>
      </c>
      <c r="I255" t="s">
        <v>83</v>
      </c>
      <c r="J255" t="s">
        <v>131</v>
      </c>
      <c r="K255">
        <v>1</v>
      </c>
      <c r="L255" s="2">
        <v>26.97</v>
      </c>
      <c r="M255" s="3">
        <v>0.05</v>
      </c>
      <c r="N255" s="2">
        <v>25.62</v>
      </c>
      <c r="O255" s="2">
        <v>14.32</v>
      </c>
      <c r="P255" s="2">
        <v>11.3</v>
      </c>
      <c r="Q255" t="s">
        <v>26</v>
      </c>
    </row>
    <row r="256" spans="1:17" x14ac:dyDescent="0.2">
      <c r="A256" t="s">
        <v>421</v>
      </c>
      <c r="B256" s="1">
        <v>45684</v>
      </c>
      <c r="C256" t="s">
        <v>18</v>
      </c>
      <c r="D256" t="s">
        <v>28</v>
      </c>
      <c r="E256" t="s">
        <v>170</v>
      </c>
      <c r="F256" t="s">
        <v>46</v>
      </c>
      <c r="G256" t="s">
        <v>75</v>
      </c>
      <c r="H256" t="s">
        <v>47</v>
      </c>
      <c r="I256" t="s">
        <v>141</v>
      </c>
      <c r="J256" t="s">
        <v>142</v>
      </c>
      <c r="K256">
        <v>9</v>
      </c>
      <c r="L256" s="2">
        <v>626.63</v>
      </c>
      <c r="M256" s="3">
        <v>0.1</v>
      </c>
      <c r="N256" s="2">
        <v>5075.7</v>
      </c>
      <c r="O256" s="2">
        <v>4063.49</v>
      </c>
      <c r="P256" s="2">
        <v>1012.21</v>
      </c>
      <c r="Q256" t="s">
        <v>61</v>
      </c>
    </row>
    <row r="257" spans="1:17" x14ac:dyDescent="0.2">
      <c r="A257" t="s">
        <v>422</v>
      </c>
      <c r="B257" s="1">
        <v>45684</v>
      </c>
      <c r="C257" t="s">
        <v>36</v>
      </c>
      <c r="D257" t="s">
        <v>110</v>
      </c>
      <c r="E257" t="s">
        <v>115</v>
      </c>
      <c r="F257" t="s">
        <v>130</v>
      </c>
      <c r="G257" t="s">
        <v>22</v>
      </c>
      <c r="H257" t="s">
        <v>31</v>
      </c>
      <c r="I257" t="s">
        <v>64</v>
      </c>
      <c r="J257" t="s">
        <v>65</v>
      </c>
      <c r="K257">
        <v>4</v>
      </c>
      <c r="L257" s="2">
        <v>77.39</v>
      </c>
      <c r="M257" s="3">
        <v>0.1</v>
      </c>
      <c r="N257" s="2">
        <v>278.60000000000002</v>
      </c>
      <c r="O257" s="2">
        <v>183.58</v>
      </c>
      <c r="P257" s="2">
        <v>95.02</v>
      </c>
      <c r="Q257" t="s">
        <v>61</v>
      </c>
    </row>
    <row r="258" spans="1:17" x14ac:dyDescent="0.2">
      <c r="A258" t="s">
        <v>423</v>
      </c>
      <c r="B258" s="1">
        <v>45684</v>
      </c>
      <c r="C258" t="s">
        <v>43</v>
      </c>
      <c r="D258" t="s">
        <v>51</v>
      </c>
      <c r="E258" t="s">
        <v>59</v>
      </c>
      <c r="F258" t="s">
        <v>53</v>
      </c>
      <c r="G258" t="s">
        <v>75</v>
      </c>
      <c r="H258" t="s">
        <v>23</v>
      </c>
      <c r="I258" t="s">
        <v>79</v>
      </c>
      <c r="J258" t="s">
        <v>179</v>
      </c>
      <c r="K258">
        <v>8</v>
      </c>
      <c r="L258" s="2">
        <v>209.33</v>
      </c>
      <c r="M258" s="3">
        <v>0.1</v>
      </c>
      <c r="N258" s="2">
        <v>1507.18</v>
      </c>
      <c r="O258" s="2">
        <v>897.03</v>
      </c>
      <c r="P258" s="2">
        <v>610.15</v>
      </c>
      <c r="Q258" t="s">
        <v>57</v>
      </c>
    </row>
    <row r="259" spans="1:17" x14ac:dyDescent="0.2">
      <c r="A259" t="s">
        <v>424</v>
      </c>
      <c r="B259" s="1">
        <v>45684</v>
      </c>
      <c r="C259" t="s">
        <v>36</v>
      </c>
      <c r="D259" t="s">
        <v>67</v>
      </c>
      <c r="E259" t="s">
        <v>68</v>
      </c>
      <c r="F259" t="s">
        <v>69</v>
      </c>
      <c r="G259" t="s">
        <v>75</v>
      </c>
      <c r="H259" t="s">
        <v>31</v>
      </c>
      <c r="I259" t="s">
        <v>64</v>
      </c>
      <c r="J259" t="s">
        <v>65</v>
      </c>
      <c r="K259">
        <v>7</v>
      </c>
      <c r="L259" s="2">
        <v>67.42</v>
      </c>
      <c r="M259" s="3">
        <v>0</v>
      </c>
      <c r="N259" s="2">
        <v>471.94</v>
      </c>
      <c r="O259" s="2">
        <v>282.95</v>
      </c>
      <c r="P259" s="2">
        <v>188.99</v>
      </c>
      <c r="Q259" t="s">
        <v>61</v>
      </c>
    </row>
    <row r="260" spans="1:17" x14ac:dyDescent="0.2">
      <c r="A260" t="s">
        <v>425</v>
      </c>
      <c r="B260" s="1">
        <v>45684</v>
      </c>
      <c r="C260" t="s">
        <v>43</v>
      </c>
      <c r="D260" t="s">
        <v>44</v>
      </c>
      <c r="E260" t="s">
        <v>147</v>
      </c>
      <c r="F260" t="s">
        <v>130</v>
      </c>
      <c r="G260" t="s">
        <v>54</v>
      </c>
      <c r="H260" t="s">
        <v>31</v>
      </c>
      <c r="I260" t="s">
        <v>64</v>
      </c>
      <c r="J260" t="s">
        <v>252</v>
      </c>
      <c r="K260">
        <v>2</v>
      </c>
      <c r="L260" s="2">
        <v>96.04</v>
      </c>
      <c r="M260" s="3">
        <v>0.05</v>
      </c>
      <c r="N260" s="2">
        <v>182.48</v>
      </c>
      <c r="O260" s="2">
        <v>114.74</v>
      </c>
      <c r="P260" s="2">
        <v>67.739999999999995</v>
      </c>
      <c r="Q260" t="s">
        <v>26</v>
      </c>
    </row>
    <row r="261" spans="1:17" x14ac:dyDescent="0.2">
      <c r="A261" t="s">
        <v>426</v>
      </c>
      <c r="B261" s="1">
        <v>45685</v>
      </c>
      <c r="C261" t="s">
        <v>77</v>
      </c>
      <c r="D261" t="s">
        <v>128</v>
      </c>
      <c r="E261" t="s">
        <v>159</v>
      </c>
      <c r="F261" t="s">
        <v>69</v>
      </c>
      <c r="G261" t="s">
        <v>54</v>
      </c>
      <c r="H261" t="s">
        <v>47</v>
      </c>
      <c r="I261" t="s">
        <v>141</v>
      </c>
      <c r="J261" t="s">
        <v>142</v>
      </c>
      <c r="K261">
        <v>2</v>
      </c>
      <c r="L261" s="2">
        <v>559.54999999999995</v>
      </c>
      <c r="M261" s="3">
        <v>0.05</v>
      </c>
      <c r="N261" s="2">
        <v>1063.1400000000001</v>
      </c>
      <c r="O261" s="2">
        <v>632.38</v>
      </c>
      <c r="P261" s="2">
        <v>430.76</v>
      </c>
      <c r="Q261" t="s">
        <v>57</v>
      </c>
    </row>
    <row r="262" spans="1:17" x14ac:dyDescent="0.2">
      <c r="A262" t="s">
        <v>427</v>
      </c>
      <c r="B262" s="1">
        <v>45685</v>
      </c>
      <c r="C262" t="s">
        <v>77</v>
      </c>
      <c r="D262" t="s">
        <v>128</v>
      </c>
      <c r="E262" t="s">
        <v>155</v>
      </c>
      <c r="F262" t="s">
        <v>53</v>
      </c>
      <c r="G262" t="s">
        <v>75</v>
      </c>
      <c r="H262" t="s">
        <v>31</v>
      </c>
      <c r="I262" t="s">
        <v>40</v>
      </c>
      <c r="J262" t="s">
        <v>122</v>
      </c>
      <c r="K262">
        <v>10</v>
      </c>
      <c r="L262" s="2">
        <v>185.56</v>
      </c>
      <c r="M262" s="3">
        <v>0.15</v>
      </c>
      <c r="N262" s="2">
        <v>1577.26</v>
      </c>
      <c r="O262" s="2">
        <v>1118.6199999999999</v>
      </c>
      <c r="P262" s="2">
        <v>458.64</v>
      </c>
      <c r="Q262" t="s">
        <v>57</v>
      </c>
    </row>
    <row r="263" spans="1:17" x14ac:dyDescent="0.2">
      <c r="A263" t="s">
        <v>428</v>
      </c>
      <c r="B263" s="1">
        <v>45685</v>
      </c>
      <c r="C263" t="s">
        <v>36</v>
      </c>
      <c r="D263" t="s">
        <v>67</v>
      </c>
      <c r="E263" t="s">
        <v>68</v>
      </c>
      <c r="F263" t="s">
        <v>39</v>
      </c>
      <c r="G263" t="s">
        <v>75</v>
      </c>
      <c r="H263" t="s">
        <v>47</v>
      </c>
      <c r="I263" t="s">
        <v>141</v>
      </c>
      <c r="J263" t="s">
        <v>201</v>
      </c>
      <c r="K263">
        <v>8</v>
      </c>
      <c r="L263" s="2">
        <v>395.61</v>
      </c>
      <c r="M263" s="3">
        <v>0.1</v>
      </c>
      <c r="N263" s="2">
        <v>2848.39</v>
      </c>
      <c r="O263" s="2">
        <v>2106.87</v>
      </c>
      <c r="P263" s="2">
        <v>741.52</v>
      </c>
      <c r="Q263" t="s">
        <v>57</v>
      </c>
    </row>
    <row r="264" spans="1:17" x14ac:dyDescent="0.2">
      <c r="A264" t="s">
        <v>429</v>
      </c>
      <c r="B264" s="1">
        <v>45685</v>
      </c>
      <c r="C264" t="s">
        <v>43</v>
      </c>
      <c r="D264" t="s">
        <v>161</v>
      </c>
      <c r="E264" t="s">
        <v>162</v>
      </c>
      <c r="F264" t="s">
        <v>21</v>
      </c>
      <c r="G264" t="s">
        <v>54</v>
      </c>
      <c r="H264" t="s">
        <v>31</v>
      </c>
      <c r="I264" t="s">
        <v>64</v>
      </c>
      <c r="J264" t="s">
        <v>126</v>
      </c>
      <c r="K264">
        <v>8</v>
      </c>
      <c r="L264" s="2">
        <v>99.43</v>
      </c>
      <c r="M264" s="3">
        <v>0.05</v>
      </c>
      <c r="N264" s="2">
        <v>755.67</v>
      </c>
      <c r="O264" s="2">
        <v>605.39</v>
      </c>
      <c r="P264" s="2">
        <v>150.28</v>
      </c>
      <c r="Q264" t="s">
        <v>34</v>
      </c>
    </row>
    <row r="265" spans="1:17" x14ac:dyDescent="0.2">
      <c r="A265" t="s">
        <v>430</v>
      </c>
      <c r="B265" s="1">
        <v>45685</v>
      </c>
      <c r="C265" t="s">
        <v>77</v>
      </c>
      <c r="D265" t="s">
        <v>95</v>
      </c>
      <c r="E265" t="s">
        <v>367</v>
      </c>
      <c r="F265" t="s">
        <v>30</v>
      </c>
      <c r="G265" t="s">
        <v>75</v>
      </c>
      <c r="H265" t="s">
        <v>23</v>
      </c>
      <c r="I265" t="s">
        <v>83</v>
      </c>
      <c r="J265" t="s">
        <v>84</v>
      </c>
      <c r="K265">
        <v>7</v>
      </c>
      <c r="L265" s="2">
        <v>17.399999999999999</v>
      </c>
      <c r="M265" s="3">
        <v>0.1</v>
      </c>
      <c r="N265" s="2">
        <v>109.62</v>
      </c>
      <c r="O265" s="2">
        <v>80.61</v>
      </c>
      <c r="P265" s="2">
        <v>29.01</v>
      </c>
      <c r="Q265" t="s">
        <v>34</v>
      </c>
    </row>
    <row r="266" spans="1:17" x14ac:dyDescent="0.2">
      <c r="A266" t="s">
        <v>431</v>
      </c>
      <c r="B266" s="1">
        <v>45685</v>
      </c>
      <c r="C266" t="s">
        <v>18</v>
      </c>
      <c r="D266" t="s">
        <v>152</v>
      </c>
      <c r="E266" t="s">
        <v>166</v>
      </c>
      <c r="F266" t="s">
        <v>39</v>
      </c>
      <c r="G266" t="s">
        <v>75</v>
      </c>
      <c r="H266" t="s">
        <v>23</v>
      </c>
      <c r="I266" t="s">
        <v>79</v>
      </c>
      <c r="J266" t="s">
        <v>80</v>
      </c>
      <c r="K266">
        <v>5</v>
      </c>
      <c r="L266" s="2">
        <v>270.97000000000003</v>
      </c>
      <c r="M266" s="3">
        <v>0.15</v>
      </c>
      <c r="N266" s="2">
        <v>1151.6199999999999</v>
      </c>
      <c r="O266" s="2">
        <v>819.06</v>
      </c>
      <c r="P266" s="2">
        <v>332.56</v>
      </c>
      <c r="Q266" t="s">
        <v>26</v>
      </c>
    </row>
    <row r="267" spans="1:17" x14ac:dyDescent="0.2">
      <c r="A267" t="s">
        <v>432</v>
      </c>
      <c r="B267" s="1">
        <v>45686</v>
      </c>
      <c r="C267" t="s">
        <v>18</v>
      </c>
      <c r="D267" t="s">
        <v>133</v>
      </c>
      <c r="E267" t="s">
        <v>226</v>
      </c>
      <c r="F267" t="s">
        <v>39</v>
      </c>
      <c r="G267" t="s">
        <v>22</v>
      </c>
      <c r="H267" t="s">
        <v>23</v>
      </c>
      <c r="I267" t="s">
        <v>55</v>
      </c>
      <c r="J267" t="s">
        <v>56</v>
      </c>
      <c r="K267">
        <v>6</v>
      </c>
      <c r="L267" s="2">
        <v>18.04</v>
      </c>
      <c r="M267" s="3">
        <v>0.05</v>
      </c>
      <c r="N267" s="2">
        <v>102.83</v>
      </c>
      <c r="O267" s="2">
        <v>80.849999999999994</v>
      </c>
      <c r="P267" s="2">
        <v>21.98</v>
      </c>
      <c r="Q267" t="s">
        <v>26</v>
      </c>
    </row>
    <row r="268" spans="1:17" x14ac:dyDescent="0.2">
      <c r="A268" t="s">
        <v>433</v>
      </c>
      <c r="B268" s="1">
        <v>45686</v>
      </c>
      <c r="C268" t="s">
        <v>36</v>
      </c>
      <c r="D268" t="s">
        <v>67</v>
      </c>
      <c r="E268" t="s">
        <v>270</v>
      </c>
      <c r="F268" t="s">
        <v>30</v>
      </c>
      <c r="G268" t="s">
        <v>75</v>
      </c>
      <c r="H268" t="s">
        <v>47</v>
      </c>
      <c r="I268" t="s">
        <v>48</v>
      </c>
      <c r="J268" t="s">
        <v>49</v>
      </c>
      <c r="K268">
        <v>8</v>
      </c>
      <c r="L268" s="2">
        <v>502.8</v>
      </c>
      <c r="M268" s="3">
        <v>0</v>
      </c>
      <c r="N268" s="2">
        <v>4022.4</v>
      </c>
      <c r="O268" s="2">
        <v>2257.15</v>
      </c>
      <c r="P268" s="2">
        <v>1765.25</v>
      </c>
      <c r="Q268" t="s">
        <v>26</v>
      </c>
    </row>
    <row r="269" spans="1:17" x14ac:dyDescent="0.2">
      <c r="A269" t="s">
        <v>434</v>
      </c>
      <c r="B269" s="1">
        <v>45686</v>
      </c>
      <c r="C269" t="s">
        <v>43</v>
      </c>
      <c r="D269" t="s">
        <v>161</v>
      </c>
      <c r="E269" t="s">
        <v>418</v>
      </c>
      <c r="F269" t="s">
        <v>21</v>
      </c>
      <c r="G269" t="s">
        <v>75</v>
      </c>
      <c r="H269" t="s">
        <v>47</v>
      </c>
      <c r="I269" t="s">
        <v>141</v>
      </c>
      <c r="J269" t="s">
        <v>372</v>
      </c>
      <c r="K269">
        <v>8</v>
      </c>
      <c r="L269" s="2">
        <v>535.29999999999995</v>
      </c>
      <c r="M269" s="3">
        <v>0.05</v>
      </c>
      <c r="N269" s="2">
        <v>4068.28</v>
      </c>
      <c r="O269" s="2">
        <v>3162.23</v>
      </c>
      <c r="P269" s="2">
        <v>906.05</v>
      </c>
      <c r="Q269" t="s">
        <v>57</v>
      </c>
    </row>
    <row r="270" spans="1:17" x14ac:dyDescent="0.2">
      <c r="A270" t="s">
        <v>435</v>
      </c>
      <c r="B270" s="1">
        <v>45686</v>
      </c>
      <c r="C270" t="s">
        <v>77</v>
      </c>
      <c r="D270" t="s">
        <v>95</v>
      </c>
      <c r="E270" t="s">
        <v>96</v>
      </c>
      <c r="F270" t="s">
        <v>53</v>
      </c>
      <c r="G270" t="s">
        <v>22</v>
      </c>
      <c r="H270" t="s">
        <v>23</v>
      </c>
      <c r="I270" t="s">
        <v>24</v>
      </c>
      <c r="J270" t="s">
        <v>25</v>
      </c>
      <c r="K270">
        <v>8</v>
      </c>
      <c r="L270" s="2">
        <v>22.47</v>
      </c>
      <c r="M270" s="3">
        <v>0</v>
      </c>
      <c r="N270" s="2">
        <v>179.76</v>
      </c>
      <c r="O270" s="2">
        <v>99.3</v>
      </c>
      <c r="P270" s="2">
        <v>80.459999999999994</v>
      </c>
      <c r="Q270" t="s">
        <v>26</v>
      </c>
    </row>
    <row r="271" spans="1:17" x14ac:dyDescent="0.2">
      <c r="A271" t="s">
        <v>436</v>
      </c>
      <c r="B271" s="1">
        <v>45687</v>
      </c>
      <c r="C271" t="s">
        <v>77</v>
      </c>
      <c r="D271" t="s">
        <v>149</v>
      </c>
      <c r="E271" t="s">
        <v>150</v>
      </c>
      <c r="F271" t="s">
        <v>130</v>
      </c>
      <c r="G271" t="s">
        <v>75</v>
      </c>
      <c r="H271" t="s">
        <v>47</v>
      </c>
      <c r="I271" t="s">
        <v>141</v>
      </c>
      <c r="J271" t="s">
        <v>372</v>
      </c>
      <c r="K271">
        <v>10</v>
      </c>
      <c r="L271" s="2">
        <v>705.11</v>
      </c>
      <c r="M271" s="3">
        <v>0</v>
      </c>
      <c r="N271" s="2">
        <v>7051.1</v>
      </c>
      <c r="O271" s="2">
        <v>4453.32</v>
      </c>
      <c r="P271" s="2">
        <v>2597.7800000000002</v>
      </c>
      <c r="Q271" t="s">
        <v>34</v>
      </c>
    </row>
    <row r="272" spans="1:17" x14ac:dyDescent="0.2">
      <c r="A272" t="s">
        <v>437</v>
      </c>
      <c r="B272" s="1">
        <v>45687</v>
      </c>
      <c r="C272" t="s">
        <v>77</v>
      </c>
      <c r="D272" t="s">
        <v>78</v>
      </c>
      <c r="E272" t="s">
        <v>261</v>
      </c>
      <c r="F272" t="s">
        <v>46</v>
      </c>
      <c r="G272" t="s">
        <v>22</v>
      </c>
      <c r="H272" t="s">
        <v>23</v>
      </c>
      <c r="I272" t="s">
        <v>55</v>
      </c>
      <c r="J272" t="s">
        <v>173</v>
      </c>
      <c r="K272">
        <v>5</v>
      </c>
      <c r="L272" s="2">
        <v>5.0199999999999996</v>
      </c>
      <c r="M272" s="3">
        <v>0.1</v>
      </c>
      <c r="N272" s="2">
        <v>22.59</v>
      </c>
      <c r="O272" s="2">
        <v>18.2</v>
      </c>
      <c r="P272" s="2">
        <v>4.3899999999999997</v>
      </c>
      <c r="Q272" t="s">
        <v>61</v>
      </c>
    </row>
    <row r="273" spans="1:17" x14ac:dyDescent="0.2">
      <c r="A273" t="s">
        <v>438</v>
      </c>
      <c r="B273" s="1">
        <v>45687</v>
      </c>
      <c r="C273" t="s">
        <v>77</v>
      </c>
      <c r="D273" t="s">
        <v>106</v>
      </c>
      <c r="E273" t="s">
        <v>236</v>
      </c>
      <c r="F273" t="s">
        <v>138</v>
      </c>
      <c r="G273" t="s">
        <v>22</v>
      </c>
      <c r="H273" t="s">
        <v>47</v>
      </c>
      <c r="I273" t="s">
        <v>141</v>
      </c>
      <c r="J273" t="s">
        <v>201</v>
      </c>
      <c r="K273">
        <v>9</v>
      </c>
      <c r="L273" s="2">
        <v>557.36</v>
      </c>
      <c r="M273" s="3">
        <v>0.1</v>
      </c>
      <c r="N273" s="2">
        <v>4514.62</v>
      </c>
      <c r="O273" s="2">
        <v>2625.51</v>
      </c>
      <c r="P273" s="2">
        <v>1889.11</v>
      </c>
      <c r="Q273" t="s">
        <v>61</v>
      </c>
    </row>
    <row r="274" spans="1:17" x14ac:dyDescent="0.2">
      <c r="A274" t="s">
        <v>439</v>
      </c>
      <c r="B274" s="1">
        <v>45687</v>
      </c>
      <c r="C274" t="s">
        <v>36</v>
      </c>
      <c r="D274" t="s">
        <v>37</v>
      </c>
      <c r="E274" t="s">
        <v>187</v>
      </c>
      <c r="F274" t="s">
        <v>71</v>
      </c>
      <c r="G274" t="s">
        <v>22</v>
      </c>
      <c r="H274" t="s">
        <v>47</v>
      </c>
      <c r="I274" t="s">
        <v>97</v>
      </c>
      <c r="J274" t="s">
        <v>98</v>
      </c>
      <c r="K274">
        <v>8</v>
      </c>
      <c r="L274" s="2">
        <v>680.51</v>
      </c>
      <c r="M274" s="3">
        <v>0</v>
      </c>
      <c r="N274" s="2">
        <v>5444.08</v>
      </c>
      <c r="O274" s="2">
        <v>4384.84</v>
      </c>
      <c r="P274" s="2">
        <v>1059.24</v>
      </c>
      <c r="Q274" t="s">
        <v>34</v>
      </c>
    </row>
    <row r="275" spans="1:17" x14ac:dyDescent="0.2">
      <c r="A275" t="s">
        <v>440</v>
      </c>
      <c r="B275" s="1">
        <v>45687</v>
      </c>
      <c r="C275" t="s">
        <v>36</v>
      </c>
      <c r="D275" t="s">
        <v>110</v>
      </c>
      <c r="E275" t="s">
        <v>111</v>
      </c>
      <c r="F275" t="s">
        <v>71</v>
      </c>
      <c r="G275" t="s">
        <v>75</v>
      </c>
      <c r="H275" t="s">
        <v>31</v>
      </c>
      <c r="I275" t="s">
        <v>64</v>
      </c>
      <c r="J275" t="s">
        <v>126</v>
      </c>
      <c r="K275">
        <v>6</v>
      </c>
      <c r="L275" s="2">
        <v>94.74</v>
      </c>
      <c r="M275" s="3">
        <v>0.15</v>
      </c>
      <c r="N275" s="2">
        <v>483.17</v>
      </c>
      <c r="O275" s="2">
        <v>382.92</v>
      </c>
      <c r="P275" s="2">
        <v>100.25</v>
      </c>
      <c r="Q275" t="s">
        <v>61</v>
      </c>
    </row>
    <row r="276" spans="1:17" x14ac:dyDescent="0.2">
      <c r="A276" t="s">
        <v>441</v>
      </c>
      <c r="B276" s="1">
        <v>45687</v>
      </c>
      <c r="C276" t="s">
        <v>36</v>
      </c>
      <c r="D276" t="s">
        <v>73</v>
      </c>
      <c r="E276" t="s">
        <v>74</v>
      </c>
      <c r="F276" t="s">
        <v>53</v>
      </c>
      <c r="G276" t="s">
        <v>22</v>
      </c>
      <c r="H276" t="s">
        <v>47</v>
      </c>
      <c r="I276" t="s">
        <v>89</v>
      </c>
      <c r="J276" t="s">
        <v>204</v>
      </c>
      <c r="K276">
        <v>1</v>
      </c>
      <c r="L276" s="2">
        <v>316.86</v>
      </c>
      <c r="M276" s="3">
        <v>0.1</v>
      </c>
      <c r="N276" s="2">
        <v>285.17</v>
      </c>
      <c r="O276" s="2">
        <v>231.77</v>
      </c>
      <c r="P276" s="2">
        <v>53.4</v>
      </c>
      <c r="Q276" t="s">
        <v>34</v>
      </c>
    </row>
    <row r="277" spans="1:17" x14ac:dyDescent="0.2">
      <c r="A277" t="s">
        <v>442</v>
      </c>
      <c r="B277" s="1">
        <v>45687</v>
      </c>
      <c r="C277" t="s">
        <v>18</v>
      </c>
      <c r="D277" t="s">
        <v>152</v>
      </c>
      <c r="E277" t="s">
        <v>185</v>
      </c>
      <c r="F277" t="s">
        <v>21</v>
      </c>
      <c r="G277" t="s">
        <v>75</v>
      </c>
      <c r="H277" t="s">
        <v>47</v>
      </c>
      <c r="I277" t="s">
        <v>97</v>
      </c>
      <c r="J277" t="s">
        <v>116</v>
      </c>
      <c r="K277">
        <v>9</v>
      </c>
      <c r="L277" s="2">
        <v>367.45</v>
      </c>
      <c r="M277" s="3">
        <v>0.2</v>
      </c>
      <c r="N277" s="2">
        <v>2645.64</v>
      </c>
      <c r="O277" s="2">
        <v>2132.62</v>
      </c>
      <c r="P277" s="2">
        <v>513.02</v>
      </c>
      <c r="Q277" t="s">
        <v>34</v>
      </c>
    </row>
    <row r="278" spans="1:17" x14ac:dyDescent="0.2">
      <c r="A278" t="s">
        <v>443</v>
      </c>
      <c r="B278" s="1">
        <v>45687</v>
      </c>
      <c r="C278" t="s">
        <v>77</v>
      </c>
      <c r="D278" t="s">
        <v>149</v>
      </c>
      <c r="E278" t="s">
        <v>150</v>
      </c>
      <c r="F278" t="s">
        <v>53</v>
      </c>
      <c r="G278" t="s">
        <v>22</v>
      </c>
      <c r="H278" t="s">
        <v>31</v>
      </c>
      <c r="I278" t="s">
        <v>64</v>
      </c>
      <c r="J278" t="s">
        <v>126</v>
      </c>
      <c r="K278">
        <v>9</v>
      </c>
      <c r="L278" s="2">
        <v>124.36</v>
      </c>
      <c r="M278" s="3">
        <v>0</v>
      </c>
      <c r="N278" s="2">
        <v>1119.24</v>
      </c>
      <c r="O278" s="2">
        <v>774.49</v>
      </c>
      <c r="P278" s="2">
        <v>344.75</v>
      </c>
      <c r="Q278" t="s">
        <v>26</v>
      </c>
    </row>
    <row r="279" spans="1:17" x14ac:dyDescent="0.2">
      <c r="A279" t="s">
        <v>444</v>
      </c>
      <c r="B279" s="1">
        <v>45687</v>
      </c>
      <c r="C279" t="s">
        <v>43</v>
      </c>
      <c r="D279" t="s">
        <v>161</v>
      </c>
      <c r="E279" t="s">
        <v>172</v>
      </c>
      <c r="F279" t="s">
        <v>71</v>
      </c>
      <c r="G279" t="s">
        <v>75</v>
      </c>
      <c r="H279" t="s">
        <v>31</v>
      </c>
      <c r="I279" t="s">
        <v>40</v>
      </c>
      <c r="J279" t="s">
        <v>122</v>
      </c>
      <c r="K279">
        <v>3</v>
      </c>
      <c r="L279" s="2">
        <v>214.35</v>
      </c>
      <c r="M279" s="3">
        <v>0</v>
      </c>
      <c r="N279" s="2">
        <v>643.04999999999995</v>
      </c>
      <c r="O279" s="2">
        <v>386.7</v>
      </c>
      <c r="P279" s="2">
        <v>256.35000000000002</v>
      </c>
      <c r="Q279" t="s">
        <v>34</v>
      </c>
    </row>
    <row r="280" spans="1:17" x14ac:dyDescent="0.2">
      <c r="A280" t="s">
        <v>445</v>
      </c>
      <c r="B280" s="1">
        <v>45688</v>
      </c>
      <c r="C280" t="s">
        <v>43</v>
      </c>
      <c r="D280" t="s">
        <v>51</v>
      </c>
      <c r="E280" t="s">
        <v>59</v>
      </c>
      <c r="F280" t="s">
        <v>21</v>
      </c>
      <c r="G280" t="s">
        <v>22</v>
      </c>
      <c r="H280" t="s">
        <v>31</v>
      </c>
      <c r="I280" t="s">
        <v>64</v>
      </c>
      <c r="J280" t="s">
        <v>126</v>
      </c>
      <c r="K280">
        <v>2</v>
      </c>
      <c r="L280" s="2">
        <v>128.87</v>
      </c>
      <c r="M280" s="3">
        <v>0.05</v>
      </c>
      <c r="N280" s="2">
        <v>244.85</v>
      </c>
      <c r="O280" s="2">
        <v>144.31</v>
      </c>
      <c r="P280" s="2">
        <v>100.54</v>
      </c>
      <c r="Q280" t="s">
        <v>57</v>
      </c>
    </row>
    <row r="281" spans="1:17" x14ac:dyDescent="0.2">
      <c r="A281" t="s">
        <v>446</v>
      </c>
      <c r="B281" s="1">
        <v>45688</v>
      </c>
      <c r="C281" t="s">
        <v>43</v>
      </c>
      <c r="D281" t="s">
        <v>244</v>
      </c>
      <c r="E281" t="s">
        <v>326</v>
      </c>
      <c r="F281" t="s">
        <v>138</v>
      </c>
      <c r="G281" t="s">
        <v>22</v>
      </c>
      <c r="H281" t="s">
        <v>23</v>
      </c>
      <c r="I281" t="s">
        <v>79</v>
      </c>
      <c r="J281" t="s">
        <v>179</v>
      </c>
      <c r="K281">
        <v>1</v>
      </c>
      <c r="L281" s="2">
        <v>583.47</v>
      </c>
      <c r="M281" s="3">
        <v>0</v>
      </c>
      <c r="N281" s="2">
        <v>583.47</v>
      </c>
      <c r="O281" s="2">
        <v>406.38</v>
      </c>
      <c r="P281" s="2">
        <v>177.09</v>
      </c>
      <c r="Q281" t="s">
        <v>26</v>
      </c>
    </row>
    <row r="282" spans="1:17" x14ac:dyDescent="0.2">
      <c r="A282" t="s">
        <v>447</v>
      </c>
      <c r="B282" s="1">
        <v>45688</v>
      </c>
      <c r="C282" t="s">
        <v>36</v>
      </c>
      <c r="D282" t="s">
        <v>67</v>
      </c>
      <c r="E282" t="s">
        <v>270</v>
      </c>
      <c r="F282" t="s">
        <v>71</v>
      </c>
      <c r="G282" t="s">
        <v>22</v>
      </c>
      <c r="H282" t="s">
        <v>23</v>
      </c>
      <c r="I282" t="s">
        <v>83</v>
      </c>
      <c r="J282" t="s">
        <v>120</v>
      </c>
      <c r="K282">
        <v>10</v>
      </c>
      <c r="L282" s="2">
        <v>15.7</v>
      </c>
      <c r="M282" s="3">
        <v>0</v>
      </c>
      <c r="N282" s="2">
        <v>157</v>
      </c>
      <c r="O282" s="2">
        <v>122.43</v>
      </c>
      <c r="P282" s="2">
        <v>34.57</v>
      </c>
      <c r="Q282" t="s">
        <v>26</v>
      </c>
    </row>
    <row r="283" spans="1:17" x14ac:dyDescent="0.2">
      <c r="A283" t="s">
        <v>448</v>
      </c>
      <c r="B283" s="1">
        <v>45688</v>
      </c>
      <c r="C283" t="s">
        <v>36</v>
      </c>
      <c r="D283" t="s">
        <v>73</v>
      </c>
      <c r="E283" t="s">
        <v>212</v>
      </c>
      <c r="F283" t="s">
        <v>71</v>
      </c>
      <c r="G283" t="s">
        <v>22</v>
      </c>
      <c r="H283" t="s">
        <v>23</v>
      </c>
      <c r="I283" t="s">
        <v>24</v>
      </c>
      <c r="J283" t="s">
        <v>220</v>
      </c>
      <c r="K283">
        <v>2</v>
      </c>
      <c r="L283" s="2">
        <v>13.18</v>
      </c>
      <c r="M283" s="3">
        <v>0.05</v>
      </c>
      <c r="N283" s="2">
        <v>25.04</v>
      </c>
      <c r="O283" s="2">
        <v>15.69</v>
      </c>
      <c r="P283" s="2">
        <v>9.35</v>
      </c>
      <c r="Q283" t="s">
        <v>57</v>
      </c>
    </row>
    <row r="284" spans="1:17" x14ac:dyDescent="0.2">
      <c r="A284" t="s">
        <v>449</v>
      </c>
      <c r="B284" s="1">
        <v>45688</v>
      </c>
      <c r="C284" t="s">
        <v>43</v>
      </c>
      <c r="D284" t="s">
        <v>51</v>
      </c>
      <c r="E284" t="s">
        <v>63</v>
      </c>
      <c r="F284" t="s">
        <v>69</v>
      </c>
      <c r="G284" t="s">
        <v>75</v>
      </c>
      <c r="H284" t="s">
        <v>23</v>
      </c>
      <c r="I284" t="s">
        <v>24</v>
      </c>
      <c r="J284" t="s">
        <v>25</v>
      </c>
      <c r="K284">
        <v>10</v>
      </c>
      <c r="L284" s="2">
        <v>29.27</v>
      </c>
      <c r="M284" s="3">
        <v>0.15</v>
      </c>
      <c r="N284" s="2">
        <v>248.8</v>
      </c>
      <c r="O284" s="2">
        <v>152.30000000000001</v>
      </c>
      <c r="P284" s="2">
        <v>96.5</v>
      </c>
      <c r="Q284" t="s">
        <v>34</v>
      </c>
    </row>
    <row r="285" spans="1:17" x14ac:dyDescent="0.2">
      <c r="A285" t="s">
        <v>450</v>
      </c>
      <c r="B285" s="1">
        <v>45688</v>
      </c>
      <c r="C285" t="s">
        <v>18</v>
      </c>
      <c r="D285" t="s">
        <v>152</v>
      </c>
      <c r="E285" t="s">
        <v>185</v>
      </c>
      <c r="F285" t="s">
        <v>60</v>
      </c>
      <c r="G285" t="s">
        <v>75</v>
      </c>
      <c r="H285" t="s">
        <v>31</v>
      </c>
      <c r="I285" t="s">
        <v>64</v>
      </c>
      <c r="J285" t="s">
        <v>65</v>
      </c>
      <c r="K285">
        <v>4</v>
      </c>
      <c r="L285" s="2">
        <v>56.91</v>
      </c>
      <c r="M285" s="3">
        <v>0.15</v>
      </c>
      <c r="N285" s="2">
        <v>193.49</v>
      </c>
      <c r="O285" s="2">
        <v>110.26</v>
      </c>
      <c r="P285" s="2">
        <v>83.23</v>
      </c>
      <c r="Q285" t="s">
        <v>26</v>
      </c>
    </row>
    <row r="286" spans="1:17" x14ac:dyDescent="0.2">
      <c r="A286" t="s">
        <v>451</v>
      </c>
      <c r="B286" s="1">
        <v>45688</v>
      </c>
      <c r="C286" t="s">
        <v>36</v>
      </c>
      <c r="D286" t="s">
        <v>67</v>
      </c>
      <c r="E286" t="s">
        <v>323</v>
      </c>
      <c r="F286" t="s">
        <v>71</v>
      </c>
      <c r="G286" t="s">
        <v>22</v>
      </c>
      <c r="H286" t="s">
        <v>31</v>
      </c>
      <c r="I286" t="s">
        <v>32</v>
      </c>
      <c r="J286" t="s">
        <v>258</v>
      </c>
      <c r="K286">
        <v>6</v>
      </c>
      <c r="L286" s="2">
        <v>1168.03</v>
      </c>
      <c r="M286" s="3">
        <v>0</v>
      </c>
      <c r="N286" s="2">
        <v>7008.18</v>
      </c>
      <c r="O286" s="2">
        <v>4172.66</v>
      </c>
      <c r="P286" s="2">
        <v>2835.52</v>
      </c>
      <c r="Q286" t="s">
        <v>26</v>
      </c>
    </row>
    <row r="287" spans="1:17" x14ac:dyDescent="0.2">
      <c r="A287" t="s">
        <v>452</v>
      </c>
      <c r="B287" s="1">
        <v>45688</v>
      </c>
      <c r="C287" t="s">
        <v>18</v>
      </c>
      <c r="D287" t="s">
        <v>19</v>
      </c>
      <c r="E287" t="s">
        <v>20</v>
      </c>
      <c r="F287" t="s">
        <v>39</v>
      </c>
      <c r="G287" t="s">
        <v>75</v>
      </c>
      <c r="H287" t="s">
        <v>31</v>
      </c>
      <c r="I287" t="s">
        <v>64</v>
      </c>
      <c r="J287" t="s">
        <v>65</v>
      </c>
      <c r="K287">
        <v>4</v>
      </c>
      <c r="L287" s="2">
        <v>101.63</v>
      </c>
      <c r="M287" s="3">
        <v>0.1</v>
      </c>
      <c r="N287" s="2">
        <v>365.87</v>
      </c>
      <c r="O287" s="2">
        <v>227.36</v>
      </c>
      <c r="P287" s="2">
        <v>138.51</v>
      </c>
      <c r="Q287" t="s">
        <v>34</v>
      </c>
    </row>
    <row r="288" spans="1:17" x14ac:dyDescent="0.2">
      <c r="A288" t="s">
        <v>453</v>
      </c>
      <c r="B288" s="1">
        <v>45688</v>
      </c>
      <c r="C288" t="s">
        <v>18</v>
      </c>
      <c r="D288" t="s">
        <v>28</v>
      </c>
      <c r="E288" t="s">
        <v>157</v>
      </c>
      <c r="F288" t="s">
        <v>130</v>
      </c>
      <c r="G288" t="s">
        <v>54</v>
      </c>
      <c r="H288" t="s">
        <v>31</v>
      </c>
      <c r="I288" t="s">
        <v>40</v>
      </c>
      <c r="J288" t="s">
        <v>122</v>
      </c>
      <c r="K288">
        <v>6</v>
      </c>
      <c r="L288" s="2">
        <v>154.19999999999999</v>
      </c>
      <c r="M288" s="3">
        <v>0.1</v>
      </c>
      <c r="N288" s="2">
        <v>832.68</v>
      </c>
      <c r="O288" s="2">
        <v>548.94000000000005</v>
      </c>
      <c r="P288" s="2">
        <v>283.74</v>
      </c>
      <c r="Q288" t="s">
        <v>57</v>
      </c>
    </row>
    <row r="289" spans="1:17" x14ac:dyDescent="0.2">
      <c r="A289" t="s">
        <v>454</v>
      </c>
      <c r="B289" s="1">
        <v>45689</v>
      </c>
      <c r="C289" t="s">
        <v>36</v>
      </c>
      <c r="D289" t="s">
        <v>67</v>
      </c>
      <c r="E289" t="s">
        <v>323</v>
      </c>
      <c r="F289" t="s">
        <v>71</v>
      </c>
      <c r="G289" t="s">
        <v>54</v>
      </c>
      <c r="H289" t="s">
        <v>31</v>
      </c>
      <c r="I289" t="s">
        <v>112</v>
      </c>
      <c r="J289" t="s">
        <v>113</v>
      </c>
      <c r="K289">
        <v>5</v>
      </c>
      <c r="L289" s="2">
        <v>173.06</v>
      </c>
      <c r="M289" s="3">
        <v>0</v>
      </c>
      <c r="N289" s="2">
        <v>865.3</v>
      </c>
      <c r="O289" s="2">
        <v>528.32000000000005</v>
      </c>
      <c r="P289" s="2">
        <v>336.98</v>
      </c>
      <c r="Q289" t="s">
        <v>26</v>
      </c>
    </row>
    <row r="290" spans="1:17" x14ac:dyDescent="0.2">
      <c r="A290" t="s">
        <v>455</v>
      </c>
      <c r="B290" s="1">
        <v>45689</v>
      </c>
      <c r="C290" t="s">
        <v>36</v>
      </c>
      <c r="D290" t="s">
        <v>67</v>
      </c>
      <c r="E290" t="s">
        <v>270</v>
      </c>
      <c r="F290" t="s">
        <v>71</v>
      </c>
      <c r="G290" t="s">
        <v>22</v>
      </c>
      <c r="H290" t="s">
        <v>31</v>
      </c>
      <c r="I290" t="s">
        <v>40</v>
      </c>
      <c r="J290" t="s">
        <v>216</v>
      </c>
      <c r="K290">
        <v>10</v>
      </c>
      <c r="L290" s="2">
        <v>181.76</v>
      </c>
      <c r="M290" s="3">
        <v>0.1</v>
      </c>
      <c r="N290" s="2">
        <v>1635.84</v>
      </c>
      <c r="O290" s="2">
        <v>1136.06</v>
      </c>
      <c r="P290" s="2">
        <v>499.78</v>
      </c>
      <c r="Q290" t="s">
        <v>57</v>
      </c>
    </row>
    <row r="291" spans="1:17" x14ac:dyDescent="0.2">
      <c r="A291" t="s">
        <v>456</v>
      </c>
      <c r="B291" s="1">
        <v>45689</v>
      </c>
      <c r="C291" t="s">
        <v>36</v>
      </c>
      <c r="D291" t="s">
        <v>73</v>
      </c>
      <c r="E291" t="s">
        <v>247</v>
      </c>
      <c r="F291" t="s">
        <v>53</v>
      </c>
      <c r="G291" t="s">
        <v>22</v>
      </c>
      <c r="H291" t="s">
        <v>47</v>
      </c>
      <c r="I291" t="s">
        <v>48</v>
      </c>
      <c r="J291" t="s">
        <v>49</v>
      </c>
      <c r="K291">
        <v>7</v>
      </c>
      <c r="L291" s="2">
        <v>553.12</v>
      </c>
      <c r="M291" s="3">
        <v>0.05</v>
      </c>
      <c r="N291" s="2">
        <v>3678.25</v>
      </c>
      <c r="O291" s="2">
        <v>2352.65</v>
      </c>
      <c r="P291" s="2">
        <v>1325.6</v>
      </c>
      <c r="Q291" t="s">
        <v>34</v>
      </c>
    </row>
    <row r="292" spans="1:17" x14ac:dyDescent="0.2">
      <c r="A292" t="s">
        <v>457</v>
      </c>
      <c r="B292" s="1">
        <v>45689</v>
      </c>
      <c r="C292" t="s">
        <v>77</v>
      </c>
      <c r="D292" t="s">
        <v>106</v>
      </c>
      <c r="E292" t="s">
        <v>303</v>
      </c>
      <c r="F292" t="s">
        <v>71</v>
      </c>
      <c r="G292" t="s">
        <v>75</v>
      </c>
      <c r="H292" t="s">
        <v>23</v>
      </c>
      <c r="I292" t="s">
        <v>83</v>
      </c>
      <c r="J292" t="s">
        <v>84</v>
      </c>
      <c r="K292">
        <v>6</v>
      </c>
      <c r="L292" s="2">
        <v>32.61</v>
      </c>
      <c r="M292" s="3">
        <v>0.15</v>
      </c>
      <c r="N292" s="2">
        <v>166.31</v>
      </c>
      <c r="O292" s="2">
        <v>116.88</v>
      </c>
      <c r="P292" s="2">
        <v>49.43</v>
      </c>
      <c r="Q292" t="s">
        <v>61</v>
      </c>
    </row>
    <row r="293" spans="1:17" x14ac:dyDescent="0.2">
      <c r="A293" t="s">
        <v>458</v>
      </c>
      <c r="B293" s="1">
        <v>45689</v>
      </c>
      <c r="C293" t="s">
        <v>36</v>
      </c>
      <c r="D293" t="s">
        <v>144</v>
      </c>
      <c r="E293" t="s">
        <v>232</v>
      </c>
      <c r="F293" t="s">
        <v>69</v>
      </c>
      <c r="G293" t="s">
        <v>22</v>
      </c>
      <c r="H293" t="s">
        <v>23</v>
      </c>
      <c r="I293" t="s">
        <v>79</v>
      </c>
      <c r="J293" t="s">
        <v>179</v>
      </c>
      <c r="K293">
        <v>1</v>
      </c>
      <c r="L293" s="2">
        <v>479.55</v>
      </c>
      <c r="M293" s="3">
        <v>0.15</v>
      </c>
      <c r="N293" s="2">
        <v>407.62</v>
      </c>
      <c r="O293" s="2">
        <v>295.47000000000003</v>
      </c>
      <c r="P293" s="2">
        <v>112.15</v>
      </c>
      <c r="Q293" t="s">
        <v>26</v>
      </c>
    </row>
    <row r="294" spans="1:17" x14ac:dyDescent="0.2">
      <c r="A294" t="s">
        <v>459</v>
      </c>
      <c r="B294" s="1">
        <v>45689</v>
      </c>
      <c r="C294" t="s">
        <v>77</v>
      </c>
      <c r="D294" t="s">
        <v>106</v>
      </c>
      <c r="E294" t="s">
        <v>107</v>
      </c>
      <c r="F294" t="s">
        <v>60</v>
      </c>
      <c r="G294" t="s">
        <v>22</v>
      </c>
      <c r="H294" t="s">
        <v>47</v>
      </c>
      <c r="I294" t="s">
        <v>141</v>
      </c>
      <c r="J294" t="s">
        <v>201</v>
      </c>
      <c r="K294">
        <v>10</v>
      </c>
      <c r="L294" s="2">
        <v>351.67</v>
      </c>
      <c r="M294" s="3">
        <v>0.1</v>
      </c>
      <c r="N294" s="2">
        <v>3165.03</v>
      </c>
      <c r="O294" s="2">
        <v>2566.62</v>
      </c>
      <c r="P294" s="2">
        <v>598.41</v>
      </c>
      <c r="Q294" t="s">
        <v>26</v>
      </c>
    </row>
    <row r="295" spans="1:17" x14ac:dyDescent="0.2">
      <c r="A295" t="s">
        <v>460</v>
      </c>
      <c r="B295" s="1">
        <v>45689</v>
      </c>
      <c r="C295" t="s">
        <v>18</v>
      </c>
      <c r="D295" t="s">
        <v>86</v>
      </c>
      <c r="E295" t="s">
        <v>92</v>
      </c>
      <c r="F295" t="s">
        <v>60</v>
      </c>
      <c r="G295" t="s">
        <v>75</v>
      </c>
      <c r="H295" t="s">
        <v>31</v>
      </c>
      <c r="I295" t="s">
        <v>112</v>
      </c>
      <c r="J295" t="s">
        <v>136</v>
      </c>
      <c r="K295">
        <v>7</v>
      </c>
      <c r="L295" s="2">
        <v>276.39999999999998</v>
      </c>
      <c r="M295" s="3">
        <v>0.1</v>
      </c>
      <c r="N295" s="2">
        <v>1741.32</v>
      </c>
      <c r="O295" s="2">
        <v>1274.24</v>
      </c>
      <c r="P295" s="2">
        <v>467.08</v>
      </c>
      <c r="Q295" t="s">
        <v>61</v>
      </c>
    </row>
    <row r="296" spans="1:17" x14ac:dyDescent="0.2">
      <c r="A296" t="s">
        <v>461</v>
      </c>
      <c r="B296" s="1">
        <v>45689</v>
      </c>
      <c r="C296" t="s">
        <v>36</v>
      </c>
      <c r="D296" t="s">
        <v>110</v>
      </c>
      <c r="E296" t="s">
        <v>115</v>
      </c>
      <c r="F296" t="s">
        <v>60</v>
      </c>
      <c r="G296" t="s">
        <v>75</v>
      </c>
      <c r="H296" t="s">
        <v>23</v>
      </c>
      <c r="I296" t="s">
        <v>55</v>
      </c>
      <c r="J296" t="s">
        <v>102</v>
      </c>
      <c r="K296">
        <v>5</v>
      </c>
      <c r="L296" s="2">
        <v>12.44</v>
      </c>
      <c r="M296" s="3">
        <v>0.05</v>
      </c>
      <c r="N296" s="2">
        <v>59.09</v>
      </c>
      <c r="O296" s="2">
        <v>39.14</v>
      </c>
      <c r="P296" s="2">
        <v>19.95</v>
      </c>
      <c r="Q296" t="s">
        <v>57</v>
      </c>
    </row>
    <row r="297" spans="1:17" x14ac:dyDescent="0.2">
      <c r="A297" t="s">
        <v>462</v>
      </c>
      <c r="B297" s="1">
        <v>45689</v>
      </c>
      <c r="C297" t="s">
        <v>43</v>
      </c>
      <c r="D297" t="s">
        <v>44</v>
      </c>
      <c r="E297" t="s">
        <v>147</v>
      </c>
      <c r="F297" t="s">
        <v>53</v>
      </c>
      <c r="G297" t="s">
        <v>22</v>
      </c>
      <c r="H297" t="s">
        <v>31</v>
      </c>
      <c r="I297" t="s">
        <v>64</v>
      </c>
      <c r="J297" t="s">
        <v>126</v>
      </c>
      <c r="K297">
        <v>8</v>
      </c>
      <c r="L297" s="2">
        <v>137.9</v>
      </c>
      <c r="M297" s="3">
        <v>0.15</v>
      </c>
      <c r="N297" s="2">
        <v>937.72</v>
      </c>
      <c r="O297" s="2">
        <v>527.92999999999995</v>
      </c>
      <c r="P297" s="2">
        <v>409.79</v>
      </c>
      <c r="Q297" t="s">
        <v>26</v>
      </c>
    </row>
    <row r="298" spans="1:17" x14ac:dyDescent="0.2">
      <c r="A298" t="s">
        <v>463</v>
      </c>
      <c r="B298" s="1">
        <v>45689</v>
      </c>
      <c r="C298" t="s">
        <v>18</v>
      </c>
      <c r="D298" t="s">
        <v>152</v>
      </c>
      <c r="E298" t="s">
        <v>166</v>
      </c>
      <c r="F298" t="s">
        <v>138</v>
      </c>
      <c r="G298" t="s">
        <v>54</v>
      </c>
      <c r="H298" t="s">
        <v>47</v>
      </c>
      <c r="I298" t="s">
        <v>48</v>
      </c>
      <c r="J298" t="s">
        <v>93</v>
      </c>
      <c r="K298">
        <v>9</v>
      </c>
      <c r="L298" s="2">
        <v>897.92</v>
      </c>
      <c r="M298" s="3">
        <v>0</v>
      </c>
      <c r="N298" s="2">
        <v>8081.28</v>
      </c>
      <c r="O298" s="2">
        <v>6494.68</v>
      </c>
      <c r="P298" s="2">
        <v>1586.6</v>
      </c>
      <c r="Q298" t="s">
        <v>26</v>
      </c>
    </row>
    <row r="299" spans="1:17" x14ac:dyDescent="0.2">
      <c r="A299" t="s">
        <v>464</v>
      </c>
      <c r="B299" s="1">
        <v>45689</v>
      </c>
      <c r="C299" t="s">
        <v>18</v>
      </c>
      <c r="D299" t="s">
        <v>152</v>
      </c>
      <c r="E299" t="s">
        <v>185</v>
      </c>
      <c r="F299" t="s">
        <v>21</v>
      </c>
      <c r="G299" t="s">
        <v>75</v>
      </c>
      <c r="H299" t="s">
        <v>47</v>
      </c>
      <c r="I299" t="s">
        <v>141</v>
      </c>
      <c r="J299" t="s">
        <v>142</v>
      </c>
      <c r="K299">
        <v>8</v>
      </c>
      <c r="L299" s="2">
        <v>735.79</v>
      </c>
      <c r="M299" s="3">
        <v>0</v>
      </c>
      <c r="N299" s="2">
        <v>5886.32</v>
      </c>
      <c r="O299" s="2">
        <v>4731.99</v>
      </c>
      <c r="P299" s="2">
        <v>1154.33</v>
      </c>
      <c r="Q299" t="s">
        <v>34</v>
      </c>
    </row>
    <row r="300" spans="1:17" x14ac:dyDescent="0.2">
      <c r="A300" t="s">
        <v>465</v>
      </c>
      <c r="B300" s="1">
        <v>45689</v>
      </c>
      <c r="C300" t="s">
        <v>43</v>
      </c>
      <c r="D300" t="s">
        <v>44</v>
      </c>
      <c r="E300" t="s">
        <v>147</v>
      </c>
      <c r="F300" t="s">
        <v>69</v>
      </c>
      <c r="G300" t="s">
        <v>54</v>
      </c>
      <c r="H300" t="s">
        <v>23</v>
      </c>
      <c r="I300" t="s">
        <v>24</v>
      </c>
      <c r="J300" t="s">
        <v>108</v>
      </c>
      <c r="K300">
        <v>5</v>
      </c>
      <c r="L300" s="2">
        <v>25.88</v>
      </c>
      <c r="M300" s="3">
        <v>0.15</v>
      </c>
      <c r="N300" s="2">
        <v>109.99</v>
      </c>
      <c r="O300" s="2">
        <v>73.680000000000007</v>
      </c>
      <c r="P300" s="2">
        <v>36.31</v>
      </c>
      <c r="Q300" t="s">
        <v>57</v>
      </c>
    </row>
    <row r="301" spans="1:17" x14ac:dyDescent="0.2">
      <c r="A301" t="s">
        <v>466</v>
      </c>
      <c r="B301" s="1">
        <v>45689</v>
      </c>
      <c r="C301" t="s">
        <v>43</v>
      </c>
      <c r="D301" t="s">
        <v>161</v>
      </c>
      <c r="E301" t="s">
        <v>172</v>
      </c>
      <c r="F301" t="s">
        <v>53</v>
      </c>
      <c r="G301" t="s">
        <v>22</v>
      </c>
      <c r="H301" t="s">
        <v>31</v>
      </c>
      <c r="I301" t="s">
        <v>64</v>
      </c>
      <c r="J301" t="s">
        <v>252</v>
      </c>
      <c r="K301">
        <v>3</v>
      </c>
      <c r="L301" s="2">
        <v>40.36</v>
      </c>
      <c r="M301" s="3">
        <v>0.1</v>
      </c>
      <c r="N301" s="2">
        <v>108.97</v>
      </c>
      <c r="O301" s="2">
        <v>82.3</v>
      </c>
      <c r="P301" s="2">
        <v>26.67</v>
      </c>
      <c r="Q301" t="s">
        <v>34</v>
      </c>
    </row>
    <row r="302" spans="1:17" x14ac:dyDescent="0.2">
      <c r="A302" t="s">
        <v>467</v>
      </c>
      <c r="B302" s="1">
        <v>45689</v>
      </c>
      <c r="C302" t="s">
        <v>43</v>
      </c>
      <c r="D302" t="s">
        <v>44</v>
      </c>
      <c r="E302" t="s">
        <v>45</v>
      </c>
      <c r="F302" t="s">
        <v>39</v>
      </c>
      <c r="G302" t="s">
        <v>22</v>
      </c>
      <c r="H302" t="s">
        <v>23</v>
      </c>
      <c r="I302" t="s">
        <v>55</v>
      </c>
      <c r="J302" t="s">
        <v>102</v>
      </c>
      <c r="K302">
        <v>4</v>
      </c>
      <c r="L302" s="2">
        <v>13.33</v>
      </c>
      <c r="M302" s="3">
        <v>0.1</v>
      </c>
      <c r="N302" s="2">
        <v>47.99</v>
      </c>
      <c r="O302" s="2">
        <v>34.61</v>
      </c>
      <c r="P302" s="2">
        <v>13.38</v>
      </c>
      <c r="Q302" t="s">
        <v>26</v>
      </c>
    </row>
    <row r="303" spans="1:17" x14ac:dyDescent="0.2">
      <c r="A303" t="s">
        <v>468</v>
      </c>
      <c r="B303" s="1">
        <v>45690</v>
      </c>
      <c r="C303" t="s">
        <v>43</v>
      </c>
      <c r="D303" t="s">
        <v>161</v>
      </c>
      <c r="E303" t="s">
        <v>162</v>
      </c>
      <c r="F303" t="s">
        <v>138</v>
      </c>
      <c r="G303" t="s">
        <v>75</v>
      </c>
      <c r="H303" t="s">
        <v>31</v>
      </c>
      <c r="I303" t="s">
        <v>32</v>
      </c>
      <c r="J303" t="s">
        <v>104</v>
      </c>
      <c r="K303">
        <v>4</v>
      </c>
      <c r="L303" s="2">
        <v>774.59</v>
      </c>
      <c r="M303" s="3">
        <v>0.05</v>
      </c>
      <c r="N303" s="2">
        <v>2943.44</v>
      </c>
      <c r="O303" s="2">
        <v>2344.5500000000002</v>
      </c>
      <c r="P303" s="2">
        <v>598.89</v>
      </c>
      <c r="Q303" t="s">
        <v>61</v>
      </c>
    </row>
    <row r="304" spans="1:17" x14ac:dyDescent="0.2">
      <c r="A304" t="s">
        <v>469</v>
      </c>
      <c r="B304" s="1">
        <v>45690</v>
      </c>
      <c r="C304" t="s">
        <v>43</v>
      </c>
      <c r="D304" t="s">
        <v>161</v>
      </c>
      <c r="E304" t="s">
        <v>162</v>
      </c>
      <c r="F304" t="s">
        <v>21</v>
      </c>
      <c r="G304" t="s">
        <v>75</v>
      </c>
      <c r="H304" t="s">
        <v>31</v>
      </c>
      <c r="I304" t="s">
        <v>40</v>
      </c>
      <c r="J304" t="s">
        <v>216</v>
      </c>
      <c r="K304">
        <v>10</v>
      </c>
      <c r="L304" s="2">
        <v>89.4</v>
      </c>
      <c r="M304" s="3">
        <v>0</v>
      </c>
      <c r="N304" s="2">
        <v>894</v>
      </c>
      <c r="O304" s="2">
        <v>726.97</v>
      </c>
      <c r="P304" s="2">
        <v>167.03</v>
      </c>
      <c r="Q304" t="s">
        <v>61</v>
      </c>
    </row>
    <row r="305" spans="1:17" x14ac:dyDescent="0.2">
      <c r="A305" t="s">
        <v>470</v>
      </c>
      <c r="B305" s="1">
        <v>45690</v>
      </c>
      <c r="C305" t="s">
        <v>77</v>
      </c>
      <c r="D305" t="s">
        <v>106</v>
      </c>
      <c r="E305" t="s">
        <v>107</v>
      </c>
      <c r="F305" t="s">
        <v>39</v>
      </c>
      <c r="G305" t="s">
        <v>22</v>
      </c>
      <c r="H305" t="s">
        <v>23</v>
      </c>
      <c r="I305" t="s">
        <v>83</v>
      </c>
      <c r="J305" t="s">
        <v>84</v>
      </c>
      <c r="K305">
        <v>10</v>
      </c>
      <c r="L305" s="2">
        <v>34.56</v>
      </c>
      <c r="M305" s="3">
        <v>0.05</v>
      </c>
      <c r="N305" s="2">
        <v>328.32</v>
      </c>
      <c r="O305" s="2">
        <v>184.45</v>
      </c>
      <c r="P305" s="2">
        <v>143.87</v>
      </c>
      <c r="Q305" t="s">
        <v>57</v>
      </c>
    </row>
    <row r="306" spans="1:17" x14ac:dyDescent="0.2">
      <c r="A306" t="s">
        <v>471</v>
      </c>
      <c r="B306" s="1">
        <v>45690</v>
      </c>
      <c r="C306" t="s">
        <v>36</v>
      </c>
      <c r="D306" t="s">
        <v>144</v>
      </c>
      <c r="E306" t="s">
        <v>145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>
        <v>10</v>
      </c>
      <c r="L306" s="2">
        <v>7.62</v>
      </c>
      <c r="M306" s="3">
        <v>0.1</v>
      </c>
      <c r="N306" s="2">
        <v>68.58</v>
      </c>
      <c r="O306" s="2">
        <v>49.46</v>
      </c>
      <c r="P306" s="2">
        <v>19.12</v>
      </c>
      <c r="Q306" t="s">
        <v>34</v>
      </c>
    </row>
    <row r="307" spans="1:17" x14ac:dyDescent="0.2">
      <c r="A307" t="s">
        <v>472</v>
      </c>
      <c r="B307" s="1">
        <v>45690</v>
      </c>
      <c r="C307" t="s">
        <v>36</v>
      </c>
      <c r="D307" t="s">
        <v>110</v>
      </c>
      <c r="E307" t="s">
        <v>111</v>
      </c>
      <c r="F307" t="s">
        <v>21</v>
      </c>
      <c r="G307" t="s">
        <v>54</v>
      </c>
      <c r="H307" t="s">
        <v>47</v>
      </c>
      <c r="I307" t="s">
        <v>48</v>
      </c>
      <c r="J307" t="s">
        <v>93</v>
      </c>
      <c r="K307">
        <v>1</v>
      </c>
      <c r="L307" s="2">
        <v>630.01</v>
      </c>
      <c r="M307" s="3">
        <v>0.15</v>
      </c>
      <c r="N307" s="2">
        <v>535.51</v>
      </c>
      <c r="O307" s="2">
        <v>345.94</v>
      </c>
      <c r="P307" s="2">
        <v>189.57</v>
      </c>
      <c r="Q307" t="s">
        <v>26</v>
      </c>
    </row>
    <row r="308" spans="1:17" x14ac:dyDescent="0.2">
      <c r="A308" t="s">
        <v>473</v>
      </c>
      <c r="B308" s="1">
        <v>45690</v>
      </c>
      <c r="C308" t="s">
        <v>18</v>
      </c>
      <c r="D308" t="s">
        <v>28</v>
      </c>
      <c r="E308" t="s">
        <v>29</v>
      </c>
      <c r="F308" t="s">
        <v>21</v>
      </c>
      <c r="G308" t="s">
        <v>22</v>
      </c>
      <c r="H308" t="s">
        <v>23</v>
      </c>
      <c r="I308" t="s">
        <v>24</v>
      </c>
      <c r="J308" t="s">
        <v>220</v>
      </c>
      <c r="K308">
        <v>1</v>
      </c>
      <c r="L308" s="2">
        <v>25.31</v>
      </c>
      <c r="M308" s="3">
        <v>0.15</v>
      </c>
      <c r="N308" s="2">
        <v>21.51</v>
      </c>
      <c r="O308" s="2">
        <v>17.510000000000002</v>
      </c>
      <c r="P308" s="2">
        <v>4</v>
      </c>
      <c r="Q308" t="s">
        <v>34</v>
      </c>
    </row>
    <row r="309" spans="1:17" x14ac:dyDescent="0.2">
      <c r="A309" t="s">
        <v>474</v>
      </c>
      <c r="B309" s="1">
        <v>45690</v>
      </c>
      <c r="C309" t="s">
        <v>43</v>
      </c>
      <c r="D309" t="s">
        <v>161</v>
      </c>
      <c r="E309" t="s">
        <v>162</v>
      </c>
      <c r="F309" t="s">
        <v>130</v>
      </c>
      <c r="G309" t="s">
        <v>75</v>
      </c>
      <c r="H309" t="s">
        <v>47</v>
      </c>
      <c r="I309" t="s">
        <v>48</v>
      </c>
      <c r="J309" t="s">
        <v>93</v>
      </c>
      <c r="K309">
        <v>3</v>
      </c>
      <c r="L309" s="2">
        <v>786.2</v>
      </c>
      <c r="M309" s="3">
        <v>0</v>
      </c>
      <c r="N309" s="2">
        <v>2358.6</v>
      </c>
      <c r="O309" s="2">
        <v>1663.71</v>
      </c>
      <c r="P309" s="2">
        <v>694.89</v>
      </c>
      <c r="Q309" t="s">
        <v>57</v>
      </c>
    </row>
    <row r="310" spans="1:17" x14ac:dyDescent="0.2">
      <c r="A310" t="s">
        <v>475</v>
      </c>
      <c r="B310" s="1">
        <v>45691</v>
      </c>
      <c r="C310" t="s">
        <v>36</v>
      </c>
      <c r="D310" t="s">
        <v>144</v>
      </c>
      <c r="E310" t="s">
        <v>145</v>
      </c>
      <c r="F310" t="s">
        <v>39</v>
      </c>
      <c r="G310" t="s">
        <v>22</v>
      </c>
      <c r="H310" t="s">
        <v>47</v>
      </c>
      <c r="I310" t="s">
        <v>141</v>
      </c>
      <c r="J310" t="s">
        <v>372</v>
      </c>
      <c r="K310">
        <v>1</v>
      </c>
      <c r="L310" s="2">
        <v>286.45</v>
      </c>
      <c r="M310" s="3">
        <v>0.15</v>
      </c>
      <c r="N310" s="2">
        <v>243.48</v>
      </c>
      <c r="O310" s="2">
        <v>136.01</v>
      </c>
      <c r="P310" s="2">
        <v>107.47</v>
      </c>
      <c r="Q310" t="s">
        <v>26</v>
      </c>
    </row>
    <row r="311" spans="1:17" x14ac:dyDescent="0.2">
      <c r="A311" t="s">
        <v>476</v>
      </c>
      <c r="B311" s="1">
        <v>45691</v>
      </c>
      <c r="C311" t="s">
        <v>18</v>
      </c>
      <c r="D311" t="s">
        <v>86</v>
      </c>
      <c r="E311" t="s">
        <v>92</v>
      </c>
      <c r="F311" t="s">
        <v>138</v>
      </c>
      <c r="G311" t="s">
        <v>54</v>
      </c>
      <c r="H311" t="s">
        <v>31</v>
      </c>
      <c r="I311" t="s">
        <v>64</v>
      </c>
      <c r="J311" t="s">
        <v>65</v>
      </c>
      <c r="K311">
        <v>10</v>
      </c>
      <c r="L311" s="2">
        <v>142.9</v>
      </c>
      <c r="M311" s="3">
        <v>0.05</v>
      </c>
      <c r="N311" s="2">
        <v>1357.55</v>
      </c>
      <c r="O311" s="2">
        <v>1003.74</v>
      </c>
      <c r="P311" s="2">
        <v>353.81</v>
      </c>
      <c r="Q311" t="s">
        <v>57</v>
      </c>
    </row>
    <row r="312" spans="1:17" x14ac:dyDescent="0.2">
      <c r="A312" t="s">
        <v>477</v>
      </c>
      <c r="B312" s="1">
        <v>45691</v>
      </c>
      <c r="C312" t="s">
        <v>18</v>
      </c>
      <c r="D312" t="s">
        <v>28</v>
      </c>
      <c r="E312" t="s">
        <v>170</v>
      </c>
      <c r="F312" t="s">
        <v>53</v>
      </c>
      <c r="G312" t="s">
        <v>22</v>
      </c>
      <c r="H312" t="s">
        <v>23</v>
      </c>
      <c r="I312" t="s">
        <v>83</v>
      </c>
      <c r="J312" t="s">
        <v>131</v>
      </c>
      <c r="K312">
        <v>9</v>
      </c>
      <c r="L312" s="2">
        <v>22.01</v>
      </c>
      <c r="M312" s="3">
        <v>0.1</v>
      </c>
      <c r="N312" s="2">
        <v>178.28</v>
      </c>
      <c r="O312" s="2">
        <v>143.30000000000001</v>
      </c>
      <c r="P312" s="2">
        <v>34.979999999999997</v>
      </c>
      <c r="Q312" t="s">
        <v>57</v>
      </c>
    </row>
    <row r="313" spans="1:17" x14ac:dyDescent="0.2">
      <c r="A313" t="s">
        <v>478</v>
      </c>
      <c r="B313" s="1">
        <v>45691</v>
      </c>
      <c r="C313" t="s">
        <v>36</v>
      </c>
      <c r="D313" t="s">
        <v>37</v>
      </c>
      <c r="E313" t="s">
        <v>38</v>
      </c>
      <c r="F313" t="s">
        <v>60</v>
      </c>
      <c r="G313" t="s">
        <v>22</v>
      </c>
      <c r="H313" t="s">
        <v>47</v>
      </c>
      <c r="I313" t="s">
        <v>141</v>
      </c>
      <c r="J313" t="s">
        <v>372</v>
      </c>
      <c r="K313">
        <v>4</v>
      </c>
      <c r="L313" s="2">
        <v>291.05</v>
      </c>
      <c r="M313" s="3">
        <v>0</v>
      </c>
      <c r="N313" s="2">
        <v>1164.2</v>
      </c>
      <c r="O313" s="2">
        <v>688.47</v>
      </c>
      <c r="P313" s="2">
        <v>475.73</v>
      </c>
      <c r="Q313" t="s">
        <v>61</v>
      </c>
    </row>
    <row r="314" spans="1:17" x14ac:dyDescent="0.2">
      <c r="A314" t="s">
        <v>479</v>
      </c>
      <c r="B314" s="1">
        <v>45691</v>
      </c>
      <c r="C314" t="s">
        <v>18</v>
      </c>
      <c r="D314" t="s">
        <v>133</v>
      </c>
      <c r="E314" t="s">
        <v>226</v>
      </c>
      <c r="F314" t="s">
        <v>53</v>
      </c>
      <c r="G314" t="s">
        <v>75</v>
      </c>
      <c r="H314" t="s">
        <v>47</v>
      </c>
      <c r="I314" t="s">
        <v>97</v>
      </c>
      <c r="J314" t="s">
        <v>98</v>
      </c>
      <c r="K314">
        <v>8</v>
      </c>
      <c r="L314" s="2">
        <v>633.84</v>
      </c>
      <c r="M314" s="3">
        <v>0.05</v>
      </c>
      <c r="N314" s="2">
        <v>4817.18</v>
      </c>
      <c r="O314" s="2">
        <v>2984.46</v>
      </c>
      <c r="P314" s="2">
        <v>1832.72</v>
      </c>
      <c r="Q314" t="s">
        <v>26</v>
      </c>
    </row>
    <row r="315" spans="1:17" x14ac:dyDescent="0.2">
      <c r="A315" t="s">
        <v>480</v>
      </c>
      <c r="B315" s="1">
        <v>45691</v>
      </c>
      <c r="C315" t="s">
        <v>43</v>
      </c>
      <c r="D315" t="s">
        <v>208</v>
      </c>
      <c r="E315" t="s">
        <v>287</v>
      </c>
      <c r="F315" t="s">
        <v>69</v>
      </c>
      <c r="G315" t="s">
        <v>22</v>
      </c>
      <c r="H315" t="s">
        <v>23</v>
      </c>
      <c r="I315" t="s">
        <v>83</v>
      </c>
      <c r="J315" t="s">
        <v>131</v>
      </c>
      <c r="K315">
        <v>10</v>
      </c>
      <c r="L315" s="2">
        <v>13.54</v>
      </c>
      <c r="M315" s="3">
        <v>0.05</v>
      </c>
      <c r="N315" s="2">
        <v>128.63</v>
      </c>
      <c r="O315" s="2">
        <v>96.91</v>
      </c>
      <c r="P315" s="2">
        <v>31.72</v>
      </c>
      <c r="Q315" t="s">
        <v>61</v>
      </c>
    </row>
    <row r="316" spans="1:17" x14ac:dyDescent="0.2">
      <c r="A316" t="s">
        <v>481</v>
      </c>
      <c r="B316" s="1">
        <v>45691</v>
      </c>
      <c r="C316" t="s">
        <v>36</v>
      </c>
      <c r="D316" t="s">
        <v>110</v>
      </c>
      <c r="E316" t="s">
        <v>203</v>
      </c>
      <c r="F316" t="s">
        <v>69</v>
      </c>
      <c r="G316" t="s">
        <v>75</v>
      </c>
      <c r="H316" t="s">
        <v>47</v>
      </c>
      <c r="I316" t="s">
        <v>97</v>
      </c>
      <c r="J316" t="s">
        <v>116</v>
      </c>
      <c r="K316">
        <v>8</v>
      </c>
      <c r="L316" s="2">
        <v>624.46</v>
      </c>
      <c r="M316" s="3">
        <v>0</v>
      </c>
      <c r="N316" s="2">
        <v>4995.68</v>
      </c>
      <c r="O316" s="2">
        <v>3293.3</v>
      </c>
      <c r="P316" s="2">
        <v>1702.38</v>
      </c>
      <c r="Q316" t="s">
        <v>34</v>
      </c>
    </row>
    <row r="317" spans="1:17" x14ac:dyDescent="0.2">
      <c r="A317" t="s">
        <v>482</v>
      </c>
      <c r="B317" s="1">
        <v>45691</v>
      </c>
      <c r="C317" t="s">
        <v>36</v>
      </c>
      <c r="D317" t="s">
        <v>110</v>
      </c>
      <c r="E317" t="s">
        <v>111</v>
      </c>
      <c r="F317" t="s">
        <v>30</v>
      </c>
      <c r="G317" t="s">
        <v>22</v>
      </c>
      <c r="H317" t="s">
        <v>31</v>
      </c>
      <c r="I317" t="s">
        <v>32</v>
      </c>
      <c r="J317" t="s">
        <v>104</v>
      </c>
      <c r="K317">
        <v>8</v>
      </c>
      <c r="L317" s="2">
        <v>1586.25</v>
      </c>
      <c r="M317" s="3">
        <v>0.1</v>
      </c>
      <c r="N317" s="2">
        <v>11421</v>
      </c>
      <c r="O317" s="2">
        <v>8643.6299999999992</v>
      </c>
      <c r="P317" s="2">
        <v>2777.37</v>
      </c>
      <c r="Q317" t="s">
        <v>26</v>
      </c>
    </row>
    <row r="318" spans="1:17" x14ac:dyDescent="0.2">
      <c r="A318" t="s">
        <v>483</v>
      </c>
      <c r="B318" s="1">
        <v>45691</v>
      </c>
      <c r="C318" t="s">
        <v>36</v>
      </c>
      <c r="D318" t="s">
        <v>67</v>
      </c>
      <c r="E318" t="s">
        <v>323</v>
      </c>
      <c r="F318" t="s">
        <v>21</v>
      </c>
      <c r="G318" t="s">
        <v>22</v>
      </c>
      <c r="H318" t="s">
        <v>31</v>
      </c>
      <c r="I318" t="s">
        <v>40</v>
      </c>
      <c r="J318" t="s">
        <v>41</v>
      </c>
      <c r="K318">
        <v>7</v>
      </c>
      <c r="L318" s="2">
        <v>58.35</v>
      </c>
      <c r="M318" s="3">
        <v>0.2</v>
      </c>
      <c r="N318" s="2">
        <v>326.76</v>
      </c>
      <c r="O318" s="2">
        <v>220.86</v>
      </c>
      <c r="P318" s="2">
        <v>105.9</v>
      </c>
      <c r="Q318" t="s">
        <v>26</v>
      </c>
    </row>
    <row r="319" spans="1:17" x14ac:dyDescent="0.2">
      <c r="A319" t="s">
        <v>484</v>
      </c>
      <c r="B319" s="1">
        <v>45691</v>
      </c>
      <c r="C319" t="s">
        <v>36</v>
      </c>
      <c r="D319" t="s">
        <v>110</v>
      </c>
      <c r="E319" t="s">
        <v>203</v>
      </c>
      <c r="F319" t="s">
        <v>46</v>
      </c>
      <c r="G319" t="s">
        <v>75</v>
      </c>
      <c r="H319" t="s">
        <v>31</v>
      </c>
      <c r="I319" t="s">
        <v>64</v>
      </c>
      <c r="J319" t="s">
        <v>65</v>
      </c>
      <c r="K319">
        <v>9</v>
      </c>
      <c r="L319" s="2">
        <v>139.85</v>
      </c>
      <c r="M319" s="3">
        <v>0.1</v>
      </c>
      <c r="N319" s="2">
        <v>1132.78</v>
      </c>
      <c r="O319" s="2">
        <v>684.79</v>
      </c>
      <c r="P319" s="2">
        <v>447.99</v>
      </c>
      <c r="Q319" t="s">
        <v>34</v>
      </c>
    </row>
    <row r="320" spans="1:17" x14ac:dyDescent="0.2">
      <c r="A320" t="s">
        <v>485</v>
      </c>
      <c r="B320" s="1">
        <v>45692</v>
      </c>
      <c r="C320" t="s">
        <v>36</v>
      </c>
      <c r="D320" t="s">
        <v>37</v>
      </c>
      <c r="E320" t="s">
        <v>187</v>
      </c>
      <c r="F320" t="s">
        <v>30</v>
      </c>
      <c r="G320" t="s">
        <v>22</v>
      </c>
      <c r="H320" t="s">
        <v>23</v>
      </c>
      <c r="I320" t="s">
        <v>24</v>
      </c>
      <c r="J320" t="s">
        <v>108</v>
      </c>
      <c r="K320">
        <v>7</v>
      </c>
      <c r="L320" s="2">
        <v>5.28</v>
      </c>
      <c r="M320" s="3">
        <v>0.15</v>
      </c>
      <c r="N320" s="2">
        <v>31.42</v>
      </c>
      <c r="O320" s="2">
        <v>22.35</v>
      </c>
      <c r="P320" s="2">
        <v>9.07</v>
      </c>
      <c r="Q320" t="s">
        <v>61</v>
      </c>
    </row>
    <row r="321" spans="1:17" x14ac:dyDescent="0.2">
      <c r="A321" t="s">
        <v>486</v>
      </c>
      <c r="B321" s="1">
        <v>45692</v>
      </c>
      <c r="C321" t="s">
        <v>18</v>
      </c>
      <c r="D321" t="s">
        <v>28</v>
      </c>
      <c r="E321" t="s">
        <v>170</v>
      </c>
      <c r="F321" t="s">
        <v>30</v>
      </c>
      <c r="G321" t="s">
        <v>22</v>
      </c>
      <c r="H321" t="s">
        <v>23</v>
      </c>
      <c r="I321" t="s">
        <v>83</v>
      </c>
      <c r="J321" t="s">
        <v>131</v>
      </c>
      <c r="K321">
        <v>3</v>
      </c>
      <c r="L321" s="2">
        <v>29.51</v>
      </c>
      <c r="M321" s="3">
        <v>0</v>
      </c>
      <c r="N321" s="2">
        <v>88.53</v>
      </c>
      <c r="O321" s="2">
        <v>49.03</v>
      </c>
      <c r="P321" s="2">
        <v>39.5</v>
      </c>
      <c r="Q321" t="s">
        <v>34</v>
      </c>
    </row>
    <row r="322" spans="1:17" x14ac:dyDescent="0.2">
      <c r="A322" t="s">
        <v>487</v>
      </c>
      <c r="B322" s="1">
        <v>45692</v>
      </c>
      <c r="C322" t="s">
        <v>77</v>
      </c>
      <c r="D322" t="s">
        <v>106</v>
      </c>
      <c r="E322" t="s">
        <v>236</v>
      </c>
      <c r="F322" t="s">
        <v>69</v>
      </c>
      <c r="G322" t="s">
        <v>22</v>
      </c>
      <c r="H322" t="s">
        <v>31</v>
      </c>
      <c r="I322" t="s">
        <v>112</v>
      </c>
      <c r="J322" t="s">
        <v>136</v>
      </c>
      <c r="K322">
        <v>2</v>
      </c>
      <c r="L322" s="2">
        <v>472.06</v>
      </c>
      <c r="M322" s="3">
        <v>0</v>
      </c>
      <c r="N322" s="2">
        <v>944.12</v>
      </c>
      <c r="O322" s="2">
        <v>596.79999999999995</v>
      </c>
      <c r="P322" s="2">
        <v>347.32</v>
      </c>
      <c r="Q322" t="s">
        <v>34</v>
      </c>
    </row>
    <row r="323" spans="1:17" x14ac:dyDescent="0.2">
      <c r="A323" t="s">
        <v>488</v>
      </c>
      <c r="B323" s="1">
        <v>45692</v>
      </c>
      <c r="C323" t="s">
        <v>36</v>
      </c>
      <c r="D323" t="s">
        <v>110</v>
      </c>
      <c r="E323" t="s">
        <v>115</v>
      </c>
      <c r="F323" t="s">
        <v>39</v>
      </c>
      <c r="G323" t="s">
        <v>75</v>
      </c>
      <c r="H323" t="s">
        <v>23</v>
      </c>
      <c r="I323" t="s">
        <v>79</v>
      </c>
      <c r="J323" t="s">
        <v>179</v>
      </c>
      <c r="K323">
        <v>8</v>
      </c>
      <c r="L323" s="2">
        <v>502.94</v>
      </c>
      <c r="M323" s="3">
        <v>0.05</v>
      </c>
      <c r="N323" s="2">
        <v>3822.34</v>
      </c>
      <c r="O323" s="2">
        <v>2511.7600000000002</v>
      </c>
      <c r="P323" s="2">
        <v>1310.58</v>
      </c>
      <c r="Q323" t="s">
        <v>61</v>
      </c>
    </row>
    <row r="324" spans="1:17" x14ac:dyDescent="0.2">
      <c r="A324" t="s">
        <v>489</v>
      </c>
      <c r="B324" s="1">
        <v>45692</v>
      </c>
      <c r="C324" t="s">
        <v>77</v>
      </c>
      <c r="D324" t="s">
        <v>78</v>
      </c>
      <c r="E324" t="s">
        <v>52</v>
      </c>
      <c r="F324" t="s">
        <v>53</v>
      </c>
      <c r="G324" t="s">
        <v>75</v>
      </c>
      <c r="H324" t="s">
        <v>47</v>
      </c>
      <c r="I324" t="s">
        <v>48</v>
      </c>
      <c r="J324" t="s">
        <v>49</v>
      </c>
      <c r="K324">
        <v>4</v>
      </c>
      <c r="L324" s="2">
        <v>415.26</v>
      </c>
      <c r="M324" s="3">
        <v>0.1</v>
      </c>
      <c r="N324" s="2">
        <v>1494.94</v>
      </c>
      <c r="O324" s="2">
        <v>869.56</v>
      </c>
      <c r="P324" s="2">
        <v>625.38</v>
      </c>
      <c r="Q324" t="s">
        <v>26</v>
      </c>
    </row>
    <row r="325" spans="1:17" x14ac:dyDescent="0.2">
      <c r="A325" t="s">
        <v>490</v>
      </c>
      <c r="B325" s="1">
        <v>45692</v>
      </c>
      <c r="C325" t="s">
        <v>77</v>
      </c>
      <c r="D325" t="s">
        <v>78</v>
      </c>
      <c r="E325" t="s">
        <v>52</v>
      </c>
      <c r="F325" t="s">
        <v>21</v>
      </c>
      <c r="G325" t="s">
        <v>75</v>
      </c>
      <c r="H325" t="s">
        <v>47</v>
      </c>
      <c r="I325" t="s">
        <v>48</v>
      </c>
      <c r="J325" t="s">
        <v>49</v>
      </c>
      <c r="K325">
        <v>5</v>
      </c>
      <c r="L325" s="2">
        <v>769.36</v>
      </c>
      <c r="M325" s="3">
        <v>0</v>
      </c>
      <c r="N325" s="2">
        <v>3846.8</v>
      </c>
      <c r="O325" s="2">
        <v>2865.42</v>
      </c>
      <c r="P325" s="2">
        <v>981.38</v>
      </c>
      <c r="Q325" t="s">
        <v>57</v>
      </c>
    </row>
    <row r="326" spans="1:17" x14ac:dyDescent="0.2">
      <c r="A326" t="s">
        <v>491</v>
      </c>
      <c r="B326" s="1">
        <v>45692</v>
      </c>
      <c r="C326" t="s">
        <v>36</v>
      </c>
      <c r="D326" t="s">
        <v>37</v>
      </c>
      <c r="E326" t="s">
        <v>255</v>
      </c>
      <c r="F326" t="s">
        <v>46</v>
      </c>
      <c r="G326" t="s">
        <v>22</v>
      </c>
      <c r="H326" t="s">
        <v>31</v>
      </c>
      <c r="I326" t="s">
        <v>112</v>
      </c>
      <c r="J326" t="s">
        <v>176</v>
      </c>
      <c r="K326">
        <v>8</v>
      </c>
      <c r="L326" s="2">
        <v>314.56</v>
      </c>
      <c r="M326" s="3">
        <v>0.15</v>
      </c>
      <c r="N326" s="2">
        <v>2139.0100000000002</v>
      </c>
      <c r="O326" s="2">
        <v>1449.08</v>
      </c>
      <c r="P326" s="2">
        <v>689.93</v>
      </c>
      <c r="Q326" t="s">
        <v>34</v>
      </c>
    </row>
    <row r="327" spans="1:17" x14ac:dyDescent="0.2">
      <c r="A327" t="s">
        <v>492</v>
      </c>
      <c r="B327" s="1">
        <v>45692</v>
      </c>
      <c r="C327" t="s">
        <v>43</v>
      </c>
      <c r="D327" t="s">
        <v>161</v>
      </c>
      <c r="E327" t="s">
        <v>418</v>
      </c>
      <c r="F327" t="s">
        <v>53</v>
      </c>
      <c r="G327" t="s">
        <v>22</v>
      </c>
      <c r="H327" t="s">
        <v>47</v>
      </c>
      <c r="I327" t="s">
        <v>89</v>
      </c>
      <c r="J327" t="s">
        <v>240</v>
      </c>
      <c r="K327">
        <v>5</v>
      </c>
      <c r="L327" s="2">
        <v>173.31</v>
      </c>
      <c r="M327" s="3">
        <v>0.1</v>
      </c>
      <c r="N327" s="2">
        <v>779.9</v>
      </c>
      <c r="O327" s="2">
        <v>470.64</v>
      </c>
      <c r="P327" s="2">
        <v>309.26</v>
      </c>
      <c r="Q327" t="s">
        <v>26</v>
      </c>
    </row>
    <row r="328" spans="1:17" x14ac:dyDescent="0.2">
      <c r="A328" t="s">
        <v>493</v>
      </c>
      <c r="B328" s="1">
        <v>45692</v>
      </c>
      <c r="C328" t="s">
        <v>36</v>
      </c>
      <c r="D328" t="s">
        <v>37</v>
      </c>
      <c r="E328" t="s">
        <v>38</v>
      </c>
      <c r="F328" t="s">
        <v>69</v>
      </c>
      <c r="G328" t="s">
        <v>75</v>
      </c>
      <c r="H328" t="s">
        <v>31</v>
      </c>
      <c r="I328" t="s">
        <v>64</v>
      </c>
      <c r="J328" t="s">
        <v>252</v>
      </c>
      <c r="K328">
        <v>4</v>
      </c>
      <c r="L328" s="2">
        <v>136.16</v>
      </c>
      <c r="M328" s="3">
        <v>0.1</v>
      </c>
      <c r="N328" s="2">
        <v>490.18</v>
      </c>
      <c r="O328" s="2">
        <v>315.83</v>
      </c>
      <c r="P328" s="2">
        <v>174.35</v>
      </c>
      <c r="Q328" t="s">
        <v>26</v>
      </c>
    </row>
    <row r="329" spans="1:17" x14ac:dyDescent="0.2">
      <c r="A329" t="s">
        <v>494</v>
      </c>
      <c r="B329" s="1">
        <v>45692</v>
      </c>
      <c r="C329" t="s">
        <v>77</v>
      </c>
      <c r="D329" t="s">
        <v>128</v>
      </c>
      <c r="E329" t="s">
        <v>129</v>
      </c>
      <c r="F329" t="s">
        <v>69</v>
      </c>
      <c r="G329" t="s">
        <v>75</v>
      </c>
      <c r="H329" t="s">
        <v>47</v>
      </c>
      <c r="I329" t="s">
        <v>89</v>
      </c>
      <c r="J329" t="s">
        <v>204</v>
      </c>
      <c r="K329">
        <v>7</v>
      </c>
      <c r="L329" s="2">
        <v>311.20999999999998</v>
      </c>
      <c r="M329" s="3">
        <v>0</v>
      </c>
      <c r="N329" s="2">
        <v>2178.4699999999998</v>
      </c>
      <c r="O329" s="2">
        <v>1365.43</v>
      </c>
      <c r="P329" s="2">
        <v>813.04</v>
      </c>
      <c r="Q329" t="s">
        <v>61</v>
      </c>
    </row>
    <row r="330" spans="1:17" x14ac:dyDescent="0.2">
      <c r="A330" t="s">
        <v>495</v>
      </c>
      <c r="B330" s="1">
        <v>45692</v>
      </c>
      <c r="C330" t="s">
        <v>36</v>
      </c>
      <c r="D330" t="s">
        <v>67</v>
      </c>
      <c r="E330" t="s">
        <v>323</v>
      </c>
      <c r="F330" t="s">
        <v>69</v>
      </c>
      <c r="G330" t="s">
        <v>22</v>
      </c>
      <c r="H330" t="s">
        <v>23</v>
      </c>
      <c r="I330" t="s">
        <v>24</v>
      </c>
      <c r="J330" t="s">
        <v>220</v>
      </c>
      <c r="K330">
        <v>7</v>
      </c>
      <c r="L330" s="2">
        <v>22.42</v>
      </c>
      <c r="M330" s="3">
        <v>0.05</v>
      </c>
      <c r="N330" s="2">
        <v>149.09</v>
      </c>
      <c r="O330" s="2">
        <v>114.47</v>
      </c>
      <c r="P330" s="2">
        <v>34.619999999999997</v>
      </c>
      <c r="Q330" t="s">
        <v>26</v>
      </c>
    </row>
    <row r="331" spans="1:17" x14ac:dyDescent="0.2">
      <c r="A331" t="s">
        <v>496</v>
      </c>
      <c r="B331" s="1">
        <v>45692</v>
      </c>
      <c r="C331" t="s">
        <v>36</v>
      </c>
      <c r="D331" t="s">
        <v>110</v>
      </c>
      <c r="E331" t="s">
        <v>111</v>
      </c>
      <c r="F331" t="s">
        <v>130</v>
      </c>
      <c r="G331" t="s">
        <v>22</v>
      </c>
      <c r="H331" t="s">
        <v>31</v>
      </c>
      <c r="I331" t="s">
        <v>32</v>
      </c>
      <c r="J331" t="s">
        <v>258</v>
      </c>
      <c r="K331">
        <v>6</v>
      </c>
      <c r="L331" s="2">
        <v>687.58</v>
      </c>
      <c r="M331" s="3">
        <v>0</v>
      </c>
      <c r="N331" s="2">
        <v>4125.4799999999996</v>
      </c>
      <c r="O331" s="2">
        <v>3371.68</v>
      </c>
      <c r="P331" s="2">
        <v>753.8</v>
      </c>
      <c r="Q331" t="s">
        <v>26</v>
      </c>
    </row>
    <row r="332" spans="1:17" x14ac:dyDescent="0.2">
      <c r="A332" t="s">
        <v>497</v>
      </c>
      <c r="B332" s="1">
        <v>45693</v>
      </c>
      <c r="C332" t="s">
        <v>43</v>
      </c>
      <c r="D332" t="s">
        <v>44</v>
      </c>
      <c r="E332" t="s">
        <v>147</v>
      </c>
      <c r="F332" t="s">
        <v>60</v>
      </c>
      <c r="G332" t="s">
        <v>54</v>
      </c>
      <c r="H332" t="s">
        <v>23</v>
      </c>
      <c r="I332" t="s">
        <v>79</v>
      </c>
      <c r="J332" t="s">
        <v>179</v>
      </c>
      <c r="K332">
        <v>5</v>
      </c>
      <c r="L332" s="2">
        <v>156.62</v>
      </c>
      <c r="M332" s="3">
        <v>0.05</v>
      </c>
      <c r="N332" s="2">
        <v>743.94</v>
      </c>
      <c r="O332" s="2">
        <v>480.79</v>
      </c>
      <c r="P332" s="2">
        <v>263.14999999999998</v>
      </c>
      <c r="Q332" t="s">
        <v>61</v>
      </c>
    </row>
    <row r="333" spans="1:17" x14ac:dyDescent="0.2">
      <c r="A333" t="s">
        <v>498</v>
      </c>
      <c r="B333" s="1">
        <v>45693</v>
      </c>
      <c r="C333" t="s">
        <v>43</v>
      </c>
      <c r="D333" t="s">
        <v>208</v>
      </c>
      <c r="E333" t="s">
        <v>230</v>
      </c>
      <c r="F333" t="s">
        <v>46</v>
      </c>
      <c r="G333" t="s">
        <v>75</v>
      </c>
      <c r="H333" t="s">
        <v>23</v>
      </c>
      <c r="I333" t="s">
        <v>79</v>
      </c>
      <c r="J333" t="s">
        <v>233</v>
      </c>
      <c r="K333">
        <v>3</v>
      </c>
      <c r="L333" s="2">
        <v>354.86</v>
      </c>
      <c r="M333" s="3">
        <v>0.15</v>
      </c>
      <c r="N333" s="2">
        <v>904.89</v>
      </c>
      <c r="O333" s="2">
        <v>729.96</v>
      </c>
      <c r="P333" s="2">
        <v>174.93</v>
      </c>
      <c r="Q333" t="s">
        <v>57</v>
      </c>
    </row>
    <row r="334" spans="1:17" x14ac:dyDescent="0.2">
      <c r="A334" t="s">
        <v>499</v>
      </c>
      <c r="B334" s="1">
        <v>45693</v>
      </c>
      <c r="C334" t="s">
        <v>36</v>
      </c>
      <c r="D334" t="s">
        <v>73</v>
      </c>
      <c r="E334" t="s">
        <v>74</v>
      </c>
      <c r="F334" t="s">
        <v>21</v>
      </c>
      <c r="G334" t="s">
        <v>22</v>
      </c>
      <c r="H334" t="s">
        <v>23</v>
      </c>
      <c r="I334" t="s">
        <v>79</v>
      </c>
      <c r="J334" t="s">
        <v>179</v>
      </c>
      <c r="K334">
        <v>4</v>
      </c>
      <c r="L334" s="2">
        <v>202.03</v>
      </c>
      <c r="M334" s="3">
        <v>0</v>
      </c>
      <c r="N334" s="2">
        <v>808.12</v>
      </c>
      <c r="O334" s="2">
        <v>615.49</v>
      </c>
      <c r="P334" s="2">
        <v>192.63</v>
      </c>
      <c r="Q334" t="s">
        <v>34</v>
      </c>
    </row>
    <row r="335" spans="1:17" x14ac:dyDescent="0.2">
      <c r="A335" t="s">
        <v>500</v>
      </c>
      <c r="B335" s="1">
        <v>45693</v>
      </c>
      <c r="C335" t="s">
        <v>36</v>
      </c>
      <c r="D335" t="s">
        <v>73</v>
      </c>
      <c r="E335" t="s">
        <v>247</v>
      </c>
      <c r="F335" t="s">
        <v>21</v>
      </c>
      <c r="G335" t="s">
        <v>54</v>
      </c>
      <c r="H335" t="s">
        <v>23</v>
      </c>
      <c r="I335" t="s">
        <v>55</v>
      </c>
      <c r="J335" t="s">
        <v>102</v>
      </c>
      <c r="K335">
        <v>4</v>
      </c>
      <c r="L335" s="2">
        <v>17.670000000000002</v>
      </c>
      <c r="M335" s="3">
        <v>0.05</v>
      </c>
      <c r="N335" s="2">
        <v>67.150000000000006</v>
      </c>
      <c r="O335" s="2">
        <v>48.41</v>
      </c>
      <c r="P335" s="2">
        <v>18.739999999999998</v>
      </c>
      <c r="Q335" t="s">
        <v>34</v>
      </c>
    </row>
    <row r="336" spans="1:17" x14ac:dyDescent="0.2">
      <c r="A336" t="s">
        <v>501</v>
      </c>
      <c r="B336" s="1">
        <v>45693</v>
      </c>
      <c r="C336" t="s">
        <v>18</v>
      </c>
      <c r="D336" t="s">
        <v>19</v>
      </c>
      <c r="E336" t="s">
        <v>118</v>
      </c>
      <c r="F336" t="s">
        <v>60</v>
      </c>
      <c r="G336" t="s">
        <v>75</v>
      </c>
      <c r="H336" t="s">
        <v>23</v>
      </c>
      <c r="I336" t="s">
        <v>83</v>
      </c>
      <c r="J336" t="s">
        <v>120</v>
      </c>
      <c r="K336">
        <v>10</v>
      </c>
      <c r="L336" s="2">
        <v>12.97</v>
      </c>
      <c r="M336" s="3">
        <v>0</v>
      </c>
      <c r="N336" s="2">
        <v>129.69999999999999</v>
      </c>
      <c r="O336" s="2">
        <v>71.73</v>
      </c>
      <c r="P336" s="2">
        <v>57.97</v>
      </c>
      <c r="Q336" t="s">
        <v>34</v>
      </c>
    </row>
    <row r="337" spans="1:17" x14ac:dyDescent="0.2">
      <c r="A337" t="s">
        <v>502</v>
      </c>
      <c r="B337" s="1">
        <v>45693</v>
      </c>
      <c r="C337" t="s">
        <v>36</v>
      </c>
      <c r="D337" t="s">
        <v>67</v>
      </c>
      <c r="E337" t="s">
        <v>68</v>
      </c>
      <c r="F337" t="s">
        <v>53</v>
      </c>
      <c r="G337" t="s">
        <v>54</v>
      </c>
      <c r="H337" t="s">
        <v>23</v>
      </c>
      <c r="I337" t="s">
        <v>55</v>
      </c>
      <c r="J337" t="s">
        <v>173</v>
      </c>
      <c r="K337">
        <v>5</v>
      </c>
      <c r="L337" s="2">
        <v>7.49</v>
      </c>
      <c r="M337" s="3">
        <v>0</v>
      </c>
      <c r="N337" s="2">
        <v>37.450000000000003</v>
      </c>
      <c r="O337" s="2">
        <v>30.6</v>
      </c>
      <c r="P337" s="2">
        <v>6.85</v>
      </c>
      <c r="Q337" t="s">
        <v>57</v>
      </c>
    </row>
    <row r="338" spans="1:17" x14ac:dyDescent="0.2">
      <c r="A338" t="s">
        <v>503</v>
      </c>
      <c r="B338" s="1">
        <v>45693</v>
      </c>
      <c r="C338" t="s">
        <v>77</v>
      </c>
      <c r="D338" t="s">
        <v>95</v>
      </c>
      <c r="E338" t="s">
        <v>367</v>
      </c>
      <c r="F338" t="s">
        <v>138</v>
      </c>
      <c r="G338" t="s">
        <v>22</v>
      </c>
      <c r="H338" t="s">
        <v>23</v>
      </c>
      <c r="I338" t="s">
        <v>79</v>
      </c>
      <c r="J338" t="s">
        <v>80</v>
      </c>
      <c r="K338">
        <v>5</v>
      </c>
      <c r="L338" s="2">
        <v>290.5</v>
      </c>
      <c r="M338" s="3">
        <v>0.1</v>
      </c>
      <c r="N338" s="2">
        <v>1307.25</v>
      </c>
      <c r="O338" s="2">
        <v>989.9</v>
      </c>
      <c r="P338" s="2">
        <v>317.35000000000002</v>
      </c>
      <c r="Q338" t="s">
        <v>57</v>
      </c>
    </row>
    <row r="339" spans="1:17" x14ac:dyDescent="0.2">
      <c r="A339" t="s">
        <v>504</v>
      </c>
      <c r="B339" s="1">
        <v>45693</v>
      </c>
      <c r="C339" t="s">
        <v>18</v>
      </c>
      <c r="D339" t="s">
        <v>133</v>
      </c>
      <c r="E339" t="s">
        <v>134</v>
      </c>
      <c r="F339" t="s">
        <v>46</v>
      </c>
      <c r="G339" t="s">
        <v>54</v>
      </c>
      <c r="H339" t="s">
        <v>47</v>
      </c>
      <c r="I339" t="s">
        <v>97</v>
      </c>
      <c r="J339" t="s">
        <v>116</v>
      </c>
      <c r="K339">
        <v>4</v>
      </c>
      <c r="L339" s="2">
        <v>694.84</v>
      </c>
      <c r="M339" s="3">
        <v>0</v>
      </c>
      <c r="N339" s="2">
        <v>2779.36</v>
      </c>
      <c r="O339" s="2">
        <v>2186.1799999999998</v>
      </c>
      <c r="P339" s="2">
        <v>593.17999999999995</v>
      </c>
      <c r="Q339" t="s">
        <v>34</v>
      </c>
    </row>
    <row r="340" spans="1:17" x14ac:dyDescent="0.2">
      <c r="A340" t="s">
        <v>505</v>
      </c>
      <c r="B340" s="1">
        <v>45693</v>
      </c>
      <c r="C340" t="s">
        <v>36</v>
      </c>
      <c r="D340" t="s">
        <v>110</v>
      </c>
      <c r="E340" t="s">
        <v>203</v>
      </c>
      <c r="F340" t="s">
        <v>71</v>
      </c>
      <c r="G340" t="s">
        <v>75</v>
      </c>
      <c r="H340" t="s">
        <v>23</v>
      </c>
      <c r="I340" t="s">
        <v>79</v>
      </c>
      <c r="J340" t="s">
        <v>80</v>
      </c>
      <c r="K340">
        <v>7</v>
      </c>
      <c r="L340" s="2">
        <v>316.94</v>
      </c>
      <c r="M340" s="3">
        <v>0</v>
      </c>
      <c r="N340" s="2">
        <v>2218.58</v>
      </c>
      <c r="O340" s="2">
        <v>1597.67</v>
      </c>
      <c r="P340" s="2">
        <v>620.91</v>
      </c>
      <c r="Q340" t="s">
        <v>61</v>
      </c>
    </row>
    <row r="341" spans="1:17" x14ac:dyDescent="0.2">
      <c r="A341" t="s">
        <v>506</v>
      </c>
      <c r="B341" s="1">
        <v>45693</v>
      </c>
      <c r="C341" t="s">
        <v>36</v>
      </c>
      <c r="D341" t="s">
        <v>144</v>
      </c>
      <c r="E341" t="s">
        <v>232</v>
      </c>
      <c r="F341" t="s">
        <v>130</v>
      </c>
      <c r="G341" t="s">
        <v>75</v>
      </c>
      <c r="H341" t="s">
        <v>47</v>
      </c>
      <c r="I341" t="s">
        <v>48</v>
      </c>
      <c r="J341" t="s">
        <v>49</v>
      </c>
      <c r="K341">
        <v>2</v>
      </c>
      <c r="L341" s="2">
        <v>246.06</v>
      </c>
      <c r="M341" s="3">
        <v>0.15</v>
      </c>
      <c r="N341" s="2">
        <v>418.3</v>
      </c>
      <c r="O341" s="2">
        <v>291.2</v>
      </c>
      <c r="P341" s="2">
        <v>127.1</v>
      </c>
      <c r="Q341" t="s">
        <v>57</v>
      </c>
    </row>
    <row r="342" spans="1:17" x14ac:dyDescent="0.2">
      <c r="A342" t="s">
        <v>507</v>
      </c>
      <c r="B342" s="1">
        <v>45693</v>
      </c>
      <c r="C342" t="s">
        <v>18</v>
      </c>
      <c r="D342" t="s">
        <v>28</v>
      </c>
      <c r="E342" t="s">
        <v>170</v>
      </c>
      <c r="F342" t="s">
        <v>60</v>
      </c>
      <c r="G342" t="s">
        <v>75</v>
      </c>
      <c r="H342" t="s">
        <v>31</v>
      </c>
      <c r="I342" t="s">
        <v>112</v>
      </c>
      <c r="J342" t="s">
        <v>113</v>
      </c>
      <c r="K342">
        <v>4</v>
      </c>
      <c r="L342" s="2">
        <v>593.75</v>
      </c>
      <c r="M342" s="3">
        <v>0</v>
      </c>
      <c r="N342" s="2">
        <v>2375</v>
      </c>
      <c r="O342" s="2">
        <v>1720.15</v>
      </c>
      <c r="P342" s="2">
        <v>654.85</v>
      </c>
      <c r="Q342" t="s">
        <v>57</v>
      </c>
    </row>
    <row r="343" spans="1:17" x14ac:dyDescent="0.2">
      <c r="A343" t="s">
        <v>508</v>
      </c>
      <c r="B343" s="1">
        <v>45693</v>
      </c>
      <c r="C343" t="s">
        <v>36</v>
      </c>
      <c r="D343" t="s">
        <v>110</v>
      </c>
      <c r="E343" t="s">
        <v>111</v>
      </c>
      <c r="F343" t="s">
        <v>21</v>
      </c>
      <c r="G343" t="s">
        <v>22</v>
      </c>
      <c r="H343" t="s">
        <v>47</v>
      </c>
      <c r="I343" t="s">
        <v>89</v>
      </c>
      <c r="J343" t="s">
        <v>204</v>
      </c>
      <c r="K343">
        <v>6</v>
      </c>
      <c r="L343" s="2">
        <v>216.02</v>
      </c>
      <c r="M343" s="3">
        <v>0.1</v>
      </c>
      <c r="N343" s="2">
        <v>1166.51</v>
      </c>
      <c r="O343" s="2">
        <v>644.85</v>
      </c>
      <c r="P343" s="2">
        <v>521.66</v>
      </c>
      <c r="Q343" t="s">
        <v>34</v>
      </c>
    </row>
    <row r="344" spans="1:17" x14ac:dyDescent="0.2">
      <c r="A344" t="s">
        <v>509</v>
      </c>
      <c r="B344" s="1">
        <v>45694</v>
      </c>
      <c r="C344" t="s">
        <v>77</v>
      </c>
      <c r="D344" t="s">
        <v>78</v>
      </c>
      <c r="E344" t="s">
        <v>52</v>
      </c>
      <c r="F344" t="s">
        <v>71</v>
      </c>
      <c r="G344" t="s">
        <v>22</v>
      </c>
      <c r="H344" t="s">
        <v>31</v>
      </c>
      <c r="I344" t="s">
        <v>40</v>
      </c>
      <c r="J344" t="s">
        <v>122</v>
      </c>
      <c r="K344">
        <v>2</v>
      </c>
      <c r="L344" s="2">
        <v>217.72</v>
      </c>
      <c r="M344" s="3">
        <v>0</v>
      </c>
      <c r="N344" s="2">
        <v>435.44</v>
      </c>
      <c r="O344" s="2">
        <v>280.24</v>
      </c>
      <c r="P344" s="2">
        <v>155.19999999999999</v>
      </c>
      <c r="Q344" t="s">
        <v>26</v>
      </c>
    </row>
    <row r="345" spans="1:17" x14ac:dyDescent="0.2">
      <c r="A345" t="s">
        <v>510</v>
      </c>
      <c r="B345" s="1">
        <v>45694</v>
      </c>
      <c r="C345" t="s">
        <v>43</v>
      </c>
      <c r="D345" t="s">
        <v>244</v>
      </c>
      <c r="E345" t="s">
        <v>245</v>
      </c>
      <c r="F345" t="s">
        <v>46</v>
      </c>
      <c r="G345" t="s">
        <v>22</v>
      </c>
      <c r="H345" t="s">
        <v>31</v>
      </c>
      <c r="I345" t="s">
        <v>32</v>
      </c>
      <c r="J345" t="s">
        <v>104</v>
      </c>
      <c r="K345">
        <v>6</v>
      </c>
      <c r="L345" s="2">
        <v>1416.42</v>
      </c>
      <c r="M345" s="3">
        <v>0.15</v>
      </c>
      <c r="N345" s="2">
        <v>7223.74</v>
      </c>
      <c r="O345" s="2">
        <v>4208.21</v>
      </c>
      <c r="P345" s="2">
        <v>3015.53</v>
      </c>
      <c r="Q345" t="s">
        <v>34</v>
      </c>
    </row>
    <row r="346" spans="1:17" x14ac:dyDescent="0.2">
      <c r="A346" t="s">
        <v>511</v>
      </c>
      <c r="B346" s="1">
        <v>45694</v>
      </c>
      <c r="C346" t="s">
        <v>36</v>
      </c>
      <c r="D346" t="s">
        <v>73</v>
      </c>
      <c r="E346" t="s">
        <v>74</v>
      </c>
      <c r="F346" t="s">
        <v>30</v>
      </c>
      <c r="G346" t="s">
        <v>22</v>
      </c>
      <c r="H346" t="s">
        <v>31</v>
      </c>
      <c r="I346" t="s">
        <v>40</v>
      </c>
      <c r="J346" t="s">
        <v>41</v>
      </c>
      <c r="K346">
        <v>10</v>
      </c>
      <c r="L346" s="2">
        <v>44.82</v>
      </c>
      <c r="M346" s="3">
        <v>0.2</v>
      </c>
      <c r="N346" s="2">
        <v>358.56</v>
      </c>
      <c r="O346" s="2">
        <v>277.04000000000002</v>
      </c>
      <c r="P346" s="2">
        <v>81.52</v>
      </c>
      <c r="Q346" t="s">
        <v>26</v>
      </c>
    </row>
    <row r="347" spans="1:17" x14ac:dyDescent="0.2">
      <c r="A347" t="s">
        <v>512</v>
      </c>
      <c r="B347" s="1">
        <v>45694</v>
      </c>
      <c r="C347" t="s">
        <v>18</v>
      </c>
      <c r="D347" t="s">
        <v>152</v>
      </c>
      <c r="E347" t="s">
        <v>153</v>
      </c>
      <c r="F347" t="s">
        <v>53</v>
      </c>
      <c r="G347" t="s">
        <v>22</v>
      </c>
      <c r="H347" t="s">
        <v>23</v>
      </c>
      <c r="I347" t="s">
        <v>24</v>
      </c>
      <c r="J347" t="s">
        <v>220</v>
      </c>
      <c r="K347">
        <v>9</v>
      </c>
      <c r="L347" s="2">
        <v>11.36</v>
      </c>
      <c r="M347" s="3">
        <v>0</v>
      </c>
      <c r="N347" s="2">
        <v>102.24</v>
      </c>
      <c r="O347" s="2">
        <v>64.84</v>
      </c>
      <c r="P347" s="2">
        <v>37.4</v>
      </c>
      <c r="Q347" t="s">
        <v>26</v>
      </c>
    </row>
    <row r="348" spans="1:17" x14ac:dyDescent="0.2">
      <c r="A348" t="s">
        <v>513</v>
      </c>
      <c r="B348" s="1">
        <v>45694</v>
      </c>
      <c r="C348" t="s">
        <v>77</v>
      </c>
      <c r="D348" t="s">
        <v>149</v>
      </c>
      <c r="E348" t="s">
        <v>206</v>
      </c>
      <c r="F348" t="s">
        <v>21</v>
      </c>
      <c r="G348" t="s">
        <v>75</v>
      </c>
      <c r="H348" t="s">
        <v>31</v>
      </c>
      <c r="I348" t="s">
        <v>112</v>
      </c>
      <c r="J348" t="s">
        <v>176</v>
      </c>
      <c r="K348">
        <v>9</v>
      </c>
      <c r="L348" s="2">
        <v>150.55000000000001</v>
      </c>
      <c r="M348" s="3">
        <v>0</v>
      </c>
      <c r="N348" s="2">
        <v>1354.95</v>
      </c>
      <c r="O348" s="2">
        <v>966.04</v>
      </c>
      <c r="P348" s="2">
        <v>388.91</v>
      </c>
      <c r="Q348" t="s">
        <v>61</v>
      </c>
    </row>
    <row r="349" spans="1:17" x14ac:dyDescent="0.2">
      <c r="A349" t="s">
        <v>514</v>
      </c>
      <c r="B349" s="1">
        <v>45694</v>
      </c>
      <c r="C349" t="s">
        <v>43</v>
      </c>
      <c r="D349" t="s">
        <v>51</v>
      </c>
      <c r="E349" t="s">
        <v>52</v>
      </c>
      <c r="F349" t="s">
        <v>130</v>
      </c>
      <c r="G349" t="s">
        <v>75</v>
      </c>
      <c r="H349" t="s">
        <v>23</v>
      </c>
      <c r="I349" t="s">
        <v>83</v>
      </c>
      <c r="J349" t="s">
        <v>84</v>
      </c>
      <c r="K349">
        <v>9</v>
      </c>
      <c r="L349" s="2">
        <v>12.38</v>
      </c>
      <c r="M349" s="3">
        <v>0</v>
      </c>
      <c r="N349" s="2">
        <v>111.42</v>
      </c>
      <c r="O349" s="2">
        <v>71.3</v>
      </c>
      <c r="P349" s="2">
        <v>40.119999999999997</v>
      </c>
      <c r="Q349" t="s">
        <v>57</v>
      </c>
    </row>
    <row r="350" spans="1:17" x14ac:dyDescent="0.2">
      <c r="A350" t="s">
        <v>515</v>
      </c>
      <c r="B350" s="1">
        <v>45694</v>
      </c>
      <c r="C350" t="s">
        <v>18</v>
      </c>
      <c r="D350" t="s">
        <v>19</v>
      </c>
      <c r="E350" t="s">
        <v>118</v>
      </c>
      <c r="F350" t="s">
        <v>130</v>
      </c>
      <c r="G350" t="s">
        <v>75</v>
      </c>
      <c r="H350" t="s">
        <v>31</v>
      </c>
      <c r="I350" t="s">
        <v>40</v>
      </c>
      <c r="J350" t="s">
        <v>216</v>
      </c>
      <c r="K350">
        <v>1</v>
      </c>
      <c r="L350" s="2">
        <v>228.84</v>
      </c>
      <c r="M350" s="3">
        <v>0.05</v>
      </c>
      <c r="N350" s="2">
        <v>217.4</v>
      </c>
      <c r="O350" s="2">
        <v>176.99</v>
      </c>
      <c r="P350" s="2">
        <v>40.409999999999997</v>
      </c>
      <c r="Q350" t="s">
        <v>34</v>
      </c>
    </row>
    <row r="351" spans="1:17" x14ac:dyDescent="0.2">
      <c r="A351" t="s">
        <v>516</v>
      </c>
      <c r="B351" s="1">
        <v>45694</v>
      </c>
      <c r="C351" t="s">
        <v>36</v>
      </c>
      <c r="D351" t="s">
        <v>67</v>
      </c>
      <c r="E351" t="s">
        <v>68</v>
      </c>
      <c r="F351" t="s">
        <v>21</v>
      </c>
      <c r="G351" t="s">
        <v>75</v>
      </c>
      <c r="H351" t="s">
        <v>31</v>
      </c>
      <c r="I351" t="s">
        <v>64</v>
      </c>
      <c r="J351" t="s">
        <v>252</v>
      </c>
      <c r="K351">
        <v>1</v>
      </c>
      <c r="L351" s="2">
        <v>53.95</v>
      </c>
      <c r="M351" s="3">
        <v>0.05</v>
      </c>
      <c r="N351" s="2">
        <v>51.25</v>
      </c>
      <c r="O351" s="2">
        <v>31.06</v>
      </c>
      <c r="P351" s="2">
        <v>20.190000000000001</v>
      </c>
      <c r="Q351" t="s">
        <v>61</v>
      </c>
    </row>
    <row r="352" spans="1:17" x14ac:dyDescent="0.2">
      <c r="A352" t="s">
        <v>517</v>
      </c>
      <c r="B352" s="1">
        <v>45694</v>
      </c>
      <c r="C352" t="s">
        <v>43</v>
      </c>
      <c r="D352" t="s">
        <v>51</v>
      </c>
      <c r="E352" t="s">
        <v>52</v>
      </c>
      <c r="F352" t="s">
        <v>60</v>
      </c>
      <c r="G352" t="s">
        <v>75</v>
      </c>
      <c r="H352" t="s">
        <v>23</v>
      </c>
      <c r="I352" t="s">
        <v>55</v>
      </c>
      <c r="J352" t="s">
        <v>56</v>
      </c>
      <c r="K352">
        <v>9</v>
      </c>
      <c r="L352" s="2">
        <v>15.9</v>
      </c>
      <c r="M352" s="3">
        <v>0.1</v>
      </c>
      <c r="N352" s="2">
        <v>128.79</v>
      </c>
      <c r="O352" s="2">
        <v>102.34</v>
      </c>
      <c r="P352" s="2">
        <v>26.45</v>
      </c>
      <c r="Q352" t="s">
        <v>34</v>
      </c>
    </row>
    <row r="353" spans="1:17" x14ac:dyDescent="0.2">
      <c r="A353" t="s">
        <v>518</v>
      </c>
      <c r="B353" s="1">
        <v>45694</v>
      </c>
      <c r="C353" t="s">
        <v>77</v>
      </c>
      <c r="D353" t="s">
        <v>78</v>
      </c>
      <c r="E353" t="s">
        <v>295</v>
      </c>
      <c r="F353" t="s">
        <v>21</v>
      </c>
      <c r="G353" t="s">
        <v>22</v>
      </c>
      <c r="H353" t="s">
        <v>31</v>
      </c>
      <c r="I353" t="s">
        <v>32</v>
      </c>
      <c r="J353" t="s">
        <v>258</v>
      </c>
      <c r="K353">
        <v>5</v>
      </c>
      <c r="L353" s="2">
        <v>698.86</v>
      </c>
      <c r="M353" s="3">
        <v>0</v>
      </c>
      <c r="N353" s="2">
        <v>3494.3</v>
      </c>
      <c r="O353" s="2">
        <v>2208.65</v>
      </c>
      <c r="P353" s="2">
        <v>1285.6500000000001</v>
      </c>
      <c r="Q353" t="s">
        <v>34</v>
      </c>
    </row>
    <row r="354" spans="1:17" x14ac:dyDescent="0.2">
      <c r="A354" t="s">
        <v>519</v>
      </c>
      <c r="B354" s="1">
        <v>45694</v>
      </c>
      <c r="C354" t="s">
        <v>77</v>
      </c>
      <c r="D354" t="s">
        <v>106</v>
      </c>
      <c r="E354" t="s">
        <v>303</v>
      </c>
      <c r="F354" t="s">
        <v>69</v>
      </c>
      <c r="G354" t="s">
        <v>54</v>
      </c>
      <c r="H354" t="s">
        <v>31</v>
      </c>
      <c r="I354" t="s">
        <v>64</v>
      </c>
      <c r="J354" t="s">
        <v>65</v>
      </c>
      <c r="K354">
        <v>8</v>
      </c>
      <c r="L354" s="2">
        <v>170.34</v>
      </c>
      <c r="M354" s="3">
        <v>0.15</v>
      </c>
      <c r="N354" s="2">
        <v>1158.31</v>
      </c>
      <c r="O354" s="2">
        <v>647.15</v>
      </c>
      <c r="P354" s="2">
        <v>511.16</v>
      </c>
      <c r="Q354" t="s">
        <v>34</v>
      </c>
    </row>
    <row r="355" spans="1:17" x14ac:dyDescent="0.2">
      <c r="A355" t="s">
        <v>520</v>
      </c>
      <c r="B355" s="1">
        <v>45694</v>
      </c>
      <c r="C355" t="s">
        <v>77</v>
      </c>
      <c r="D355" t="s">
        <v>106</v>
      </c>
      <c r="E355" t="s">
        <v>236</v>
      </c>
      <c r="F355" t="s">
        <v>21</v>
      </c>
      <c r="G355" t="s">
        <v>22</v>
      </c>
      <c r="H355" t="s">
        <v>23</v>
      </c>
      <c r="I355" t="s">
        <v>83</v>
      </c>
      <c r="J355" t="s">
        <v>84</v>
      </c>
      <c r="K355">
        <v>10</v>
      </c>
      <c r="L355" s="2">
        <v>25.93</v>
      </c>
      <c r="M355" s="3">
        <v>0</v>
      </c>
      <c r="N355" s="2">
        <v>259.3</v>
      </c>
      <c r="O355" s="2">
        <v>204.8</v>
      </c>
      <c r="P355" s="2">
        <v>54.5</v>
      </c>
      <c r="Q355" t="s">
        <v>34</v>
      </c>
    </row>
    <row r="356" spans="1:17" x14ac:dyDescent="0.2">
      <c r="A356" t="s">
        <v>521</v>
      </c>
      <c r="B356" s="1">
        <v>45695</v>
      </c>
      <c r="C356" t="s">
        <v>43</v>
      </c>
      <c r="D356" t="s">
        <v>51</v>
      </c>
      <c r="E356" t="s">
        <v>52</v>
      </c>
      <c r="F356" t="s">
        <v>69</v>
      </c>
      <c r="G356" t="s">
        <v>22</v>
      </c>
      <c r="H356" t="s">
        <v>47</v>
      </c>
      <c r="I356" t="s">
        <v>141</v>
      </c>
      <c r="J356" t="s">
        <v>201</v>
      </c>
      <c r="K356">
        <v>7</v>
      </c>
      <c r="L356" s="2">
        <v>453.78</v>
      </c>
      <c r="M356" s="3">
        <v>0.1</v>
      </c>
      <c r="N356" s="2">
        <v>2858.81</v>
      </c>
      <c r="O356" s="2">
        <v>2304.7600000000002</v>
      </c>
      <c r="P356" s="2">
        <v>554.04999999999995</v>
      </c>
      <c r="Q356" t="s">
        <v>57</v>
      </c>
    </row>
    <row r="357" spans="1:17" x14ac:dyDescent="0.2">
      <c r="A357" t="s">
        <v>522</v>
      </c>
      <c r="B357" s="1">
        <v>45695</v>
      </c>
      <c r="C357" t="s">
        <v>18</v>
      </c>
      <c r="D357" t="s">
        <v>28</v>
      </c>
      <c r="E357" t="s">
        <v>157</v>
      </c>
      <c r="F357" t="s">
        <v>60</v>
      </c>
      <c r="G357" t="s">
        <v>22</v>
      </c>
      <c r="H357" t="s">
        <v>31</v>
      </c>
      <c r="I357" t="s">
        <v>40</v>
      </c>
      <c r="J357" t="s">
        <v>41</v>
      </c>
      <c r="K357">
        <v>4</v>
      </c>
      <c r="L357" s="2">
        <v>202.03</v>
      </c>
      <c r="M357" s="3">
        <v>0.05</v>
      </c>
      <c r="N357" s="2">
        <v>767.71</v>
      </c>
      <c r="O357" s="2">
        <v>564.66999999999996</v>
      </c>
      <c r="P357" s="2">
        <v>203.04</v>
      </c>
      <c r="Q357" t="s">
        <v>61</v>
      </c>
    </row>
    <row r="358" spans="1:17" x14ac:dyDescent="0.2">
      <c r="A358" t="s">
        <v>523</v>
      </c>
      <c r="B358" s="1">
        <v>45695</v>
      </c>
      <c r="C358" t="s">
        <v>43</v>
      </c>
      <c r="D358" t="s">
        <v>244</v>
      </c>
      <c r="E358" t="s">
        <v>245</v>
      </c>
      <c r="F358" t="s">
        <v>130</v>
      </c>
      <c r="G358" t="s">
        <v>75</v>
      </c>
      <c r="H358" t="s">
        <v>31</v>
      </c>
      <c r="I358" t="s">
        <v>32</v>
      </c>
      <c r="J358" t="s">
        <v>258</v>
      </c>
      <c r="K358">
        <v>9</v>
      </c>
      <c r="L358" s="2">
        <v>1796.86</v>
      </c>
      <c r="M358" s="3">
        <v>0</v>
      </c>
      <c r="N358" s="2">
        <v>16171.74</v>
      </c>
      <c r="O358" s="2">
        <v>12148.61</v>
      </c>
      <c r="P358" s="2">
        <v>4023.13</v>
      </c>
      <c r="Q358" t="s">
        <v>26</v>
      </c>
    </row>
    <row r="359" spans="1:17" x14ac:dyDescent="0.2">
      <c r="A359" t="s">
        <v>524</v>
      </c>
      <c r="B359" s="1">
        <v>45695</v>
      </c>
      <c r="C359" t="s">
        <v>18</v>
      </c>
      <c r="D359" t="s">
        <v>28</v>
      </c>
      <c r="E359" t="s">
        <v>29</v>
      </c>
      <c r="F359" t="s">
        <v>46</v>
      </c>
      <c r="G359" t="s">
        <v>22</v>
      </c>
      <c r="H359" t="s">
        <v>23</v>
      </c>
      <c r="I359" t="s">
        <v>24</v>
      </c>
      <c r="J359" t="s">
        <v>25</v>
      </c>
      <c r="K359">
        <v>3</v>
      </c>
      <c r="L359" s="2">
        <v>19.88</v>
      </c>
      <c r="M359" s="3">
        <v>0.1</v>
      </c>
      <c r="N359" s="2">
        <v>53.68</v>
      </c>
      <c r="O359" s="2">
        <v>43.58</v>
      </c>
      <c r="P359" s="2">
        <v>10.1</v>
      </c>
      <c r="Q359" t="s">
        <v>61</v>
      </c>
    </row>
    <row r="360" spans="1:17" x14ac:dyDescent="0.2">
      <c r="A360" t="s">
        <v>525</v>
      </c>
      <c r="B360" s="1">
        <v>45695</v>
      </c>
      <c r="C360" t="s">
        <v>43</v>
      </c>
      <c r="D360" t="s">
        <v>244</v>
      </c>
      <c r="E360" t="s">
        <v>326</v>
      </c>
      <c r="F360" t="s">
        <v>21</v>
      </c>
      <c r="G360" t="s">
        <v>54</v>
      </c>
      <c r="H360" t="s">
        <v>47</v>
      </c>
      <c r="I360" t="s">
        <v>48</v>
      </c>
      <c r="J360" t="s">
        <v>93</v>
      </c>
      <c r="K360">
        <v>2</v>
      </c>
      <c r="L360" s="2">
        <v>552.45000000000005</v>
      </c>
      <c r="M360" s="3">
        <v>0.05</v>
      </c>
      <c r="N360" s="2">
        <v>1049.6600000000001</v>
      </c>
      <c r="O360" s="2">
        <v>708.41</v>
      </c>
      <c r="P360" s="2">
        <v>341.25</v>
      </c>
      <c r="Q360" t="s">
        <v>61</v>
      </c>
    </row>
    <row r="361" spans="1:17" x14ac:dyDescent="0.2">
      <c r="A361" t="s">
        <v>526</v>
      </c>
      <c r="B361" s="1">
        <v>45695</v>
      </c>
      <c r="C361" t="s">
        <v>18</v>
      </c>
      <c r="D361" t="s">
        <v>86</v>
      </c>
      <c r="E361" t="s">
        <v>140</v>
      </c>
      <c r="F361" t="s">
        <v>39</v>
      </c>
      <c r="G361" t="s">
        <v>54</v>
      </c>
      <c r="H361" t="s">
        <v>31</v>
      </c>
      <c r="I361" t="s">
        <v>64</v>
      </c>
      <c r="J361" t="s">
        <v>65</v>
      </c>
      <c r="K361">
        <v>10</v>
      </c>
      <c r="L361" s="2">
        <v>109.76</v>
      </c>
      <c r="M361" s="3">
        <v>0.05</v>
      </c>
      <c r="N361" s="2">
        <v>1042.72</v>
      </c>
      <c r="O361" s="2">
        <v>766.87</v>
      </c>
      <c r="P361" s="2">
        <v>275.85000000000002</v>
      </c>
      <c r="Q361" t="s">
        <v>61</v>
      </c>
    </row>
    <row r="362" spans="1:17" x14ac:dyDescent="0.2">
      <c r="A362" t="s">
        <v>527</v>
      </c>
      <c r="B362" s="1">
        <v>45695</v>
      </c>
      <c r="C362" t="s">
        <v>77</v>
      </c>
      <c r="D362" t="s">
        <v>95</v>
      </c>
      <c r="E362" t="s">
        <v>96</v>
      </c>
      <c r="F362" t="s">
        <v>30</v>
      </c>
      <c r="G362" t="s">
        <v>54</v>
      </c>
      <c r="H362" t="s">
        <v>31</v>
      </c>
      <c r="I362" t="s">
        <v>32</v>
      </c>
      <c r="J362" t="s">
        <v>104</v>
      </c>
      <c r="K362">
        <v>7</v>
      </c>
      <c r="L362" s="2">
        <v>1104.53</v>
      </c>
      <c r="M362" s="3">
        <v>0.1</v>
      </c>
      <c r="N362" s="2">
        <v>6958.54</v>
      </c>
      <c r="O362" s="2">
        <v>5143.09</v>
      </c>
      <c r="P362" s="2">
        <v>1815.45</v>
      </c>
      <c r="Q362" t="s">
        <v>26</v>
      </c>
    </row>
    <row r="363" spans="1:17" x14ac:dyDescent="0.2">
      <c r="A363" t="s">
        <v>528</v>
      </c>
      <c r="B363" s="1">
        <v>45696</v>
      </c>
      <c r="C363" t="s">
        <v>36</v>
      </c>
      <c r="D363" t="s">
        <v>67</v>
      </c>
      <c r="E363" t="s">
        <v>323</v>
      </c>
      <c r="F363" t="s">
        <v>60</v>
      </c>
      <c r="G363" t="s">
        <v>22</v>
      </c>
      <c r="H363" t="s">
        <v>23</v>
      </c>
      <c r="I363" t="s">
        <v>55</v>
      </c>
      <c r="J363" t="s">
        <v>102</v>
      </c>
      <c r="K363">
        <v>1</v>
      </c>
      <c r="L363" s="2">
        <v>11.17</v>
      </c>
      <c r="M363" s="3">
        <v>0.05</v>
      </c>
      <c r="N363" s="2">
        <v>10.61</v>
      </c>
      <c r="O363" s="2">
        <v>6.45</v>
      </c>
      <c r="P363" s="2">
        <v>4.16</v>
      </c>
      <c r="Q363" t="s">
        <v>61</v>
      </c>
    </row>
    <row r="364" spans="1:17" x14ac:dyDescent="0.2">
      <c r="A364" t="s">
        <v>529</v>
      </c>
      <c r="B364" s="1">
        <v>45696</v>
      </c>
      <c r="C364" t="s">
        <v>18</v>
      </c>
      <c r="D364" t="s">
        <v>28</v>
      </c>
      <c r="E364" t="s">
        <v>170</v>
      </c>
      <c r="F364" t="s">
        <v>53</v>
      </c>
      <c r="G364" t="s">
        <v>22</v>
      </c>
      <c r="H364" t="s">
        <v>23</v>
      </c>
      <c r="I364" t="s">
        <v>79</v>
      </c>
      <c r="J364" t="s">
        <v>233</v>
      </c>
      <c r="K364">
        <v>7</v>
      </c>
      <c r="L364" s="2">
        <v>560.75</v>
      </c>
      <c r="M364" s="3">
        <v>0.05</v>
      </c>
      <c r="N364" s="2">
        <v>3728.99</v>
      </c>
      <c r="O364" s="2">
        <v>2541.89</v>
      </c>
      <c r="P364" s="2">
        <v>1187.0999999999999</v>
      </c>
      <c r="Q364" t="s">
        <v>34</v>
      </c>
    </row>
    <row r="365" spans="1:17" x14ac:dyDescent="0.2">
      <c r="A365" t="s">
        <v>530</v>
      </c>
      <c r="B365" s="1">
        <v>45696</v>
      </c>
      <c r="C365" t="s">
        <v>18</v>
      </c>
      <c r="D365" t="s">
        <v>28</v>
      </c>
      <c r="E365" t="s">
        <v>29</v>
      </c>
      <c r="F365" t="s">
        <v>138</v>
      </c>
      <c r="G365" t="s">
        <v>22</v>
      </c>
      <c r="H365" t="s">
        <v>23</v>
      </c>
      <c r="I365" t="s">
        <v>79</v>
      </c>
      <c r="J365" t="s">
        <v>233</v>
      </c>
      <c r="K365">
        <v>6</v>
      </c>
      <c r="L365" s="2">
        <v>131.72</v>
      </c>
      <c r="M365" s="3">
        <v>0</v>
      </c>
      <c r="N365" s="2">
        <v>790.32</v>
      </c>
      <c r="O365" s="2">
        <v>445.31</v>
      </c>
      <c r="P365" s="2">
        <v>345.01</v>
      </c>
      <c r="Q365" t="s">
        <v>34</v>
      </c>
    </row>
    <row r="366" spans="1:17" x14ac:dyDescent="0.2">
      <c r="A366" t="s">
        <v>531</v>
      </c>
      <c r="B366" s="1">
        <v>45696</v>
      </c>
      <c r="C366" t="s">
        <v>18</v>
      </c>
      <c r="D366" t="s">
        <v>133</v>
      </c>
      <c r="E366" t="s">
        <v>197</v>
      </c>
      <c r="F366" t="s">
        <v>69</v>
      </c>
      <c r="G366" t="s">
        <v>22</v>
      </c>
      <c r="H366" t="s">
        <v>31</v>
      </c>
      <c r="I366" t="s">
        <v>112</v>
      </c>
      <c r="J366" t="s">
        <v>113</v>
      </c>
      <c r="K366">
        <v>7</v>
      </c>
      <c r="L366" s="2">
        <v>478.51</v>
      </c>
      <c r="M366" s="3">
        <v>0.1</v>
      </c>
      <c r="N366" s="2">
        <v>3014.61</v>
      </c>
      <c r="O366" s="2">
        <v>2273.04</v>
      </c>
      <c r="P366" s="2">
        <v>741.57</v>
      </c>
      <c r="Q366" t="s">
        <v>57</v>
      </c>
    </row>
    <row r="367" spans="1:17" x14ac:dyDescent="0.2">
      <c r="A367" t="s">
        <v>532</v>
      </c>
      <c r="B367" s="1">
        <v>45696</v>
      </c>
      <c r="C367" t="s">
        <v>43</v>
      </c>
      <c r="D367" t="s">
        <v>51</v>
      </c>
      <c r="E367" t="s">
        <v>63</v>
      </c>
      <c r="F367" t="s">
        <v>30</v>
      </c>
      <c r="G367" t="s">
        <v>22</v>
      </c>
      <c r="H367" t="s">
        <v>47</v>
      </c>
      <c r="I367" t="s">
        <v>141</v>
      </c>
      <c r="J367" t="s">
        <v>142</v>
      </c>
      <c r="K367">
        <v>3</v>
      </c>
      <c r="L367" s="2">
        <v>163.31</v>
      </c>
      <c r="M367" s="3">
        <v>0.1</v>
      </c>
      <c r="N367" s="2">
        <v>440.94</v>
      </c>
      <c r="O367" s="2">
        <v>250.44</v>
      </c>
      <c r="P367" s="2">
        <v>190.5</v>
      </c>
      <c r="Q367" t="s">
        <v>61</v>
      </c>
    </row>
    <row r="368" spans="1:17" x14ac:dyDescent="0.2">
      <c r="A368" t="s">
        <v>533</v>
      </c>
      <c r="B368" s="1">
        <v>45696</v>
      </c>
      <c r="C368" t="s">
        <v>36</v>
      </c>
      <c r="D368" t="s">
        <v>67</v>
      </c>
      <c r="E368" t="s">
        <v>323</v>
      </c>
      <c r="F368" t="s">
        <v>39</v>
      </c>
      <c r="G368" t="s">
        <v>22</v>
      </c>
      <c r="H368" t="s">
        <v>47</v>
      </c>
      <c r="I368" t="s">
        <v>97</v>
      </c>
      <c r="J368" t="s">
        <v>168</v>
      </c>
      <c r="K368">
        <v>6</v>
      </c>
      <c r="L368" s="2">
        <v>596.23</v>
      </c>
      <c r="M368" s="3">
        <v>0.05</v>
      </c>
      <c r="N368" s="2">
        <v>3398.51</v>
      </c>
      <c r="O368" s="2">
        <v>1992.89</v>
      </c>
      <c r="P368" s="2">
        <v>1405.62</v>
      </c>
      <c r="Q368" t="s">
        <v>26</v>
      </c>
    </row>
    <row r="369" spans="1:17" x14ac:dyDescent="0.2">
      <c r="A369" t="s">
        <v>534</v>
      </c>
      <c r="B369" s="1">
        <v>45696</v>
      </c>
      <c r="C369" t="s">
        <v>77</v>
      </c>
      <c r="D369" t="s">
        <v>95</v>
      </c>
      <c r="E369" t="s">
        <v>96</v>
      </c>
      <c r="F369" t="s">
        <v>71</v>
      </c>
      <c r="G369" t="s">
        <v>22</v>
      </c>
      <c r="H369" t="s">
        <v>23</v>
      </c>
      <c r="I369" t="s">
        <v>24</v>
      </c>
      <c r="J369" t="s">
        <v>220</v>
      </c>
      <c r="K369">
        <v>9</v>
      </c>
      <c r="L369" s="2">
        <v>14.76</v>
      </c>
      <c r="M369" s="3">
        <v>0</v>
      </c>
      <c r="N369" s="2">
        <v>132.84</v>
      </c>
      <c r="O369" s="2">
        <v>88.09</v>
      </c>
      <c r="P369" s="2">
        <v>44.75</v>
      </c>
      <c r="Q369" t="s">
        <v>61</v>
      </c>
    </row>
    <row r="370" spans="1:17" x14ac:dyDescent="0.2">
      <c r="A370" t="s">
        <v>535</v>
      </c>
      <c r="B370" s="1">
        <v>45696</v>
      </c>
      <c r="C370" t="s">
        <v>43</v>
      </c>
      <c r="D370" t="s">
        <v>161</v>
      </c>
      <c r="E370" t="s">
        <v>172</v>
      </c>
      <c r="F370" t="s">
        <v>130</v>
      </c>
      <c r="G370" t="s">
        <v>75</v>
      </c>
      <c r="H370" t="s">
        <v>23</v>
      </c>
      <c r="I370" t="s">
        <v>24</v>
      </c>
      <c r="J370" t="s">
        <v>108</v>
      </c>
      <c r="K370">
        <v>7</v>
      </c>
      <c r="L370" s="2">
        <v>7.34</v>
      </c>
      <c r="M370" s="3">
        <v>0.15</v>
      </c>
      <c r="N370" s="2">
        <v>43.67</v>
      </c>
      <c r="O370" s="2">
        <v>33.520000000000003</v>
      </c>
      <c r="P370" s="2">
        <v>10.15</v>
      </c>
      <c r="Q370" t="s">
        <v>34</v>
      </c>
    </row>
    <row r="371" spans="1:17" x14ac:dyDescent="0.2">
      <c r="A371" t="s">
        <v>536</v>
      </c>
      <c r="B371" s="1">
        <v>45696</v>
      </c>
      <c r="C371" t="s">
        <v>77</v>
      </c>
      <c r="D371" t="s">
        <v>149</v>
      </c>
      <c r="E371" t="s">
        <v>150</v>
      </c>
      <c r="F371" t="s">
        <v>69</v>
      </c>
      <c r="G371" t="s">
        <v>22</v>
      </c>
      <c r="H371" t="s">
        <v>31</v>
      </c>
      <c r="I371" t="s">
        <v>40</v>
      </c>
      <c r="J371" t="s">
        <v>41</v>
      </c>
      <c r="K371">
        <v>8</v>
      </c>
      <c r="L371" s="2">
        <v>120.71</v>
      </c>
      <c r="M371" s="3">
        <v>0.2</v>
      </c>
      <c r="N371" s="2">
        <v>772.54</v>
      </c>
      <c r="O371" s="2">
        <v>496.49</v>
      </c>
      <c r="P371" s="2">
        <v>276.05</v>
      </c>
      <c r="Q371" t="s">
        <v>61</v>
      </c>
    </row>
    <row r="372" spans="1:17" x14ac:dyDescent="0.2">
      <c r="A372" t="s">
        <v>537</v>
      </c>
      <c r="B372" s="1">
        <v>45697</v>
      </c>
      <c r="C372" t="s">
        <v>18</v>
      </c>
      <c r="D372" t="s">
        <v>19</v>
      </c>
      <c r="E372" t="s">
        <v>20</v>
      </c>
      <c r="F372" t="s">
        <v>21</v>
      </c>
      <c r="G372" t="s">
        <v>54</v>
      </c>
      <c r="H372" t="s">
        <v>47</v>
      </c>
      <c r="I372" t="s">
        <v>97</v>
      </c>
      <c r="J372" t="s">
        <v>98</v>
      </c>
      <c r="K372">
        <v>7</v>
      </c>
      <c r="L372" s="2">
        <v>214.59</v>
      </c>
      <c r="M372" s="3">
        <v>0.2</v>
      </c>
      <c r="N372" s="2">
        <v>1201.7</v>
      </c>
      <c r="O372" s="2">
        <v>942.08</v>
      </c>
      <c r="P372" s="2">
        <v>259.62</v>
      </c>
      <c r="Q372" t="s">
        <v>34</v>
      </c>
    </row>
    <row r="373" spans="1:17" x14ac:dyDescent="0.2">
      <c r="A373" t="s">
        <v>538</v>
      </c>
      <c r="B373" s="1">
        <v>45697</v>
      </c>
      <c r="C373" t="s">
        <v>77</v>
      </c>
      <c r="D373" t="s">
        <v>149</v>
      </c>
      <c r="E373" t="s">
        <v>150</v>
      </c>
      <c r="F373" t="s">
        <v>69</v>
      </c>
      <c r="G373" t="s">
        <v>22</v>
      </c>
      <c r="H373" t="s">
        <v>47</v>
      </c>
      <c r="I373" t="s">
        <v>141</v>
      </c>
      <c r="J373" t="s">
        <v>142</v>
      </c>
      <c r="K373">
        <v>1</v>
      </c>
      <c r="L373" s="2">
        <v>407.24</v>
      </c>
      <c r="M373" s="3">
        <v>0</v>
      </c>
      <c r="N373" s="2">
        <v>407.24</v>
      </c>
      <c r="O373" s="2">
        <v>244.57</v>
      </c>
      <c r="P373" s="2">
        <v>162.66999999999999</v>
      </c>
      <c r="Q373" t="s">
        <v>26</v>
      </c>
    </row>
    <row r="374" spans="1:17" x14ac:dyDescent="0.2">
      <c r="A374" t="s">
        <v>539</v>
      </c>
      <c r="B374" s="1">
        <v>45697</v>
      </c>
      <c r="C374" t="s">
        <v>18</v>
      </c>
      <c r="D374" t="s">
        <v>19</v>
      </c>
      <c r="E374" t="s">
        <v>118</v>
      </c>
      <c r="F374" t="s">
        <v>60</v>
      </c>
      <c r="G374" t="s">
        <v>75</v>
      </c>
      <c r="H374" t="s">
        <v>31</v>
      </c>
      <c r="I374" t="s">
        <v>32</v>
      </c>
      <c r="J374" t="s">
        <v>33</v>
      </c>
      <c r="K374">
        <v>5</v>
      </c>
      <c r="L374" s="2">
        <v>789.97</v>
      </c>
      <c r="M374" s="3">
        <v>0</v>
      </c>
      <c r="N374" s="2">
        <v>3949.85</v>
      </c>
      <c r="O374" s="2">
        <v>2397.7199999999998</v>
      </c>
      <c r="P374" s="2">
        <v>1552.13</v>
      </c>
      <c r="Q374" t="s">
        <v>61</v>
      </c>
    </row>
    <row r="375" spans="1:17" x14ac:dyDescent="0.2">
      <c r="A375" t="s">
        <v>540</v>
      </c>
      <c r="B375" s="1">
        <v>45697</v>
      </c>
      <c r="C375" t="s">
        <v>77</v>
      </c>
      <c r="D375" t="s">
        <v>95</v>
      </c>
      <c r="E375" t="s">
        <v>96</v>
      </c>
      <c r="F375" t="s">
        <v>69</v>
      </c>
      <c r="G375" t="s">
        <v>22</v>
      </c>
      <c r="H375" t="s">
        <v>47</v>
      </c>
      <c r="I375" t="s">
        <v>48</v>
      </c>
      <c r="J375" t="s">
        <v>93</v>
      </c>
      <c r="K375">
        <v>3</v>
      </c>
      <c r="L375" s="2">
        <v>567.84</v>
      </c>
      <c r="M375" s="3">
        <v>0.1</v>
      </c>
      <c r="N375" s="2">
        <v>1533.17</v>
      </c>
      <c r="O375" s="2">
        <v>1250.43</v>
      </c>
      <c r="P375" s="2">
        <v>282.74</v>
      </c>
      <c r="Q375" t="s">
        <v>26</v>
      </c>
    </row>
    <row r="376" spans="1:17" x14ac:dyDescent="0.2">
      <c r="A376" t="s">
        <v>541</v>
      </c>
      <c r="B376" s="1">
        <v>45697</v>
      </c>
      <c r="C376" t="s">
        <v>18</v>
      </c>
      <c r="D376" t="s">
        <v>152</v>
      </c>
      <c r="E376" t="s">
        <v>185</v>
      </c>
      <c r="F376" t="s">
        <v>53</v>
      </c>
      <c r="G376" t="s">
        <v>75</v>
      </c>
      <c r="H376" t="s">
        <v>23</v>
      </c>
      <c r="I376" t="s">
        <v>55</v>
      </c>
      <c r="J376" t="s">
        <v>102</v>
      </c>
      <c r="K376">
        <v>2</v>
      </c>
      <c r="L376" s="2">
        <v>9.7799999999999994</v>
      </c>
      <c r="M376" s="3">
        <v>0</v>
      </c>
      <c r="N376" s="2">
        <v>19.559999999999999</v>
      </c>
      <c r="O376" s="2">
        <v>15.89</v>
      </c>
      <c r="P376" s="2">
        <v>3.67</v>
      </c>
      <c r="Q376" t="s">
        <v>34</v>
      </c>
    </row>
    <row r="377" spans="1:17" x14ac:dyDescent="0.2">
      <c r="A377" t="s">
        <v>542</v>
      </c>
      <c r="B377" s="1">
        <v>45698</v>
      </c>
      <c r="C377" t="s">
        <v>77</v>
      </c>
      <c r="D377" t="s">
        <v>106</v>
      </c>
      <c r="E377" t="s">
        <v>303</v>
      </c>
      <c r="F377" t="s">
        <v>130</v>
      </c>
      <c r="G377" t="s">
        <v>22</v>
      </c>
      <c r="H377" t="s">
        <v>23</v>
      </c>
      <c r="I377" t="s">
        <v>55</v>
      </c>
      <c r="J377" t="s">
        <v>173</v>
      </c>
      <c r="K377">
        <v>6</v>
      </c>
      <c r="L377" s="2">
        <v>5.63</v>
      </c>
      <c r="M377" s="3">
        <v>0.1</v>
      </c>
      <c r="N377" s="2">
        <v>30.4</v>
      </c>
      <c r="O377" s="2">
        <v>19.649999999999999</v>
      </c>
      <c r="P377" s="2">
        <v>10.75</v>
      </c>
      <c r="Q377" t="s">
        <v>57</v>
      </c>
    </row>
    <row r="378" spans="1:17" x14ac:dyDescent="0.2">
      <c r="A378" t="s">
        <v>543</v>
      </c>
      <c r="B378" s="1">
        <v>45698</v>
      </c>
      <c r="C378" t="s">
        <v>36</v>
      </c>
      <c r="D378" t="s">
        <v>73</v>
      </c>
      <c r="E378" t="s">
        <v>247</v>
      </c>
      <c r="F378" t="s">
        <v>53</v>
      </c>
      <c r="G378" t="s">
        <v>75</v>
      </c>
      <c r="H378" t="s">
        <v>31</v>
      </c>
      <c r="I378" t="s">
        <v>112</v>
      </c>
      <c r="J378" t="s">
        <v>176</v>
      </c>
      <c r="K378">
        <v>4</v>
      </c>
      <c r="L378" s="2">
        <v>243.22</v>
      </c>
      <c r="M378" s="3">
        <v>0.15</v>
      </c>
      <c r="N378" s="2">
        <v>826.95</v>
      </c>
      <c r="O378" s="2">
        <v>527.14</v>
      </c>
      <c r="P378" s="2">
        <v>299.81</v>
      </c>
      <c r="Q378" t="s">
        <v>61</v>
      </c>
    </row>
    <row r="379" spans="1:17" x14ac:dyDescent="0.2">
      <c r="A379" t="s">
        <v>544</v>
      </c>
      <c r="B379" s="1">
        <v>45698</v>
      </c>
      <c r="C379" t="s">
        <v>77</v>
      </c>
      <c r="D379" t="s">
        <v>95</v>
      </c>
      <c r="E379" t="s">
        <v>96</v>
      </c>
      <c r="F379" t="s">
        <v>138</v>
      </c>
      <c r="G379" t="s">
        <v>22</v>
      </c>
      <c r="H379" t="s">
        <v>23</v>
      </c>
      <c r="I379" t="s">
        <v>24</v>
      </c>
      <c r="J379" t="s">
        <v>25</v>
      </c>
      <c r="K379">
        <v>8</v>
      </c>
      <c r="L379" s="2">
        <v>16.440000000000001</v>
      </c>
      <c r="M379" s="3">
        <v>0</v>
      </c>
      <c r="N379" s="2">
        <v>131.52000000000001</v>
      </c>
      <c r="O379" s="2">
        <v>106.41</v>
      </c>
      <c r="P379" s="2">
        <v>25.11</v>
      </c>
      <c r="Q379" t="s">
        <v>34</v>
      </c>
    </row>
    <row r="380" spans="1:17" x14ac:dyDescent="0.2">
      <c r="A380" t="s">
        <v>545</v>
      </c>
      <c r="B380" s="1">
        <v>45698</v>
      </c>
      <c r="C380" t="s">
        <v>77</v>
      </c>
      <c r="D380" t="s">
        <v>78</v>
      </c>
      <c r="E380" t="s">
        <v>52</v>
      </c>
      <c r="F380" t="s">
        <v>138</v>
      </c>
      <c r="G380" t="s">
        <v>22</v>
      </c>
      <c r="H380" t="s">
        <v>23</v>
      </c>
      <c r="I380" t="s">
        <v>24</v>
      </c>
      <c r="J380" t="s">
        <v>220</v>
      </c>
      <c r="K380">
        <v>8</v>
      </c>
      <c r="L380" s="2">
        <v>9.48</v>
      </c>
      <c r="M380" s="3">
        <v>0.1</v>
      </c>
      <c r="N380" s="2">
        <v>68.260000000000005</v>
      </c>
      <c r="O380" s="2">
        <v>37.869999999999997</v>
      </c>
      <c r="P380" s="2">
        <v>30.39</v>
      </c>
      <c r="Q380" t="s">
        <v>34</v>
      </c>
    </row>
    <row r="381" spans="1:17" x14ac:dyDescent="0.2">
      <c r="A381" t="s">
        <v>546</v>
      </c>
      <c r="B381" s="1">
        <v>45698</v>
      </c>
      <c r="C381" t="s">
        <v>18</v>
      </c>
      <c r="D381" t="s">
        <v>19</v>
      </c>
      <c r="E381" t="s">
        <v>20</v>
      </c>
      <c r="F381" t="s">
        <v>46</v>
      </c>
      <c r="G381" t="s">
        <v>22</v>
      </c>
      <c r="H381" t="s">
        <v>31</v>
      </c>
      <c r="I381" t="s">
        <v>64</v>
      </c>
      <c r="J381" t="s">
        <v>65</v>
      </c>
      <c r="K381">
        <v>10</v>
      </c>
      <c r="L381" s="2">
        <v>35.619999999999997</v>
      </c>
      <c r="M381" s="3">
        <v>0.2</v>
      </c>
      <c r="N381" s="2">
        <v>284.95999999999998</v>
      </c>
      <c r="O381" s="2">
        <v>204.54</v>
      </c>
      <c r="P381" s="2">
        <v>80.42</v>
      </c>
      <c r="Q381" t="s">
        <v>26</v>
      </c>
    </row>
    <row r="382" spans="1:17" x14ac:dyDescent="0.2">
      <c r="A382" t="s">
        <v>547</v>
      </c>
      <c r="B382" s="1">
        <v>45698</v>
      </c>
      <c r="C382" t="s">
        <v>77</v>
      </c>
      <c r="D382" t="s">
        <v>149</v>
      </c>
      <c r="E382" t="s">
        <v>150</v>
      </c>
      <c r="F382" t="s">
        <v>60</v>
      </c>
      <c r="G382" t="s">
        <v>75</v>
      </c>
      <c r="H382" t="s">
        <v>23</v>
      </c>
      <c r="I382" t="s">
        <v>83</v>
      </c>
      <c r="J382" t="s">
        <v>84</v>
      </c>
      <c r="K382">
        <v>9</v>
      </c>
      <c r="L382" s="2">
        <v>12.3</v>
      </c>
      <c r="M382" s="3">
        <v>0</v>
      </c>
      <c r="N382" s="2">
        <v>110.7</v>
      </c>
      <c r="O382" s="2">
        <v>61.33</v>
      </c>
      <c r="P382" s="2">
        <v>49.37</v>
      </c>
      <c r="Q382" t="s">
        <v>57</v>
      </c>
    </row>
    <row r="383" spans="1:17" x14ac:dyDescent="0.2">
      <c r="A383" t="s">
        <v>548</v>
      </c>
      <c r="B383" s="1">
        <v>45698</v>
      </c>
      <c r="C383" t="s">
        <v>36</v>
      </c>
      <c r="D383" t="s">
        <v>73</v>
      </c>
      <c r="E383" t="s">
        <v>212</v>
      </c>
      <c r="F383" t="s">
        <v>71</v>
      </c>
      <c r="G383" t="s">
        <v>22</v>
      </c>
      <c r="H383" t="s">
        <v>31</v>
      </c>
      <c r="I383" t="s">
        <v>112</v>
      </c>
      <c r="J383" t="s">
        <v>176</v>
      </c>
      <c r="K383">
        <v>2</v>
      </c>
      <c r="L383" s="2">
        <v>550.70000000000005</v>
      </c>
      <c r="M383" s="3">
        <v>0</v>
      </c>
      <c r="N383" s="2">
        <v>1101.4000000000001</v>
      </c>
      <c r="O383" s="2">
        <v>670.55</v>
      </c>
      <c r="P383" s="2">
        <v>430.85</v>
      </c>
      <c r="Q383" t="s">
        <v>57</v>
      </c>
    </row>
    <row r="384" spans="1:17" x14ac:dyDescent="0.2">
      <c r="A384" t="s">
        <v>549</v>
      </c>
      <c r="B384" s="1">
        <v>45698</v>
      </c>
      <c r="C384" t="s">
        <v>43</v>
      </c>
      <c r="D384" t="s">
        <v>161</v>
      </c>
      <c r="E384" t="s">
        <v>418</v>
      </c>
      <c r="F384" t="s">
        <v>138</v>
      </c>
      <c r="G384" t="s">
        <v>22</v>
      </c>
      <c r="H384" t="s">
        <v>47</v>
      </c>
      <c r="I384" t="s">
        <v>97</v>
      </c>
      <c r="J384" t="s">
        <v>116</v>
      </c>
      <c r="K384">
        <v>4</v>
      </c>
      <c r="L384" s="2">
        <v>530.37</v>
      </c>
      <c r="M384" s="3">
        <v>0.15</v>
      </c>
      <c r="N384" s="2">
        <v>1803.26</v>
      </c>
      <c r="O384" s="2">
        <v>994.18</v>
      </c>
      <c r="P384" s="2">
        <v>809.08</v>
      </c>
      <c r="Q384" t="s">
        <v>57</v>
      </c>
    </row>
    <row r="385" spans="1:17" x14ac:dyDescent="0.2">
      <c r="A385" t="s">
        <v>550</v>
      </c>
      <c r="B385" s="1">
        <v>45698</v>
      </c>
      <c r="C385" t="s">
        <v>18</v>
      </c>
      <c r="D385" t="s">
        <v>86</v>
      </c>
      <c r="E385" t="s">
        <v>92</v>
      </c>
      <c r="F385" t="s">
        <v>21</v>
      </c>
      <c r="G385" t="s">
        <v>54</v>
      </c>
      <c r="H385" t="s">
        <v>47</v>
      </c>
      <c r="I385" t="s">
        <v>97</v>
      </c>
      <c r="J385" t="s">
        <v>168</v>
      </c>
      <c r="K385">
        <v>10</v>
      </c>
      <c r="L385" s="2">
        <v>239.2</v>
      </c>
      <c r="M385" s="3">
        <v>0.15</v>
      </c>
      <c r="N385" s="2">
        <v>2033.2</v>
      </c>
      <c r="O385" s="2">
        <v>1203.27</v>
      </c>
      <c r="P385" s="2">
        <v>829.93</v>
      </c>
      <c r="Q385" t="s">
        <v>26</v>
      </c>
    </row>
    <row r="386" spans="1:17" x14ac:dyDescent="0.2">
      <c r="A386" t="s">
        <v>551</v>
      </c>
      <c r="B386" s="1">
        <v>45699</v>
      </c>
      <c r="C386" t="s">
        <v>18</v>
      </c>
      <c r="D386" t="s">
        <v>28</v>
      </c>
      <c r="E386" t="s">
        <v>170</v>
      </c>
      <c r="F386" t="s">
        <v>138</v>
      </c>
      <c r="G386" t="s">
        <v>22</v>
      </c>
      <c r="H386" t="s">
        <v>47</v>
      </c>
      <c r="I386" t="s">
        <v>97</v>
      </c>
      <c r="J386" t="s">
        <v>116</v>
      </c>
      <c r="K386">
        <v>9</v>
      </c>
      <c r="L386" s="2">
        <v>620.07000000000005</v>
      </c>
      <c r="M386" s="3">
        <v>0.15</v>
      </c>
      <c r="N386" s="2">
        <v>4743.54</v>
      </c>
      <c r="O386" s="2">
        <v>3664.02</v>
      </c>
      <c r="P386" s="2">
        <v>1079.52</v>
      </c>
      <c r="Q386" t="s">
        <v>61</v>
      </c>
    </row>
    <row r="387" spans="1:17" x14ac:dyDescent="0.2">
      <c r="A387" t="s">
        <v>552</v>
      </c>
      <c r="B387" s="1">
        <v>45699</v>
      </c>
      <c r="C387" t="s">
        <v>36</v>
      </c>
      <c r="D387" t="s">
        <v>110</v>
      </c>
      <c r="E387" t="s">
        <v>115</v>
      </c>
      <c r="F387" t="s">
        <v>71</v>
      </c>
      <c r="G387" t="s">
        <v>22</v>
      </c>
      <c r="H387" t="s">
        <v>31</v>
      </c>
      <c r="I387" t="s">
        <v>64</v>
      </c>
      <c r="J387" t="s">
        <v>252</v>
      </c>
      <c r="K387">
        <v>8</v>
      </c>
      <c r="L387" s="2">
        <v>121.4</v>
      </c>
      <c r="M387" s="3">
        <v>0</v>
      </c>
      <c r="N387" s="2">
        <v>971.2</v>
      </c>
      <c r="O387" s="2">
        <v>633.91999999999996</v>
      </c>
      <c r="P387" s="2">
        <v>337.28</v>
      </c>
      <c r="Q387" t="s">
        <v>34</v>
      </c>
    </row>
    <row r="388" spans="1:17" x14ac:dyDescent="0.2">
      <c r="A388" t="s">
        <v>553</v>
      </c>
      <c r="B388" s="1">
        <v>45699</v>
      </c>
      <c r="C388" t="s">
        <v>77</v>
      </c>
      <c r="D388" t="s">
        <v>78</v>
      </c>
      <c r="E388" t="s">
        <v>295</v>
      </c>
      <c r="F388" t="s">
        <v>46</v>
      </c>
      <c r="G388" t="s">
        <v>75</v>
      </c>
      <c r="H388" t="s">
        <v>47</v>
      </c>
      <c r="I388" t="s">
        <v>97</v>
      </c>
      <c r="J388" t="s">
        <v>168</v>
      </c>
      <c r="K388">
        <v>9</v>
      </c>
      <c r="L388" s="2">
        <v>416.29</v>
      </c>
      <c r="M388" s="3">
        <v>0.15</v>
      </c>
      <c r="N388" s="2">
        <v>3184.62</v>
      </c>
      <c r="O388" s="2">
        <v>1957.69</v>
      </c>
      <c r="P388" s="2">
        <v>1226.93</v>
      </c>
      <c r="Q388" t="s">
        <v>34</v>
      </c>
    </row>
    <row r="389" spans="1:17" x14ac:dyDescent="0.2">
      <c r="A389" t="s">
        <v>554</v>
      </c>
      <c r="B389" s="1">
        <v>45699</v>
      </c>
      <c r="C389" t="s">
        <v>43</v>
      </c>
      <c r="D389" t="s">
        <v>51</v>
      </c>
      <c r="E389" t="s">
        <v>63</v>
      </c>
      <c r="F389" t="s">
        <v>53</v>
      </c>
      <c r="G389" t="s">
        <v>22</v>
      </c>
      <c r="H389" t="s">
        <v>23</v>
      </c>
      <c r="I389" t="s">
        <v>24</v>
      </c>
      <c r="J389" t="s">
        <v>220</v>
      </c>
      <c r="K389">
        <v>4</v>
      </c>
      <c r="L389" s="2">
        <v>29.05</v>
      </c>
      <c r="M389" s="3">
        <v>0</v>
      </c>
      <c r="N389" s="2">
        <v>116.2</v>
      </c>
      <c r="O389" s="2">
        <v>90.05</v>
      </c>
      <c r="P389" s="2">
        <v>26.15</v>
      </c>
      <c r="Q389" t="s">
        <v>26</v>
      </c>
    </row>
    <row r="390" spans="1:17" x14ac:dyDescent="0.2">
      <c r="A390" t="s">
        <v>555</v>
      </c>
      <c r="B390" s="1">
        <v>45699</v>
      </c>
      <c r="C390" t="s">
        <v>36</v>
      </c>
      <c r="D390" t="s">
        <v>37</v>
      </c>
      <c r="E390" t="s">
        <v>255</v>
      </c>
      <c r="F390" t="s">
        <v>21</v>
      </c>
      <c r="G390" t="s">
        <v>22</v>
      </c>
      <c r="H390" t="s">
        <v>23</v>
      </c>
      <c r="I390" t="s">
        <v>55</v>
      </c>
      <c r="J390" t="s">
        <v>173</v>
      </c>
      <c r="K390">
        <v>4</v>
      </c>
      <c r="L390" s="2">
        <v>7.9</v>
      </c>
      <c r="M390" s="3">
        <v>0.2</v>
      </c>
      <c r="N390" s="2">
        <v>25.28</v>
      </c>
      <c r="O390" s="2">
        <v>20.100000000000001</v>
      </c>
      <c r="P390" s="2">
        <v>5.18</v>
      </c>
      <c r="Q390" t="s">
        <v>61</v>
      </c>
    </row>
    <row r="391" spans="1:17" x14ac:dyDescent="0.2">
      <c r="A391" t="s">
        <v>556</v>
      </c>
      <c r="B391" s="1">
        <v>45699</v>
      </c>
      <c r="C391" t="s">
        <v>36</v>
      </c>
      <c r="D391" t="s">
        <v>37</v>
      </c>
      <c r="E391" t="s">
        <v>38</v>
      </c>
      <c r="F391" t="s">
        <v>39</v>
      </c>
      <c r="G391" t="s">
        <v>75</v>
      </c>
      <c r="H391" t="s">
        <v>23</v>
      </c>
      <c r="I391" t="s">
        <v>83</v>
      </c>
      <c r="J391" t="s">
        <v>120</v>
      </c>
      <c r="K391">
        <v>4</v>
      </c>
      <c r="L391" s="2">
        <v>23.65</v>
      </c>
      <c r="M391" s="3">
        <v>0.1</v>
      </c>
      <c r="N391" s="2">
        <v>85.14</v>
      </c>
      <c r="O391" s="2">
        <v>59.41</v>
      </c>
      <c r="P391" s="2">
        <v>25.73</v>
      </c>
      <c r="Q391" t="s">
        <v>26</v>
      </c>
    </row>
    <row r="392" spans="1:17" x14ac:dyDescent="0.2">
      <c r="A392" t="s">
        <v>557</v>
      </c>
      <c r="B392" s="1">
        <v>45699</v>
      </c>
      <c r="C392" t="s">
        <v>36</v>
      </c>
      <c r="D392" t="s">
        <v>73</v>
      </c>
      <c r="E392" t="s">
        <v>74</v>
      </c>
      <c r="F392" t="s">
        <v>69</v>
      </c>
      <c r="G392" t="s">
        <v>75</v>
      </c>
      <c r="H392" t="s">
        <v>47</v>
      </c>
      <c r="I392" t="s">
        <v>89</v>
      </c>
      <c r="J392" t="s">
        <v>204</v>
      </c>
      <c r="K392">
        <v>4</v>
      </c>
      <c r="L392" s="2">
        <v>205.49</v>
      </c>
      <c r="M392" s="3">
        <v>0.1</v>
      </c>
      <c r="N392" s="2">
        <v>739.76</v>
      </c>
      <c r="O392" s="2">
        <v>447.2</v>
      </c>
      <c r="P392" s="2">
        <v>292.56</v>
      </c>
      <c r="Q392" t="s">
        <v>34</v>
      </c>
    </row>
    <row r="393" spans="1:17" x14ac:dyDescent="0.2">
      <c r="A393" t="s">
        <v>558</v>
      </c>
      <c r="B393" s="1">
        <v>45699</v>
      </c>
      <c r="C393" t="s">
        <v>36</v>
      </c>
      <c r="D393" t="s">
        <v>110</v>
      </c>
      <c r="E393" t="s">
        <v>203</v>
      </c>
      <c r="F393" t="s">
        <v>69</v>
      </c>
      <c r="G393" t="s">
        <v>22</v>
      </c>
      <c r="H393" t="s">
        <v>47</v>
      </c>
      <c r="I393" t="s">
        <v>89</v>
      </c>
      <c r="J393" t="s">
        <v>90</v>
      </c>
      <c r="K393">
        <v>8</v>
      </c>
      <c r="L393" s="2">
        <v>238.52</v>
      </c>
      <c r="M393" s="3">
        <v>0.15</v>
      </c>
      <c r="N393" s="2">
        <v>1621.94</v>
      </c>
      <c r="O393" s="2">
        <v>1324.5</v>
      </c>
      <c r="P393" s="2">
        <v>297.44</v>
      </c>
      <c r="Q393" t="s">
        <v>61</v>
      </c>
    </row>
    <row r="394" spans="1:17" x14ac:dyDescent="0.2">
      <c r="A394" t="s">
        <v>559</v>
      </c>
      <c r="B394" s="1">
        <v>45700</v>
      </c>
      <c r="C394" t="s">
        <v>18</v>
      </c>
      <c r="D394" t="s">
        <v>19</v>
      </c>
      <c r="E394" t="s">
        <v>100</v>
      </c>
      <c r="F394" t="s">
        <v>30</v>
      </c>
      <c r="G394" t="s">
        <v>75</v>
      </c>
      <c r="H394" t="s">
        <v>23</v>
      </c>
      <c r="I394" t="s">
        <v>79</v>
      </c>
      <c r="J394" t="s">
        <v>179</v>
      </c>
      <c r="K394">
        <v>8</v>
      </c>
      <c r="L394" s="2">
        <v>141.31</v>
      </c>
      <c r="M394" s="3">
        <v>0</v>
      </c>
      <c r="N394" s="2">
        <v>1130.48</v>
      </c>
      <c r="O394" s="2">
        <v>913.78</v>
      </c>
      <c r="P394" s="2">
        <v>216.7</v>
      </c>
      <c r="Q394" t="s">
        <v>26</v>
      </c>
    </row>
    <row r="395" spans="1:17" x14ac:dyDescent="0.2">
      <c r="A395" t="s">
        <v>560</v>
      </c>
      <c r="B395" s="1">
        <v>45700</v>
      </c>
      <c r="C395" t="s">
        <v>43</v>
      </c>
      <c r="D395" t="s">
        <v>51</v>
      </c>
      <c r="E395" t="s">
        <v>63</v>
      </c>
      <c r="F395" t="s">
        <v>71</v>
      </c>
      <c r="G395" t="s">
        <v>22</v>
      </c>
      <c r="H395" t="s">
        <v>31</v>
      </c>
      <c r="I395" t="s">
        <v>40</v>
      </c>
      <c r="J395" t="s">
        <v>122</v>
      </c>
      <c r="K395">
        <v>7</v>
      </c>
      <c r="L395" s="2">
        <v>86.84</v>
      </c>
      <c r="M395" s="3">
        <v>0.15</v>
      </c>
      <c r="N395" s="2">
        <v>516.70000000000005</v>
      </c>
      <c r="O395" s="2">
        <v>296.61</v>
      </c>
      <c r="P395" s="2">
        <v>220.09</v>
      </c>
      <c r="Q395" t="s">
        <v>34</v>
      </c>
    </row>
    <row r="396" spans="1:17" x14ac:dyDescent="0.2">
      <c r="A396" t="s">
        <v>561</v>
      </c>
      <c r="B396" s="1">
        <v>45700</v>
      </c>
      <c r="C396" t="s">
        <v>77</v>
      </c>
      <c r="D396" t="s">
        <v>106</v>
      </c>
      <c r="E396" t="s">
        <v>107</v>
      </c>
      <c r="F396" t="s">
        <v>138</v>
      </c>
      <c r="G396" t="s">
        <v>75</v>
      </c>
      <c r="H396" t="s">
        <v>31</v>
      </c>
      <c r="I396" t="s">
        <v>32</v>
      </c>
      <c r="J396" t="s">
        <v>258</v>
      </c>
      <c r="K396">
        <v>8</v>
      </c>
      <c r="L396" s="2">
        <v>614.54</v>
      </c>
      <c r="M396" s="3">
        <v>0.05</v>
      </c>
      <c r="N396" s="2">
        <v>4670.5</v>
      </c>
      <c r="O396" s="2">
        <v>3119.74</v>
      </c>
      <c r="P396" s="2">
        <v>1550.76</v>
      </c>
      <c r="Q396" t="s">
        <v>57</v>
      </c>
    </row>
    <row r="397" spans="1:17" x14ac:dyDescent="0.2">
      <c r="A397" t="s">
        <v>562</v>
      </c>
      <c r="B397" s="1">
        <v>45700</v>
      </c>
      <c r="C397" t="s">
        <v>43</v>
      </c>
      <c r="D397" t="s">
        <v>161</v>
      </c>
      <c r="E397" t="s">
        <v>162</v>
      </c>
      <c r="F397" t="s">
        <v>71</v>
      </c>
      <c r="G397" t="s">
        <v>54</v>
      </c>
      <c r="H397" t="s">
        <v>31</v>
      </c>
      <c r="I397" t="s">
        <v>64</v>
      </c>
      <c r="J397" t="s">
        <v>65</v>
      </c>
      <c r="K397">
        <v>1</v>
      </c>
      <c r="L397" s="2">
        <v>74.36</v>
      </c>
      <c r="M397" s="3">
        <v>0.15</v>
      </c>
      <c r="N397" s="2">
        <v>63.21</v>
      </c>
      <c r="O397" s="2">
        <v>35.590000000000003</v>
      </c>
      <c r="P397" s="2">
        <v>27.62</v>
      </c>
      <c r="Q397" t="s">
        <v>34</v>
      </c>
    </row>
    <row r="398" spans="1:17" x14ac:dyDescent="0.2">
      <c r="A398" t="s">
        <v>563</v>
      </c>
      <c r="B398" s="1">
        <v>45700</v>
      </c>
      <c r="C398" t="s">
        <v>36</v>
      </c>
      <c r="D398" t="s">
        <v>37</v>
      </c>
      <c r="E398" t="s">
        <v>255</v>
      </c>
      <c r="F398" t="s">
        <v>39</v>
      </c>
      <c r="G398" t="s">
        <v>22</v>
      </c>
      <c r="H398" t="s">
        <v>31</v>
      </c>
      <c r="I398" t="s">
        <v>40</v>
      </c>
      <c r="J398" t="s">
        <v>41</v>
      </c>
      <c r="K398">
        <v>3</v>
      </c>
      <c r="L398" s="2">
        <v>135.88999999999999</v>
      </c>
      <c r="M398" s="3">
        <v>0.1</v>
      </c>
      <c r="N398" s="2">
        <v>366.9</v>
      </c>
      <c r="O398" s="2">
        <v>289.2</v>
      </c>
      <c r="P398" s="2">
        <v>77.7</v>
      </c>
      <c r="Q398" t="s">
        <v>34</v>
      </c>
    </row>
    <row r="399" spans="1:17" x14ac:dyDescent="0.2">
      <c r="A399" t="s">
        <v>564</v>
      </c>
      <c r="B399" s="1">
        <v>45700</v>
      </c>
      <c r="C399" t="s">
        <v>77</v>
      </c>
      <c r="D399" t="s">
        <v>95</v>
      </c>
      <c r="E399" t="s">
        <v>367</v>
      </c>
      <c r="F399" t="s">
        <v>30</v>
      </c>
      <c r="G399" t="s">
        <v>22</v>
      </c>
      <c r="H399" t="s">
        <v>23</v>
      </c>
      <c r="I399" t="s">
        <v>24</v>
      </c>
      <c r="J399" t="s">
        <v>25</v>
      </c>
      <c r="K399">
        <v>6</v>
      </c>
      <c r="L399" s="2">
        <v>7.18</v>
      </c>
      <c r="M399" s="3">
        <v>0.05</v>
      </c>
      <c r="N399" s="2">
        <v>40.93</v>
      </c>
      <c r="O399" s="2">
        <v>30.18</v>
      </c>
      <c r="P399" s="2">
        <v>10.75</v>
      </c>
      <c r="Q399" t="s">
        <v>34</v>
      </c>
    </row>
    <row r="400" spans="1:17" x14ac:dyDescent="0.2">
      <c r="A400" t="s">
        <v>565</v>
      </c>
      <c r="B400" s="1">
        <v>45700</v>
      </c>
      <c r="C400" t="s">
        <v>77</v>
      </c>
      <c r="D400" t="s">
        <v>106</v>
      </c>
      <c r="E400" t="s">
        <v>236</v>
      </c>
      <c r="F400" t="s">
        <v>138</v>
      </c>
      <c r="G400" t="s">
        <v>75</v>
      </c>
      <c r="H400" t="s">
        <v>23</v>
      </c>
      <c r="I400" t="s">
        <v>24</v>
      </c>
      <c r="J400" t="s">
        <v>220</v>
      </c>
      <c r="K400">
        <v>2</v>
      </c>
      <c r="L400" s="2">
        <v>18.96</v>
      </c>
      <c r="M400" s="3">
        <v>0.05</v>
      </c>
      <c r="N400" s="2">
        <v>36.020000000000003</v>
      </c>
      <c r="O400" s="2">
        <v>21.45</v>
      </c>
      <c r="P400" s="2">
        <v>14.57</v>
      </c>
      <c r="Q400" t="s">
        <v>57</v>
      </c>
    </row>
    <row r="401" spans="1:17" x14ac:dyDescent="0.2">
      <c r="A401" t="s">
        <v>566</v>
      </c>
      <c r="B401" s="1">
        <v>45701</v>
      </c>
      <c r="C401" t="s">
        <v>36</v>
      </c>
      <c r="D401" t="s">
        <v>37</v>
      </c>
      <c r="E401" t="s">
        <v>255</v>
      </c>
      <c r="F401" t="s">
        <v>53</v>
      </c>
      <c r="G401" t="s">
        <v>75</v>
      </c>
      <c r="H401" t="s">
        <v>47</v>
      </c>
      <c r="I401" t="s">
        <v>89</v>
      </c>
      <c r="J401" t="s">
        <v>90</v>
      </c>
      <c r="K401">
        <v>7</v>
      </c>
      <c r="L401" s="2">
        <v>266.17</v>
      </c>
      <c r="M401" s="3">
        <v>0</v>
      </c>
      <c r="N401" s="2">
        <v>1863.19</v>
      </c>
      <c r="O401" s="2">
        <v>1099.1500000000001</v>
      </c>
      <c r="P401" s="2">
        <v>764.04</v>
      </c>
      <c r="Q401" t="s">
        <v>61</v>
      </c>
    </row>
    <row r="402" spans="1:17" x14ac:dyDescent="0.2">
      <c r="A402" t="s">
        <v>567</v>
      </c>
      <c r="B402" s="1">
        <v>45701</v>
      </c>
      <c r="C402" t="s">
        <v>36</v>
      </c>
      <c r="D402" t="s">
        <v>73</v>
      </c>
      <c r="E402" t="s">
        <v>74</v>
      </c>
      <c r="F402" t="s">
        <v>39</v>
      </c>
      <c r="G402" t="s">
        <v>22</v>
      </c>
      <c r="H402" t="s">
        <v>31</v>
      </c>
      <c r="I402" t="s">
        <v>112</v>
      </c>
      <c r="J402" t="s">
        <v>136</v>
      </c>
      <c r="K402">
        <v>7</v>
      </c>
      <c r="L402" s="2">
        <v>273.11</v>
      </c>
      <c r="M402" s="3">
        <v>0</v>
      </c>
      <c r="N402" s="2">
        <v>1911.77</v>
      </c>
      <c r="O402" s="2">
        <v>1074.68</v>
      </c>
      <c r="P402" s="2">
        <v>837.09</v>
      </c>
      <c r="Q402" t="s">
        <v>57</v>
      </c>
    </row>
    <row r="403" spans="1:17" x14ac:dyDescent="0.2">
      <c r="A403" t="s">
        <v>568</v>
      </c>
      <c r="B403" s="1">
        <v>45701</v>
      </c>
      <c r="C403" t="s">
        <v>43</v>
      </c>
      <c r="D403" t="s">
        <v>208</v>
      </c>
      <c r="E403" t="s">
        <v>209</v>
      </c>
      <c r="F403" t="s">
        <v>21</v>
      </c>
      <c r="G403" t="s">
        <v>22</v>
      </c>
      <c r="H403" t="s">
        <v>23</v>
      </c>
      <c r="I403" t="s">
        <v>24</v>
      </c>
      <c r="J403" t="s">
        <v>108</v>
      </c>
      <c r="K403">
        <v>3</v>
      </c>
      <c r="L403" s="2">
        <v>15.69</v>
      </c>
      <c r="M403" s="3">
        <v>0.1</v>
      </c>
      <c r="N403" s="2">
        <v>42.36</v>
      </c>
      <c r="O403" s="2">
        <v>34.659999999999997</v>
      </c>
      <c r="P403" s="2">
        <v>7.7</v>
      </c>
      <c r="Q403" t="s">
        <v>61</v>
      </c>
    </row>
    <row r="404" spans="1:17" x14ac:dyDescent="0.2">
      <c r="A404" t="s">
        <v>569</v>
      </c>
      <c r="B404" s="1">
        <v>45701</v>
      </c>
      <c r="C404" t="s">
        <v>77</v>
      </c>
      <c r="D404" t="s">
        <v>95</v>
      </c>
      <c r="E404" t="s">
        <v>367</v>
      </c>
      <c r="F404" t="s">
        <v>138</v>
      </c>
      <c r="G404" t="s">
        <v>75</v>
      </c>
      <c r="H404" t="s">
        <v>47</v>
      </c>
      <c r="I404" t="s">
        <v>48</v>
      </c>
      <c r="J404" t="s">
        <v>49</v>
      </c>
      <c r="K404">
        <v>5</v>
      </c>
      <c r="L404" s="2">
        <v>711.99</v>
      </c>
      <c r="M404" s="3">
        <v>0.15</v>
      </c>
      <c r="N404" s="2">
        <v>3025.96</v>
      </c>
      <c r="O404" s="2">
        <v>2114.8000000000002</v>
      </c>
      <c r="P404" s="2">
        <v>911.16</v>
      </c>
      <c r="Q404" t="s">
        <v>34</v>
      </c>
    </row>
    <row r="405" spans="1:17" x14ac:dyDescent="0.2">
      <c r="A405" t="s">
        <v>570</v>
      </c>
      <c r="B405" s="1">
        <v>45701</v>
      </c>
      <c r="C405" t="s">
        <v>77</v>
      </c>
      <c r="D405" t="s">
        <v>149</v>
      </c>
      <c r="E405" t="s">
        <v>150</v>
      </c>
      <c r="F405" t="s">
        <v>71</v>
      </c>
      <c r="G405" t="s">
        <v>75</v>
      </c>
      <c r="H405" t="s">
        <v>23</v>
      </c>
      <c r="I405" t="s">
        <v>55</v>
      </c>
      <c r="J405" t="s">
        <v>56</v>
      </c>
      <c r="K405">
        <v>2</v>
      </c>
      <c r="L405" s="2">
        <v>17.64</v>
      </c>
      <c r="M405" s="3">
        <v>0.05</v>
      </c>
      <c r="N405" s="2">
        <v>33.520000000000003</v>
      </c>
      <c r="O405" s="2">
        <v>23.29</v>
      </c>
      <c r="P405" s="2">
        <v>10.23</v>
      </c>
      <c r="Q405" t="s">
        <v>61</v>
      </c>
    </row>
    <row r="406" spans="1:17" x14ac:dyDescent="0.2">
      <c r="A406" t="s">
        <v>571</v>
      </c>
      <c r="B406" s="1">
        <v>45702</v>
      </c>
      <c r="C406" t="s">
        <v>36</v>
      </c>
      <c r="D406" t="s">
        <v>110</v>
      </c>
      <c r="E406" t="s">
        <v>203</v>
      </c>
      <c r="F406" t="s">
        <v>46</v>
      </c>
      <c r="G406" t="s">
        <v>22</v>
      </c>
      <c r="H406" t="s">
        <v>31</v>
      </c>
      <c r="I406" t="s">
        <v>64</v>
      </c>
      <c r="J406" t="s">
        <v>252</v>
      </c>
      <c r="K406">
        <v>10</v>
      </c>
      <c r="L406" s="2">
        <v>153.30000000000001</v>
      </c>
      <c r="M406" s="3">
        <v>0</v>
      </c>
      <c r="N406" s="2">
        <v>1533</v>
      </c>
      <c r="O406" s="2">
        <v>935.48</v>
      </c>
      <c r="P406" s="2">
        <v>597.52</v>
      </c>
      <c r="Q406" t="s">
        <v>57</v>
      </c>
    </row>
    <row r="407" spans="1:17" x14ac:dyDescent="0.2">
      <c r="A407" t="s">
        <v>572</v>
      </c>
      <c r="B407" s="1">
        <v>45702</v>
      </c>
      <c r="C407" t="s">
        <v>43</v>
      </c>
      <c r="D407" t="s">
        <v>44</v>
      </c>
      <c r="E407" t="s">
        <v>82</v>
      </c>
      <c r="F407" t="s">
        <v>138</v>
      </c>
      <c r="G407" t="s">
        <v>54</v>
      </c>
      <c r="H407" t="s">
        <v>47</v>
      </c>
      <c r="I407" t="s">
        <v>48</v>
      </c>
      <c r="J407" t="s">
        <v>164</v>
      </c>
      <c r="K407">
        <v>9</v>
      </c>
      <c r="L407" s="2">
        <v>274.97000000000003</v>
      </c>
      <c r="M407" s="3">
        <v>0</v>
      </c>
      <c r="N407" s="2">
        <v>2474.73</v>
      </c>
      <c r="O407" s="2">
        <v>1447.27</v>
      </c>
      <c r="P407" s="2">
        <v>1027.46</v>
      </c>
      <c r="Q407" t="s">
        <v>34</v>
      </c>
    </row>
    <row r="408" spans="1:17" x14ac:dyDescent="0.2">
      <c r="A408" t="s">
        <v>573</v>
      </c>
      <c r="B408" s="1">
        <v>45702</v>
      </c>
      <c r="C408" t="s">
        <v>43</v>
      </c>
      <c r="D408" t="s">
        <v>208</v>
      </c>
      <c r="E408" t="s">
        <v>209</v>
      </c>
      <c r="F408" t="s">
        <v>53</v>
      </c>
      <c r="G408" t="s">
        <v>22</v>
      </c>
      <c r="H408" t="s">
        <v>31</v>
      </c>
      <c r="I408" t="s">
        <v>112</v>
      </c>
      <c r="J408" t="s">
        <v>113</v>
      </c>
      <c r="K408">
        <v>5</v>
      </c>
      <c r="L408" s="2">
        <v>156</v>
      </c>
      <c r="M408" s="3">
        <v>0.1</v>
      </c>
      <c r="N408" s="2">
        <v>702</v>
      </c>
      <c r="O408" s="2">
        <v>544.17999999999995</v>
      </c>
      <c r="P408" s="2">
        <v>157.82</v>
      </c>
      <c r="Q408" t="s">
        <v>57</v>
      </c>
    </row>
    <row r="409" spans="1:17" x14ac:dyDescent="0.2">
      <c r="A409" t="s">
        <v>574</v>
      </c>
      <c r="B409" s="1">
        <v>45702</v>
      </c>
      <c r="C409" t="s">
        <v>36</v>
      </c>
      <c r="D409" t="s">
        <v>37</v>
      </c>
      <c r="E409" t="s">
        <v>38</v>
      </c>
      <c r="F409" t="s">
        <v>130</v>
      </c>
      <c r="G409" t="s">
        <v>75</v>
      </c>
      <c r="H409" t="s">
        <v>23</v>
      </c>
      <c r="I409" t="s">
        <v>55</v>
      </c>
      <c r="J409" t="s">
        <v>173</v>
      </c>
      <c r="K409">
        <v>1</v>
      </c>
      <c r="L409" s="2">
        <v>18.64</v>
      </c>
      <c r="M409" s="3">
        <v>0</v>
      </c>
      <c r="N409" s="2">
        <v>18.64</v>
      </c>
      <c r="O409" s="2">
        <v>12.26</v>
      </c>
      <c r="P409" s="2">
        <v>6.38</v>
      </c>
      <c r="Q409" t="s">
        <v>61</v>
      </c>
    </row>
    <row r="410" spans="1:17" x14ac:dyDescent="0.2">
      <c r="A410" t="s">
        <v>575</v>
      </c>
      <c r="B410" s="1">
        <v>45702</v>
      </c>
      <c r="C410" t="s">
        <v>18</v>
      </c>
      <c r="D410" t="s">
        <v>152</v>
      </c>
      <c r="E410" t="s">
        <v>166</v>
      </c>
      <c r="F410" t="s">
        <v>39</v>
      </c>
      <c r="G410" t="s">
        <v>75</v>
      </c>
      <c r="H410" t="s">
        <v>23</v>
      </c>
      <c r="I410" t="s">
        <v>24</v>
      </c>
      <c r="J410" t="s">
        <v>25</v>
      </c>
      <c r="K410">
        <v>5</v>
      </c>
      <c r="L410" s="2">
        <v>19.46</v>
      </c>
      <c r="M410" s="3">
        <v>0.05</v>
      </c>
      <c r="N410" s="2">
        <v>92.44</v>
      </c>
      <c r="O410" s="2">
        <v>66.17</v>
      </c>
      <c r="P410" s="2">
        <v>26.27</v>
      </c>
      <c r="Q410" t="s">
        <v>61</v>
      </c>
    </row>
    <row r="411" spans="1:17" x14ac:dyDescent="0.2">
      <c r="A411" t="s">
        <v>576</v>
      </c>
      <c r="B411" s="1">
        <v>45702</v>
      </c>
      <c r="C411" t="s">
        <v>18</v>
      </c>
      <c r="D411" t="s">
        <v>19</v>
      </c>
      <c r="E411" t="s">
        <v>118</v>
      </c>
      <c r="F411" t="s">
        <v>71</v>
      </c>
      <c r="G411" t="s">
        <v>54</v>
      </c>
      <c r="H411" t="s">
        <v>47</v>
      </c>
      <c r="I411" t="s">
        <v>141</v>
      </c>
      <c r="J411" t="s">
        <v>372</v>
      </c>
      <c r="K411">
        <v>5</v>
      </c>
      <c r="L411" s="2">
        <v>715.08</v>
      </c>
      <c r="M411" s="3">
        <v>0.1</v>
      </c>
      <c r="N411" s="2">
        <v>3217.86</v>
      </c>
      <c r="O411" s="2">
        <v>2207.7800000000002</v>
      </c>
      <c r="P411" s="2">
        <v>1010.08</v>
      </c>
      <c r="Q411" t="s">
        <v>26</v>
      </c>
    </row>
    <row r="412" spans="1:17" x14ac:dyDescent="0.2">
      <c r="A412" t="s">
        <v>577</v>
      </c>
      <c r="B412" s="1">
        <v>45702</v>
      </c>
      <c r="C412" t="s">
        <v>77</v>
      </c>
      <c r="D412" t="s">
        <v>128</v>
      </c>
      <c r="E412" t="s">
        <v>155</v>
      </c>
      <c r="F412" t="s">
        <v>60</v>
      </c>
      <c r="G412" t="s">
        <v>75</v>
      </c>
      <c r="H412" t="s">
        <v>23</v>
      </c>
      <c r="I412" t="s">
        <v>24</v>
      </c>
      <c r="J412" t="s">
        <v>25</v>
      </c>
      <c r="K412">
        <v>7</v>
      </c>
      <c r="L412" s="2">
        <v>19.79</v>
      </c>
      <c r="M412" s="3">
        <v>0.15</v>
      </c>
      <c r="N412" s="2">
        <v>117.75</v>
      </c>
      <c r="O412" s="2">
        <v>91.85</v>
      </c>
      <c r="P412" s="2">
        <v>25.9</v>
      </c>
      <c r="Q412" t="s">
        <v>26</v>
      </c>
    </row>
    <row r="413" spans="1:17" x14ac:dyDescent="0.2">
      <c r="A413" t="s">
        <v>578</v>
      </c>
      <c r="B413" s="1">
        <v>45703</v>
      </c>
      <c r="C413" t="s">
        <v>18</v>
      </c>
      <c r="D413" t="s">
        <v>86</v>
      </c>
      <c r="E413" t="s">
        <v>140</v>
      </c>
      <c r="F413" t="s">
        <v>21</v>
      </c>
      <c r="G413" t="s">
        <v>22</v>
      </c>
      <c r="H413" t="s">
        <v>23</v>
      </c>
      <c r="I413" t="s">
        <v>83</v>
      </c>
      <c r="J413" t="s">
        <v>120</v>
      </c>
      <c r="K413">
        <v>1</v>
      </c>
      <c r="L413" s="2">
        <v>27.59</v>
      </c>
      <c r="M413" s="3">
        <v>0</v>
      </c>
      <c r="N413" s="2">
        <v>27.59</v>
      </c>
      <c r="O413" s="2">
        <v>20.04</v>
      </c>
      <c r="P413" s="2">
        <v>7.55</v>
      </c>
      <c r="Q413" t="s">
        <v>61</v>
      </c>
    </row>
    <row r="414" spans="1:17" x14ac:dyDescent="0.2">
      <c r="A414" t="s">
        <v>579</v>
      </c>
      <c r="B414" s="1">
        <v>45703</v>
      </c>
      <c r="C414" t="s">
        <v>36</v>
      </c>
      <c r="D414" t="s">
        <v>67</v>
      </c>
      <c r="E414" t="s">
        <v>270</v>
      </c>
      <c r="F414" t="s">
        <v>138</v>
      </c>
      <c r="G414" t="s">
        <v>22</v>
      </c>
      <c r="H414" t="s">
        <v>47</v>
      </c>
      <c r="I414" t="s">
        <v>89</v>
      </c>
      <c r="J414" t="s">
        <v>204</v>
      </c>
      <c r="K414">
        <v>7</v>
      </c>
      <c r="L414" s="2">
        <v>245.99</v>
      </c>
      <c r="M414" s="3">
        <v>0</v>
      </c>
      <c r="N414" s="2">
        <v>1721.93</v>
      </c>
      <c r="O414" s="2">
        <v>1340.68</v>
      </c>
      <c r="P414" s="2">
        <v>381.25</v>
      </c>
      <c r="Q414" t="s">
        <v>34</v>
      </c>
    </row>
    <row r="415" spans="1:17" x14ac:dyDescent="0.2">
      <c r="A415" t="s">
        <v>580</v>
      </c>
      <c r="B415" s="1">
        <v>45703</v>
      </c>
      <c r="C415" t="s">
        <v>43</v>
      </c>
      <c r="D415" t="s">
        <v>244</v>
      </c>
      <c r="E415" t="s">
        <v>326</v>
      </c>
      <c r="F415" t="s">
        <v>138</v>
      </c>
      <c r="G415" t="s">
        <v>75</v>
      </c>
      <c r="H415" t="s">
        <v>23</v>
      </c>
      <c r="I415" t="s">
        <v>83</v>
      </c>
      <c r="J415" t="s">
        <v>120</v>
      </c>
      <c r="K415">
        <v>7</v>
      </c>
      <c r="L415" s="2">
        <v>20.39</v>
      </c>
      <c r="M415" s="3">
        <v>0.1</v>
      </c>
      <c r="N415" s="2">
        <v>128.46</v>
      </c>
      <c r="O415" s="2">
        <v>78.16</v>
      </c>
      <c r="P415" s="2">
        <v>50.3</v>
      </c>
      <c r="Q415" t="s">
        <v>61</v>
      </c>
    </row>
    <row r="416" spans="1:17" x14ac:dyDescent="0.2">
      <c r="A416" t="s">
        <v>581</v>
      </c>
      <c r="B416" s="1">
        <v>45703</v>
      </c>
      <c r="C416" t="s">
        <v>43</v>
      </c>
      <c r="D416" t="s">
        <v>244</v>
      </c>
      <c r="E416" t="s">
        <v>245</v>
      </c>
      <c r="F416" t="s">
        <v>130</v>
      </c>
      <c r="G416" t="s">
        <v>75</v>
      </c>
      <c r="H416" t="s">
        <v>31</v>
      </c>
      <c r="I416" t="s">
        <v>40</v>
      </c>
      <c r="J416" t="s">
        <v>41</v>
      </c>
      <c r="K416">
        <v>2</v>
      </c>
      <c r="L416" s="2">
        <v>86.2</v>
      </c>
      <c r="M416" s="3">
        <v>0.1</v>
      </c>
      <c r="N416" s="2">
        <v>155.16</v>
      </c>
      <c r="O416" s="2">
        <v>96</v>
      </c>
      <c r="P416" s="2">
        <v>59.16</v>
      </c>
      <c r="Q416" t="s">
        <v>57</v>
      </c>
    </row>
    <row r="417" spans="1:17" x14ac:dyDescent="0.2">
      <c r="A417" t="s">
        <v>582</v>
      </c>
      <c r="B417" s="1">
        <v>45703</v>
      </c>
      <c r="C417" t="s">
        <v>36</v>
      </c>
      <c r="D417" t="s">
        <v>67</v>
      </c>
      <c r="E417" t="s">
        <v>323</v>
      </c>
      <c r="F417" t="s">
        <v>130</v>
      </c>
      <c r="G417" t="s">
        <v>54</v>
      </c>
      <c r="H417" t="s">
        <v>23</v>
      </c>
      <c r="I417" t="s">
        <v>24</v>
      </c>
      <c r="J417" t="s">
        <v>220</v>
      </c>
      <c r="K417">
        <v>8</v>
      </c>
      <c r="L417" s="2">
        <v>6.68</v>
      </c>
      <c r="M417" s="3">
        <v>0</v>
      </c>
      <c r="N417" s="2">
        <v>53.44</v>
      </c>
      <c r="O417" s="2">
        <v>30.31</v>
      </c>
      <c r="P417" s="2">
        <v>23.13</v>
      </c>
      <c r="Q417" t="s">
        <v>57</v>
      </c>
    </row>
    <row r="418" spans="1:17" x14ac:dyDescent="0.2">
      <c r="A418" t="s">
        <v>583</v>
      </c>
      <c r="B418" s="1">
        <v>45703</v>
      </c>
      <c r="C418" t="s">
        <v>18</v>
      </c>
      <c r="D418" t="s">
        <v>19</v>
      </c>
      <c r="E418" t="s">
        <v>20</v>
      </c>
      <c r="F418" t="s">
        <v>69</v>
      </c>
      <c r="G418" t="s">
        <v>54</v>
      </c>
      <c r="H418" t="s">
        <v>31</v>
      </c>
      <c r="I418" t="s">
        <v>64</v>
      </c>
      <c r="J418" t="s">
        <v>126</v>
      </c>
      <c r="K418">
        <v>7</v>
      </c>
      <c r="L418" s="2">
        <v>72.12</v>
      </c>
      <c r="M418" s="3">
        <v>0.15</v>
      </c>
      <c r="N418" s="2">
        <v>429.11</v>
      </c>
      <c r="O418" s="2">
        <v>289.45999999999998</v>
      </c>
      <c r="P418" s="2">
        <v>139.65</v>
      </c>
      <c r="Q418" t="s">
        <v>57</v>
      </c>
    </row>
    <row r="419" spans="1:17" x14ac:dyDescent="0.2">
      <c r="A419" t="s">
        <v>584</v>
      </c>
      <c r="B419" s="1">
        <v>45704</v>
      </c>
      <c r="C419" t="s">
        <v>77</v>
      </c>
      <c r="D419" t="s">
        <v>106</v>
      </c>
      <c r="E419" t="s">
        <v>303</v>
      </c>
      <c r="F419" t="s">
        <v>30</v>
      </c>
      <c r="G419" t="s">
        <v>22</v>
      </c>
      <c r="H419" t="s">
        <v>23</v>
      </c>
      <c r="I419" t="s">
        <v>55</v>
      </c>
      <c r="J419" t="s">
        <v>102</v>
      </c>
      <c r="K419">
        <v>8</v>
      </c>
      <c r="L419" s="2">
        <v>19.25</v>
      </c>
      <c r="M419" s="3">
        <v>0.1</v>
      </c>
      <c r="N419" s="2">
        <v>138.6</v>
      </c>
      <c r="O419" s="2">
        <v>90.06</v>
      </c>
      <c r="P419" s="2">
        <v>48.54</v>
      </c>
      <c r="Q419" t="s">
        <v>57</v>
      </c>
    </row>
    <row r="420" spans="1:17" x14ac:dyDescent="0.2">
      <c r="A420" t="s">
        <v>585</v>
      </c>
      <c r="B420" s="1">
        <v>45704</v>
      </c>
      <c r="C420" t="s">
        <v>36</v>
      </c>
      <c r="D420" t="s">
        <v>110</v>
      </c>
      <c r="E420" t="s">
        <v>203</v>
      </c>
      <c r="F420" t="s">
        <v>71</v>
      </c>
      <c r="G420" t="s">
        <v>22</v>
      </c>
      <c r="H420" t="s">
        <v>47</v>
      </c>
      <c r="I420" t="s">
        <v>48</v>
      </c>
      <c r="J420" t="s">
        <v>93</v>
      </c>
      <c r="K420">
        <v>5</v>
      </c>
      <c r="L420" s="2">
        <v>525.37</v>
      </c>
      <c r="M420" s="3">
        <v>0.05</v>
      </c>
      <c r="N420" s="2">
        <v>2495.5100000000002</v>
      </c>
      <c r="O420" s="2">
        <v>1479.84</v>
      </c>
      <c r="P420" s="2">
        <v>1015.67</v>
      </c>
      <c r="Q420" t="s">
        <v>57</v>
      </c>
    </row>
    <row r="421" spans="1:17" x14ac:dyDescent="0.2">
      <c r="A421" t="s">
        <v>586</v>
      </c>
      <c r="B421" s="1">
        <v>45704</v>
      </c>
      <c r="C421" t="s">
        <v>43</v>
      </c>
      <c r="D421" t="s">
        <v>51</v>
      </c>
      <c r="E421" t="s">
        <v>63</v>
      </c>
      <c r="F421" t="s">
        <v>39</v>
      </c>
      <c r="G421" t="s">
        <v>75</v>
      </c>
      <c r="H421" t="s">
        <v>47</v>
      </c>
      <c r="I421" t="s">
        <v>97</v>
      </c>
      <c r="J421" t="s">
        <v>98</v>
      </c>
      <c r="K421">
        <v>7</v>
      </c>
      <c r="L421" s="2">
        <v>561.35</v>
      </c>
      <c r="M421" s="3">
        <v>0</v>
      </c>
      <c r="N421" s="2">
        <v>3929.45</v>
      </c>
      <c r="O421" s="2">
        <v>2759.63</v>
      </c>
      <c r="P421" s="2">
        <v>1169.82</v>
      </c>
      <c r="Q421" t="s">
        <v>26</v>
      </c>
    </row>
    <row r="422" spans="1:17" x14ac:dyDescent="0.2">
      <c r="A422" t="s">
        <v>587</v>
      </c>
      <c r="B422" s="1">
        <v>45704</v>
      </c>
      <c r="C422" t="s">
        <v>77</v>
      </c>
      <c r="D422" t="s">
        <v>78</v>
      </c>
      <c r="E422" t="s">
        <v>295</v>
      </c>
      <c r="F422" t="s">
        <v>130</v>
      </c>
      <c r="G422" t="s">
        <v>54</v>
      </c>
      <c r="H422" t="s">
        <v>23</v>
      </c>
      <c r="I422" t="s">
        <v>79</v>
      </c>
      <c r="J422" t="s">
        <v>233</v>
      </c>
      <c r="K422">
        <v>7</v>
      </c>
      <c r="L422" s="2">
        <v>593.04</v>
      </c>
      <c r="M422" s="3">
        <v>0.05</v>
      </c>
      <c r="N422" s="2">
        <v>3943.72</v>
      </c>
      <c r="O422" s="2">
        <v>2646.13</v>
      </c>
      <c r="P422" s="2">
        <v>1297.5899999999999</v>
      </c>
      <c r="Q422" t="s">
        <v>26</v>
      </c>
    </row>
    <row r="423" spans="1:17" x14ac:dyDescent="0.2">
      <c r="A423" t="s">
        <v>588</v>
      </c>
      <c r="B423" s="1">
        <v>45704</v>
      </c>
      <c r="C423" t="s">
        <v>43</v>
      </c>
      <c r="D423" t="s">
        <v>44</v>
      </c>
      <c r="E423" t="s">
        <v>82</v>
      </c>
      <c r="F423" t="s">
        <v>130</v>
      </c>
      <c r="G423" t="s">
        <v>54</v>
      </c>
      <c r="H423" t="s">
        <v>31</v>
      </c>
      <c r="I423" t="s">
        <v>40</v>
      </c>
      <c r="J423" t="s">
        <v>216</v>
      </c>
      <c r="K423">
        <v>2</v>
      </c>
      <c r="L423" s="2">
        <v>176.22</v>
      </c>
      <c r="M423" s="3">
        <v>0.05</v>
      </c>
      <c r="N423" s="2">
        <v>334.82</v>
      </c>
      <c r="O423" s="2">
        <v>194.5</v>
      </c>
      <c r="P423" s="2">
        <v>140.32</v>
      </c>
      <c r="Q423" t="s">
        <v>26</v>
      </c>
    </row>
    <row r="424" spans="1:17" x14ac:dyDescent="0.2">
      <c r="A424" t="s">
        <v>589</v>
      </c>
      <c r="B424" s="1">
        <v>45704</v>
      </c>
      <c r="C424" t="s">
        <v>36</v>
      </c>
      <c r="D424" t="s">
        <v>73</v>
      </c>
      <c r="E424" t="s">
        <v>247</v>
      </c>
      <c r="F424" t="s">
        <v>30</v>
      </c>
      <c r="G424" t="s">
        <v>22</v>
      </c>
      <c r="H424" t="s">
        <v>23</v>
      </c>
      <c r="I424" t="s">
        <v>79</v>
      </c>
      <c r="J424" t="s">
        <v>80</v>
      </c>
      <c r="K424">
        <v>8</v>
      </c>
      <c r="L424" s="2">
        <v>368.05</v>
      </c>
      <c r="M424" s="3">
        <v>0.1</v>
      </c>
      <c r="N424" s="2">
        <v>2649.96</v>
      </c>
      <c r="O424" s="2">
        <v>1886.17</v>
      </c>
      <c r="P424" s="2">
        <v>763.79</v>
      </c>
      <c r="Q424" t="s">
        <v>26</v>
      </c>
    </row>
    <row r="425" spans="1:17" x14ac:dyDescent="0.2">
      <c r="A425" t="s">
        <v>590</v>
      </c>
      <c r="B425" s="1">
        <v>45705</v>
      </c>
      <c r="C425" t="s">
        <v>77</v>
      </c>
      <c r="D425" t="s">
        <v>95</v>
      </c>
      <c r="E425" t="s">
        <v>96</v>
      </c>
      <c r="F425" t="s">
        <v>60</v>
      </c>
      <c r="G425" t="s">
        <v>22</v>
      </c>
      <c r="H425" t="s">
        <v>31</v>
      </c>
      <c r="I425" t="s">
        <v>112</v>
      </c>
      <c r="J425" t="s">
        <v>176</v>
      </c>
      <c r="K425">
        <v>7</v>
      </c>
      <c r="L425" s="2">
        <v>628.33000000000004</v>
      </c>
      <c r="M425" s="3">
        <v>0.1</v>
      </c>
      <c r="N425" s="2">
        <v>3958.48</v>
      </c>
      <c r="O425" s="2">
        <v>2357.4899999999998</v>
      </c>
      <c r="P425" s="2">
        <v>1600.99</v>
      </c>
      <c r="Q425" t="s">
        <v>26</v>
      </c>
    </row>
    <row r="426" spans="1:17" x14ac:dyDescent="0.2">
      <c r="A426" t="s">
        <v>591</v>
      </c>
      <c r="B426" s="1">
        <v>45705</v>
      </c>
      <c r="C426" t="s">
        <v>18</v>
      </c>
      <c r="D426" t="s">
        <v>152</v>
      </c>
      <c r="E426" t="s">
        <v>185</v>
      </c>
      <c r="F426" t="s">
        <v>130</v>
      </c>
      <c r="G426" t="s">
        <v>22</v>
      </c>
      <c r="H426" t="s">
        <v>47</v>
      </c>
      <c r="I426" t="s">
        <v>141</v>
      </c>
      <c r="J426" t="s">
        <v>372</v>
      </c>
      <c r="K426">
        <v>3</v>
      </c>
      <c r="L426" s="2">
        <v>663.33</v>
      </c>
      <c r="M426" s="3">
        <v>0.05</v>
      </c>
      <c r="N426" s="2">
        <v>1890.49</v>
      </c>
      <c r="O426" s="2">
        <v>1174.25</v>
      </c>
      <c r="P426" s="2">
        <v>716.24</v>
      </c>
      <c r="Q426" t="s">
        <v>34</v>
      </c>
    </row>
    <row r="427" spans="1:17" x14ac:dyDescent="0.2">
      <c r="A427" t="s">
        <v>592</v>
      </c>
      <c r="B427" s="1">
        <v>45705</v>
      </c>
      <c r="C427" t="s">
        <v>36</v>
      </c>
      <c r="D427" t="s">
        <v>37</v>
      </c>
      <c r="E427" t="s">
        <v>38</v>
      </c>
      <c r="F427" t="s">
        <v>71</v>
      </c>
      <c r="G427" t="s">
        <v>22</v>
      </c>
      <c r="H427" t="s">
        <v>23</v>
      </c>
      <c r="I427" t="s">
        <v>83</v>
      </c>
      <c r="J427" t="s">
        <v>131</v>
      </c>
      <c r="K427">
        <v>10</v>
      </c>
      <c r="L427" s="2">
        <v>12.08</v>
      </c>
      <c r="M427" s="3">
        <v>0.15</v>
      </c>
      <c r="N427" s="2">
        <v>102.68</v>
      </c>
      <c r="O427" s="2">
        <v>69.930000000000007</v>
      </c>
      <c r="P427" s="2">
        <v>32.75</v>
      </c>
      <c r="Q427" t="s">
        <v>26</v>
      </c>
    </row>
    <row r="428" spans="1:17" x14ac:dyDescent="0.2">
      <c r="A428" t="s">
        <v>593</v>
      </c>
      <c r="B428" s="1">
        <v>45705</v>
      </c>
      <c r="C428" t="s">
        <v>77</v>
      </c>
      <c r="D428" t="s">
        <v>78</v>
      </c>
      <c r="E428" t="s">
        <v>261</v>
      </c>
      <c r="F428" t="s">
        <v>71</v>
      </c>
      <c r="G428" t="s">
        <v>75</v>
      </c>
      <c r="H428" t="s">
        <v>23</v>
      </c>
      <c r="I428" t="s">
        <v>79</v>
      </c>
      <c r="J428" t="s">
        <v>80</v>
      </c>
      <c r="K428">
        <v>9</v>
      </c>
      <c r="L428" s="2">
        <v>366.75</v>
      </c>
      <c r="M428" s="3">
        <v>0.05</v>
      </c>
      <c r="N428" s="2">
        <v>3135.71</v>
      </c>
      <c r="O428" s="2">
        <v>2426.7399999999998</v>
      </c>
      <c r="P428" s="2">
        <v>708.97</v>
      </c>
      <c r="Q428" t="s">
        <v>57</v>
      </c>
    </row>
    <row r="429" spans="1:17" x14ac:dyDescent="0.2">
      <c r="A429" t="s">
        <v>594</v>
      </c>
      <c r="B429" s="1">
        <v>45705</v>
      </c>
      <c r="C429" t="s">
        <v>43</v>
      </c>
      <c r="D429" t="s">
        <v>44</v>
      </c>
      <c r="E429" t="s">
        <v>82</v>
      </c>
      <c r="F429" t="s">
        <v>138</v>
      </c>
      <c r="G429" t="s">
        <v>75</v>
      </c>
      <c r="H429" t="s">
        <v>31</v>
      </c>
      <c r="I429" t="s">
        <v>112</v>
      </c>
      <c r="J429" t="s">
        <v>136</v>
      </c>
      <c r="K429">
        <v>6</v>
      </c>
      <c r="L429" s="2">
        <v>681.66</v>
      </c>
      <c r="M429" s="3">
        <v>0.15</v>
      </c>
      <c r="N429" s="2">
        <v>3476.47</v>
      </c>
      <c r="O429" s="2">
        <v>2328.04</v>
      </c>
      <c r="P429" s="2">
        <v>1148.43</v>
      </c>
      <c r="Q429" t="s">
        <v>57</v>
      </c>
    </row>
    <row r="430" spans="1:17" x14ac:dyDescent="0.2">
      <c r="A430" t="s">
        <v>595</v>
      </c>
      <c r="B430" s="1">
        <v>45705</v>
      </c>
      <c r="C430" t="s">
        <v>43</v>
      </c>
      <c r="D430" t="s">
        <v>161</v>
      </c>
      <c r="E430" t="s">
        <v>172</v>
      </c>
      <c r="F430" t="s">
        <v>69</v>
      </c>
      <c r="G430" t="s">
        <v>22</v>
      </c>
      <c r="H430" t="s">
        <v>23</v>
      </c>
      <c r="I430" t="s">
        <v>55</v>
      </c>
      <c r="J430" t="s">
        <v>56</v>
      </c>
      <c r="K430">
        <v>8</v>
      </c>
      <c r="L430" s="2">
        <v>7.37</v>
      </c>
      <c r="M430" s="3">
        <v>0.15</v>
      </c>
      <c r="N430" s="2">
        <v>50.12</v>
      </c>
      <c r="O430" s="2">
        <v>32.020000000000003</v>
      </c>
      <c r="P430" s="2">
        <v>18.100000000000001</v>
      </c>
      <c r="Q430" t="s">
        <v>34</v>
      </c>
    </row>
    <row r="431" spans="1:17" x14ac:dyDescent="0.2">
      <c r="A431" t="s">
        <v>596</v>
      </c>
      <c r="B431" s="1">
        <v>45705</v>
      </c>
      <c r="C431" t="s">
        <v>43</v>
      </c>
      <c r="D431" t="s">
        <v>161</v>
      </c>
      <c r="E431" t="s">
        <v>418</v>
      </c>
      <c r="F431" t="s">
        <v>53</v>
      </c>
      <c r="G431" t="s">
        <v>54</v>
      </c>
      <c r="H431" t="s">
        <v>31</v>
      </c>
      <c r="I431" t="s">
        <v>112</v>
      </c>
      <c r="J431" t="s">
        <v>136</v>
      </c>
      <c r="K431">
        <v>5</v>
      </c>
      <c r="L431" s="2">
        <v>180.04</v>
      </c>
      <c r="M431" s="3">
        <v>0</v>
      </c>
      <c r="N431" s="2">
        <v>900.2</v>
      </c>
      <c r="O431" s="2">
        <v>513.48</v>
      </c>
      <c r="P431" s="2">
        <v>386.72</v>
      </c>
      <c r="Q431" t="s">
        <v>57</v>
      </c>
    </row>
    <row r="432" spans="1:17" x14ac:dyDescent="0.2">
      <c r="A432" t="s">
        <v>597</v>
      </c>
      <c r="B432" s="1">
        <v>45706</v>
      </c>
      <c r="C432" t="s">
        <v>18</v>
      </c>
      <c r="D432" t="s">
        <v>86</v>
      </c>
      <c r="E432" t="s">
        <v>87</v>
      </c>
      <c r="F432" t="s">
        <v>60</v>
      </c>
      <c r="G432" t="s">
        <v>22</v>
      </c>
      <c r="H432" t="s">
        <v>47</v>
      </c>
      <c r="I432" t="s">
        <v>89</v>
      </c>
      <c r="J432" t="s">
        <v>240</v>
      </c>
      <c r="K432">
        <v>2</v>
      </c>
      <c r="L432" s="2">
        <v>261.45999999999998</v>
      </c>
      <c r="M432" s="3">
        <v>0.1</v>
      </c>
      <c r="N432" s="2">
        <v>470.63</v>
      </c>
      <c r="O432" s="2">
        <v>343.52</v>
      </c>
      <c r="P432" s="2">
        <v>127.11</v>
      </c>
      <c r="Q432" t="s">
        <v>34</v>
      </c>
    </row>
    <row r="433" spans="1:17" x14ac:dyDescent="0.2">
      <c r="A433" t="s">
        <v>598</v>
      </c>
      <c r="B433" s="1">
        <v>45706</v>
      </c>
      <c r="C433" t="s">
        <v>18</v>
      </c>
      <c r="D433" t="s">
        <v>152</v>
      </c>
      <c r="E433" t="s">
        <v>166</v>
      </c>
      <c r="F433" t="s">
        <v>46</v>
      </c>
      <c r="G433" t="s">
        <v>22</v>
      </c>
      <c r="H433" t="s">
        <v>31</v>
      </c>
      <c r="I433" t="s">
        <v>40</v>
      </c>
      <c r="J433" t="s">
        <v>122</v>
      </c>
      <c r="K433">
        <v>10</v>
      </c>
      <c r="L433" s="2">
        <v>154.94</v>
      </c>
      <c r="M433" s="3">
        <v>0.1</v>
      </c>
      <c r="N433" s="2">
        <v>1394.46</v>
      </c>
      <c r="O433" s="2">
        <v>1127.75</v>
      </c>
      <c r="P433" s="2">
        <v>266.70999999999998</v>
      </c>
      <c r="Q433" t="s">
        <v>26</v>
      </c>
    </row>
    <row r="434" spans="1:17" x14ac:dyDescent="0.2">
      <c r="A434" t="s">
        <v>599</v>
      </c>
      <c r="B434" s="1">
        <v>45706</v>
      </c>
      <c r="C434" t="s">
        <v>36</v>
      </c>
      <c r="D434" t="s">
        <v>144</v>
      </c>
      <c r="E434" t="s">
        <v>145</v>
      </c>
      <c r="F434" t="s">
        <v>46</v>
      </c>
      <c r="G434" t="s">
        <v>22</v>
      </c>
      <c r="H434" t="s">
        <v>23</v>
      </c>
      <c r="I434" t="s">
        <v>83</v>
      </c>
      <c r="J434" t="s">
        <v>84</v>
      </c>
      <c r="K434">
        <v>10</v>
      </c>
      <c r="L434" s="2">
        <v>19.09</v>
      </c>
      <c r="M434" s="3">
        <v>0.1</v>
      </c>
      <c r="N434" s="2">
        <v>171.81</v>
      </c>
      <c r="O434" s="2">
        <v>112.19</v>
      </c>
      <c r="P434" s="2">
        <v>59.62</v>
      </c>
      <c r="Q434" t="s">
        <v>34</v>
      </c>
    </row>
    <row r="435" spans="1:17" x14ac:dyDescent="0.2">
      <c r="A435" t="s">
        <v>600</v>
      </c>
      <c r="B435" s="1">
        <v>45706</v>
      </c>
      <c r="C435" t="s">
        <v>18</v>
      </c>
      <c r="D435" t="s">
        <v>86</v>
      </c>
      <c r="E435" t="s">
        <v>87</v>
      </c>
      <c r="F435" t="s">
        <v>130</v>
      </c>
      <c r="G435" t="s">
        <v>22</v>
      </c>
      <c r="H435" t="s">
        <v>23</v>
      </c>
      <c r="I435" t="s">
        <v>79</v>
      </c>
      <c r="J435" t="s">
        <v>233</v>
      </c>
      <c r="K435">
        <v>9</v>
      </c>
      <c r="L435" s="2">
        <v>365.66</v>
      </c>
      <c r="M435" s="3">
        <v>0.1</v>
      </c>
      <c r="N435" s="2">
        <v>2961.85</v>
      </c>
      <c r="O435" s="2">
        <v>2169.1799999999998</v>
      </c>
      <c r="P435" s="2">
        <v>792.67</v>
      </c>
      <c r="Q435" t="s">
        <v>57</v>
      </c>
    </row>
    <row r="436" spans="1:17" x14ac:dyDescent="0.2">
      <c r="A436" t="s">
        <v>601</v>
      </c>
      <c r="B436" s="1">
        <v>45706</v>
      </c>
      <c r="C436" t="s">
        <v>77</v>
      </c>
      <c r="D436" t="s">
        <v>95</v>
      </c>
      <c r="E436" t="s">
        <v>96</v>
      </c>
      <c r="F436" t="s">
        <v>130</v>
      </c>
      <c r="G436" t="s">
        <v>22</v>
      </c>
      <c r="H436" t="s">
        <v>31</v>
      </c>
      <c r="I436" t="s">
        <v>64</v>
      </c>
      <c r="J436" t="s">
        <v>65</v>
      </c>
      <c r="K436">
        <v>6</v>
      </c>
      <c r="L436" s="2">
        <v>68.06</v>
      </c>
      <c r="M436" s="3">
        <v>0</v>
      </c>
      <c r="N436" s="2">
        <v>408.36</v>
      </c>
      <c r="O436" s="2">
        <v>302.41000000000003</v>
      </c>
      <c r="P436" s="2">
        <v>105.95</v>
      </c>
      <c r="Q436" t="s">
        <v>61</v>
      </c>
    </row>
    <row r="437" spans="1:17" x14ac:dyDescent="0.2">
      <c r="A437" t="s">
        <v>602</v>
      </c>
      <c r="B437" s="1">
        <v>45706</v>
      </c>
      <c r="C437" t="s">
        <v>36</v>
      </c>
      <c r="D437" t="s">
        <v>37</v>
      </c>
      <c r="E437" t="s">
        <v>255</v>
      </c>
      <c r="F437" t="s">
        <v>130</v>
      </c>
      <c r="G437" t="s">
        <v>22</v>
      </c>
      <c r="H437" t="s">
        <v>31</v>
      </c>
      <c r="I437" t="s">
        <v>32</v>
      </c>
      <c r="J437" t="s">
        <v>258</v>
      </c>
      <c r="K437">
        <v>5</v>
      </c>
      <c r="L437" s="2">
        <v>810.24</v>
      </c>
      <c r="M437" s="3">
        <v>0.1</v>
      </c>
      <c r="N437" s="2">
        <v>3646.08</v>
      </c>
      <c r="O437" s="2">
        <v>2735.65</v>
      </c>
      <c r="P437" s="2">
        <v>910.43</v>
      </c>
      <c r="Q437" t="s">
        <v>26</v>
      </c>
    </row>
    <row r="438" spans="1:17" x14ac:dyDescent="0.2">
      <c r="A438" t="s">
        <v>603</v>
      </c>
      <c r="B438" s="1">
        <v>45706</v>
      </c>
      <c r="C438" t="s">
        <v>36</v>
      </c>
      <c r="D438" t="s">
        <v>37</v>
      </c>
      <c r="E438" t="s">
        <v>255</v>
      </c>
      <c r="F438" t="s">
        <v>30</v>
      </c>
      <c r="G438" t="s">
        <v>22</v>
      </c>
      <c r="H438" t="s">
        <v>23</v>
      </c>
      <c r="I438" t="s">
        <v>83</v>
      </c>
      <c r="J438" t="s">
        <v>84</v>
      </c>
      <c r="K438">
        <v>4</v>
      </c>
      <c r="L438" s="2">
        <v>29.91</v>
      </c>
      <c r="M438" s="3">
        <v>0.05</v>
      </c>
      <c r="N438" s="2">
        <v>113.66</v>
      </c>
      <c r="O438" s="2">
        <v>85.01</v>
      </c>
      <c r="P438" s="2">
        <v>28.65</v>
      </c>
      <c r="Q438" t="s">
        <v>26</v>
      </c>
    </row>
    <row r="439" spans="1:17" x14ac:dyDescent="0.2">
      <c r="A439" t="s">
        <v>604</v>
      </c>
      <c r="B439" s="1">
        <v>45706</v>
      </c>
      <c r="C439" t="s">
        <v>36</v>
      </c>
      <c r="D439" t="s">
        <v>110</v>
      </c>
      <c r="E439" t="s">
        <v>115</v>
      </c>
      <c r="F439" t="s">
        <v>46</v>
      </c>
      <c r="G439" t="s">
        <v>54</v>
      </c>
      <c r="H439" t="s">
        <v>23</v>
      </c>
      <c r="I439" t="s">
        <v>83</v>
      </c>
      <c r="J439" t="s">
        <v>120</v>
      </c>
      <c r="K439">
        <v>2</v>
      </c>
      <c r="L439" s="2">
        <v>31.45</v>
      </c>
      <c r="M439" s="3">
        <v>0.2</v>
      </c>
      <c r="N439" s="2">
        <v>50.32</v>
      </c>
      <c r="O439" s="2">
        <v>34.58</v>
      </c>
      <c r="P439" s="2">
        <v>15.74</v>
      </c>
      <c r="Q439" t="s">
        <v>26</v>
      </c>
    </row>
    <row r="440" spans="1:17" x14ac:dyDescent="0.2">
      <c r="A440" t="s">
        <v>605</v>
      </c>
      <c r="B440" s="1">
        <v>45706</v>
      </c>
      <c r="C440" t="s">
        <v>77</v>
      </c>
      <c r="D440" t="s">
        <v>128</v>
      </c>
      <c r="E440" t="s">
        <v>129</v>
      </c>
      <c r="F440" t="s">
        <v>130</v>
      </c>
      <c r="G440" t="s">
        <v>75</v>
      </c>
      <c r="H440" t="s">
        <v>23</v>
      </c>
      <c r="I440" t="s">
        <v>24</v>
      </c>
      <c r="J440" t="s">
        <v>108</v>
      </c>
      <c r="K440">
        <v>9</v>
      </c>
      <c r="L440" s="2">
        <v>9.01</v>
      </c>
      <c r="M440" s="3">
        <v>0.1</v>
      </c>
      <c r="N440" s="2">
        <v>72.98</v>
      </c>
      <c r="O440" s="2">
        <v>58.62</v>
      </c>
      <c r="P440" s="2">
        <v>14.36</v>
      </c>
      <c r="Q440" t="s">
        <v>57</v>
      </c>
    </row>
    <row r="441" spans="1:17" x14ac:dyDescent="0.2">
      <c r="A441" t="s">
        <v>606</v>
      </c>
      <c r="B441" s="1">
        <v>45706</v>
      </c>
      <c r="C441" t="s">
        <v>43</v>
      </c>
      <c r="D441" t="s">
        <v>51</v>
      </c>
      <c r="E441" t="s">
        <v>52</v>
      </c>
      <c r="F441" t="s">
        <v>46</v>
      </c>
      <c r="G441" t="s">
        <v>22</v>
      </c>
      <c r="H441" t="s">
        <v>23</v>
      </c>
      <c r="I441" t="s">
        <v>55</v>
      </c>
      <c r="J441" t="s">
        <v>173</v>
      </c>
      <c r="K441">
        <v>10</v>
      </c>
      <c r="L441" s="2">
        <v>18.91</v>
      </c>
      <c r="M441" s="3">
        <v>0.1</v>
      </c>
      <c r="N441" s="2">
        <v>170.19</v>
      </c>
      <c r="O441" s="2">
        <v>137.77000000000001</v>
      </c>
      <c r="P441" s="2">
        <v>32.42</v>
      </c>
      <c r="Q441" t="s">
        <v>57</v>
      </c>
    </row>
    <row r="442" spans="1:17" x14ac:dyDescent="0.2">
      <c r="A442" t="s">
        <v>607</v>
      </c>
      <c r="B442" s="1">
        <v>45706</v>
      </c>
      <c r="C442" t="s">
        <v>36</v>
      </c>
      <c r="D442" t="s">
        <v>67</v>
      </c>
      <c r="E442" t="s">
        <v>323</v>
      </c>
      <c r="F442" t="s">
        <v>69</v>
      </c>
      <c r="G442" t="s">
        <v>22</v>
      </c>
      <c r="H442" t="s">
        <v>31</v>
      </c>
      <c r="I442" t="s">
        <v>32</v>
      </c>
      <c r="J442" t="s">
        <v>258</v>
      </c>
      <c r="K442">
        <v>10</v>
      </c>
      <c r="L442" s="2">
        <v>1500.03</v>
      </c>
      <c r="M442" s="3">
        <v>0.05</v>
      </c>
      <c r="N442" s="2">
        <v>14250.28</v>
      </c>
      <c r="O442" s="2">
        <v>9797.65</v>
      </c>
      <c r="P442" s="2">
        <v>4452.63</v>
      </c>
      <c r="Q442" t="s">
        <v>57</v>
      </c>
    </row>
    <row r="443" spans="1:17" x14ac:dyDescent="0.2">
      <c r="A443" t="s">
        <v>608</v>
      </c>
      <c r="B443" s="1">
        <v>45707</v>
      </c>
      <c r="C443" t="s">
        <v>77</v>
      </c>
      <c r="D443" t="s">
        <v>128</v>
      </c>
      <c r="E443" t="s">
        <v>159</v>
      </c>
      <c r="F443" t="s">
        <v>21</v>
      </c>
      <c r="G443" t="s">
        <v>22</v>
      </c>
      <c r="H443" t="s">
        <v>47</v>
      </c>
      <c r="I443" t="s">
        <v>89</v>
      </c>
      <c r="J443" t="s">
        <v>240</v>
      </c>
      <c r="K443">
        <v>8</v>
      </c>
      <c r="L443" s="2">
        <v>437.68</v>
      </c>
      <c r="M443" s="3">
        <v>0.2</v>
      </c>
      <c r="N443" s="2">
        <v>2801.15</v>
      </c>
      <c r="O443" s="2">
        <v>2007.34</v>
      </c>
      <c r="P443" s="2">
        <v>793.81</v>
      </c>
      <c r="Q443" t="s">
        <v>57</v>
      </c>
    </row>
    <row r="444" spans="1:17" x14ac:dyDescent="0.2">
      <c r="A444" t="s">
        <v>609</v>
      </c>
      <c r="B444" s="1">
        <v>45708</v>
      </c>
      <c r="C444" t="s">
        <v>36</v>
      </c>
      <c r="D444" t="s">
        <v>110</v>
      </c>
      <c r="E444" t="s">
        <v>203</v>
      </c>
      <c r="F444" t="s">
        <v>30</v>
      </c>
      <c r="G444" t="s">
        <v>54</v>
      </c>
      <c r="H444" t="s">
        <v>31</v>
      </c>
      <c r="I444" t="s">
        <v>112</v>
      </c>
      <c r="J444" t="s">
        <v>176</v>
      </c>
      <c r="K444">
        <v>8</v>
      </c>
      <c r="L444" s="2">
        <v>638.57000000000005</v>
      </c>
      <c r="M444" s="3">
        <v>0</v>
      </c>
      <c r="N444" s="2">
        <v>5108.5600000000004</v>
      </c>
      <c r="O444" s="2">
        <v>3875.73</v>
      </c>
      <c r="P444" s="2">
        <v>1232.83</v>
      </c>
      <c r="Q444" t="s">
        <v>34</v>
      </c>
    </row>
    <row r="445" spans="1:17" x14ac:dyDescent="0.2">
      <c r="A445" t="s">
        <v>610</v>
      </c>
      <c r="B445" s="1">
        <v>45708</v>
      </c>
      <c r="C445" t="s">
        <v>36</v>
      </c>
      <c r="D445" t="s">
        <v>110</v>
      </c>
      <c r="E445" t="s">
        <v>203</v>
      </c>
      <c r="F445" t="s">
        <v>46</v>
      </c>
      <c r="G445" t="s">
        <v>75</v>
      </c>
      <c r="H445" t="s">
        <v>47</v>
      </c>
      <c r="I445" t="s">
        <v>141</v>
      </c>
      <c r="J445" t="s">
        <v>372</v>
      </c>
      <c r="K445">
        <v>8</v>
      </c>
      <c r="L445" s="2">
        <v>152.46</v>
      </c>
      <c r="M445" s="3">
        <v>0.1</v>
      </c>
      <c r="N445" s="2">
        <v>1097.71</v>
      </c>
      <c r="O445" s="2">
        <v>657.11</v>
      </c>
      <c r="P445" s="2">
        <v>440.6</v>
      </c>
      <c r="Q445" t="s">
        <v>61</v>
      </c>
    </row>
    <row r="446" spans="1:17" x14ac:dyDescent="0.2">
      <c r="A446" t="s">
        <v>611</v>
      </c>
      <c r="B446" s="1">
        <v>45708</v>
      </c>
      <c r="C446" t="s">
        <v>36</v>
      </c>
      <c r="D446" t="s">
        <v>73</v>
      </c>
      <c r="E446" t="s">
        <v>212</v>
      </c>
      <c r="F446" t="s">
        <v>39</v>
      </c>
      <c r="G446" t="s">
        <v>75</v>
      </c>
      <c r="H446" t="s">
        <v>47</v>
      </c>
      <c r="I446" t="s">
        <v>48</v>
      </c>
      <c r="J446" t="s">
        <v>164</v>
      </c>
      <c r="K446">
        <v>1</v>
      </c>
      <c r="L446" s="2">
        <v>705.18</v>
      </c>
      <c r="M446" s="3">
        <v>0</v>
      </c>
      <c r="N446" s="2">
        <v>705.18</v>
      </c>
      <c r="O446" s="2">
        <v>472.59</v>
      </c>
      <c r="P446" s="2">
        <v>232.59</v>
      </c>
      <c r="Q446" t="s">
        <v>26</v>
      </c>
    </row>
    <row r="447" spans="1:17" x14ac:dyDescent="0.2">
      <c r="A447" t="s">
        <v>612</v>
      </c>
      <c r="B447" s="1">
        <v>45708</v>
      </c>
      <c r="C447" t="s">
        <v>36</v>
      </c>
      <c r="D447" t="s">
        <v>144</v>
      </c>
      <c r="E447" t="s">
        <v>214</v>
      </c>
      <c r="F447" t="s">
        <v>53</v>
      </c>
      <c r="G447" t="s">
        <v>22</v>
      </c>
      <c r="H447" t="s">
        <v>31</v>
      </c>
      <c r="I447" t="s">
        <v>112</v>
      </c>
      <c r="J447" t="s">
        <v>113</v>
      </c>
      <c r="K447">
        <v>1</v>
      </c>
      <c r="L447" s="2">
        <v>396.91</v>
      </c>
      <c r="M447" s="3">
        <v>0</v>
      </c>
      <c r="N447" s="2">
        <v>396.91</v>
      </c>
      <c r="O447" s="2">
        <v>303.95</v>
      </c>
      <c r="P447" s="2">
        <v>92.96</v>
      </c>
      <c r="Q447" t="s">
        <v>26</v>
      </c>
    </row>
    <row r="448" spans="1:17" x14ac:dyDescent="0.2">
      <c r="A448" t="s">
        <v>613</v>
      </c>
      <c r="B448" s="1">
        <v>45708</v>
      </c>
      <c r="C448" t="s">
        <v>43</v>
      </c>
      <c r="D448" t="s">
        <v>161</v>
      </c>
      <c r="E448" t="s">
        <v>162</v>
      </c>
      <c r="F448" t="s">
        <v>130</v>
      </c>
      <c r="G448" t="s">
        <v>22</v>
      </c>
      <c r="H448" t="s">
        <v>23</v>
      </c>
      <c r="I448" t="s">
        <v>24</v>
      </c>
      <c r="J448" t="s">
        <v>108</v>
      </c>
      <c r="K448">
        <v>3</v>
      </c>
      <c r="L448" s="2">
        <v>28.6</v>
      </c>
      <c r="M448" s="3">
        <v>0</v>
      </c>
      <c r="N448" s="2">
        <v>85.8</v>
      </c>
      <c r="O448" s="2">
        <v>53.07</v>
      </c>
      <c r="P448" s="2">
        <v>32.729999999999997</v>
      </c>
      <c r="Q448" t="s">
        <v>34</v>
      </c>
    </row>
    <row r="449" spans="1:17" x14ac:dyDescent="0.2">
      <c r="A449" t="s">
        <v>614</v>
      </c>
      <c r="B449" s="1">
        <v>45708</v>
      </c>
      <c r="C449" t="s">
        <v>18</v>
      </c>
      <c r="D449" t="s">
        <v>133</v>
      </c>
      <c r="E449" t="s">
        <v>226</v>
      </c>
      <c r="F449" t="s">
        <v>138</v>
      </c>
      <c r="G449" t="s">
        <v>75</v>
      </c>
      <c r="H449" t="s">
        <v>31</v>
      </c>
      <c r="I449" t="s">
        <v>40</v>
      </c>
      <c r="J449" t="s">
        <v>41</v>
      </c>
      <c r="K449">
        <v>1</v>
      </c>
      <c r="L449" s="2">
        <v>136.19</v>
      </c>
      <c r="M449" s="3">
        <v>0.05</v>
      </c>
      <c r="N449" s="2">
        <v>129.38</v>
      </c>
      <c r="O449" s="2">
        <v>84.45</v>
      </c>
      <c r="P449" s="2">
        <v>44.93</v>
      </c>
      <c r="Q449" t="s">
        <v>34</v>
      </c>
    </row>
    <row r="450" spans="1:17" x14ac:dyDescent="0.2">
      <c r="A450" t="s">
        <v>615</v>
      </c>
      <c r="B450" s="1">
        <v>45708</v>
      </c>
      <c r="C450" t="s">
        <v>43</v>
      </c>
      <c r="D450" t="s">
        <v>51</v>
      </c>
      <c r="E450" t="s">
        <v>63</v>
      </c>
      <c r="F450" t="s">
        <v>21</v>
      </c>
      <c r="G450" t="s">
        <v>54</v>
      </c>
      <c r="H450" t="s">
        <v>23</v>
      </c>
      <c r="I450" t="s">
        <v>55</v>
      </c>
      <c r="J450" t="s">
        <v>56</v>
      </c>
      <c r="K450">
        <v>10</v>
      </c>
      <c r="L450" s="2">
        <v>6.34</v>
      </c>
      <c r="M450" s="3">
        <v>0.05</v>
      </c>
      <c r="N450" s="2">
        <v>60.23</v>
      </c>
      <c r="O450" s="2">
        <v>35.07</v>
      </c>
      <c r="P450" s="2">
        <v>25.16</v>
      </c>
      <c r="Q450" t="s">
        <v>26</v>
      </c>
    </row>
    <row r="451" spans="1:17" x14ac:dyDescent="0.2">
      <c r="A451" t="s">
        <v>616</v>
      </c>
      <c r="B451" s="1">
        <v>45708</v>
      </c>
      <c r="C451" t="s">
        <v>18</v>
      </c>
      <c r="D451" t="s">
        <v>133</v>
      </c>
      <c r="E451" t="s">
        <v>197</v>
      </c>
      <c r="F451" t="s">
        <v>53</v>
      </c>
      <c r="G451" t="s">
        <v>75</v>
      </c>
      <c r="H451" t="s">
        <v>31</v>
      </c>
      <c r="I451" t="s">
        <v>32</v>
      </c>
      <c r="J451" t="s">
        <v>104</v>
      </c>
      <c r="K451">
        <v>6</v>
      </c>
      <c r="L451" s="2">
        <v>1498.66</v>
      </c>
      <c r="M451" s="3">
        <v>0.15</v>
      </c>
      <c r="N451" s="2">
        <v>7643.17</v>
      </c>
      <c r="O451" s="2">
        <v>5784.11</v>
      </c>
      <c r="P451" s="2">
        <v>1859.06</v>
      </c>
      <c r="Q451" t="s">
        <v>34</v>
      </c>
    </row>
    <row r="452" spans="1:17" x14ac:dyDescent="0.2">
      <c r="A452" t="s">
        <v>617</v>
      </c>
      <c r="B452" s="1">
        <v>45708</v>
      </c>
      <c r="C452" t="s">
        <v>77</v>
      </c>
      <c r="D452" t="s">
        <v>128</v>
      </c>
      <c r="E452" t="s">
        <v>129</v>
      </c>
      <c r="F452" t="s">
        <v>60</v>
      </c>
      <c r="G452" t="s">
        <v>22</v>
      </c>
      <c r="H452" t="s">
        <v>23</v>
      </c>
      <c r="I452" t="s">
        <v>55</v>
      </c>
      <c r="J452" t="s">
        <v>102</v>
      </c>
      <c r="K452">
        <v>4</v>
      </c>
      <c r="L452" s="2">
        <v>6.57</v>
      </c>
      <c r="M452" s="3">
        <v>0.1</v>
      </c>
      <c r="N452" s="2">
        <v>23.65</v>
      </c>
      <c r="O452" s="2">
        <v>16.260000000000002</v>
      </c>
      <c r="P452" s="2">
        <v>7.39</v>
      </c>
      <c r="Q452" t="s">
        <v>57</v>
      </c>
    </row>
    <row r="453" spans="1:17" x14ac:dyDescent="0.2">
      <c r="A453" t="s">
        <v>618</v>
      </c>
      <c r="B453" s="1">
        <v>45708</v>
      </c>
      <c r="C453" t="s">
        <v>18</v>
      </c>
      <c r="D453" t="s">
        <v>152</v>
      </c>
      <c r="E453" t="s">
        <v>166</v>
      </c>
      <c r="F453" t="s">
        <v>130</v>
      </c>
      <c r="G453" t="s">
        <v>75</v>
      </c>
      <c r="H453" t="s">
        <v>47</v>
      </c>
      <c r="I453" t="s">
        <v>97</v>
      </c>
      <c r="J453" t="s">
        <v>98</v>
      </c>
      <c r="K453">
        <v>5</v>
      </c>
      <c r="L453" s="2">
        <v>684.61</v>
      </c>
      <c r="M453" s="3">
        <v>0.15</v>
      </c>
      <c r="N453" s="2">
        <v>2909.59</v>
      </c>
      <c r="O453" s="2">
        <v>2059.08</v>
      </c>
      <c r="P453" s="2">
        <v>850.51</v>
      </c>
      <c r="Q453" t="s">
        <v>61</v>
      </c>
    </row>
    <row r="454" spans="1:17" x14ac:dyDescent="0.2">
      <c r="A454" t="s">
        <v>619</v>
      </c>
      <c r="B454" s="1">
        <v>45709</v>
      </c>
      <c r="C454" t="s">
        <v>77</v>
      </c>
      <c r="D454" t="s">
        <v>149</v>
      </c>
      <c r="E454" t="s">
        <v>150</v>
      </c>
      <c r="F454" t="s">
        <v>60</v>
      </c>
      <c r="G454" t="s">
        <v>54</v>
      </c>
      <c r="H454" t="s">
        <v>23</v>
      </c>
      <c r="I454" t="s">
        <v>83</v>
      </c>
      <c r="J454" t="s">
        <v>84</v>
      </c>
      <c r="K454">
        <v>9</v>
      </c>
      <c r="L454" s="2">
        <v>15.67</v>
      </c>
      <c r="M454" s="3">
        <v>0.05</v>
      </c>
      <c r="N454" s="2">
        <v>133.97999999999999</v>
      </c>
      <c r="O454" s="2">
        <v>90.44</v>
      </c>
      <c r="P454" s="2">
        <v>43.54</v>
      </c>
      <c r="Q454" t="s">
        <v>57</v>
      </c>
    </row>
    <row r="455" spans="1:17" x14ac:dyDescent="0.2">
      <c r="A455" t="s">
        <v>620</v>
      </c>
      <c r="B455" s="1">
        <v>45709</v>
      </c>
      <c r="C455" t="s">
        <v>36</v>
      </c>
      <c r="D455" t="s">
        <v>110</v>
      </c>
      <c r="E455" t="s">
        <v>203</v>
      </c>
      <c r="F455" t="s">
        <v>71</v>
      </c>
      <c r="G455" t="s">
        <v>22</v>
      </c>
      <c r="H455" t="s">
        <v>47</v>
      </c>
      <c r="I455" t="s">
        <v>141</v>
      </c>
      <c r="J455" t="s">
        <v>142</v>
      </c>
      <c r="K455">
        <v>2</v>
      </c>
      <c r="L455" s="2">
        <v>616.04999999999995</v>
      </c>
      <c r="M455" s="3">
        <v>0.1</v>
      </c>
      <c r="N455" s="2">
        <v>1108.8900000000001</v>
      </c>
      <c r="O455" s="2">
        <v>855.49</v>
      </c>
      <c r="P455" s="2">
        <v>253.4</v>
      </c>
      <c r="Q455" t="s">
        <v>57</v>
      </c>
    </row>
    <row r="456" spans="1:17" x14ac:dyDescent="0.2">
      <c r="A456" t="s">
        <v>621</v>
      </c>
      <c r="B456" s="1">
        <v>45709</v>
      </c>
      <c r="C456" t="s">
        <v>77</v>
      </c>
      <c r="D456" t="s">
        <v>128</v>
      </c>
      <c r="E456" t="s">
        <v>129</v>
      </c>
      <c r="F456" t="s">
        <v>130</v>
      </c>
      <c r="G456" t="s">
        <v>54</v>
      </c>
      <c r="H456" t="s">
        <v>23</v>
      </c>
      <c r="I456" t="s">
        <v>83</v>
      </c>
      <c r="J456" t="s">
        <v>120</v>
      </c>
      <c r="K456">
        <v>4</v>
      </c>
      <c r="L456" s="2">
        <v>16.16</v>
      </c>
      <c r="M456" s="3">
        <v>0.1</v>
      </c>
      <c r="N456" s="2">
        <v>58.18</v>
      </c>
      <c r="O456" s="2">
        <v>46.86</v>
      </c>
      <c r="P456" s="2">
        <v>11.32</v>
      </c>
      <c r="Q456" t="s">
        <v>57</v>
      </c>
    </row>
    <row r="457" spans="1:17" x14ac:dyDescent="0.2">
      <c r="A457" t="s">
        <v>622</v>
      </c>
      <c r="B457" s="1">
        <v>45709</v>
      </c>
      <c r="C457" t="s">
        <v>36</v>
      </c>
      <c r="D457" t="s">
        <v>67</v>
      </c>
      <c r="E457" t="s">
        <v>323</v>
      </c>
      <c r="F457" t="s">
        <v>46</v>
      </c>
      <c r="G457" t="s">
        <v>54</v>
      </c>
      <c r="H457" t="s">
        <v>31</v>
      </c>
      <c r="I457" t="s">
        <v>112</v>
      </c>
      <c r="J457" t="s">
        <v>176</v>
      </c>
      <c r="K457">
        <v>8</v>
      </c>
      <c r="L457" s="2">
        <v>459.22</v>
      </c>
      <c r="M457" s="3">
        <v>0.15</v>
      </c>
      <c r="N457" s="2">
        <v>3122.7</v>
      </c>
      <c r="O457" s="2">
        <v>2374.0100000000002</v>
      </c>
      <c r="P457" s="2">
        <v>748.69</v>
      </c>
      <c r="Q457" t="s">
        <v>57</v>
      </c>
    </row>
    <row r="458" spans="1:17" x14ac:dyDescent="0.2">
      <c r="A458" t="s">
        <v>623</v>
      </c>
      <c r="B458" s="1">
        <v>45709</v>
      </c>
      <c r="C458" t="s">
        <v>18</v>
      </c>
      <c r="D458" t="s">
        <v>152</v>
      </c>
      <c r="E458" t="s">
        <v>153</v>
      </c>
      <c r="F458" t="s">
        <v>21</v>
      </c>
      <c r="G458" t="s">
        <v>22</v>
      </c>
      <c r="H458" t="s">
        <v>31</v>
      </c>
      <c r="I458" t="s">
        <v>32</v>
      </c>
      <c r="J458" t="s">
        <v>104</v>
      </c>
      <c r="K458">
        <v>10</v>
      </c>
      <c r="L458" s="2">
        <v>1628.12</v>
      </c>
      <c r="M458" s="3">
        <v>0</v>
      </c>
      <c r="N458" s="2">
        <v>16281.2</v>
      </c>
      <c r="O458" s="2">
        <v>9744.7999999999993</v>
      </c>
      <c r="P458" s="2">
        <v>6536.4</v>
      </c>
      <c r="Q458" t="s">
        <v>61</v>
      </c>
    </row>
    <row r="459" spans="1:17" x14ac:dyDescent="0.2">
      <c r="A459" t="s">
        <v>624</v>
      </c>
      <c r="B459" s="1">
        <v>45709</v>
      </c>
      <c r="C459" t="s">
        <v>36</v>
      </c>
      <c r="D459" t="s">
        <v>73</v>
      </c>
      <c r="E459" t="s">
        <v>212</v>
      </c>
      <c r="F459" t="s">
        <v>21</v>
      </c>
      <c r="G459" t="s">
        <v>75</v>
      </c>
      <c r="H459" t="s">
        <v>23</v>
      </c>
      <c r="I459" t="s">
        <v>55</v>
      </c>
      <c r="J459" t="s">
        <v>173</v>
      </c>
      <c r="K459">
        <v>2</v>
      </c>
      <c r="L459" s="2">
        <v>12.35</v>
      </c>
      <c r="M459" s="3">
        <v>0.05</v>
      </c>
      <c r="N459" s="2">
        <v>23.46</v>
      </c>
      <c r="O459" s="2">
        <v>16.97</v>
      </c>
      <c r="P459" s="2">
        <v>6.49</v>
      </c>
      <c r="Q459" t="s">
        <v>34</v>
      </c>
    </row>
    <row r="460" spans="1:17" x14ac:dyDescent="0.2">
      <c r="A460" t="s">
        <v>625</v>
      </c>
      <c r="B460" s="1">
        <v>45709</v>
      </c>
      <c r="C460" t="s">
        <v>43</v>
      </c>
      <c r="D460" t="s">
        <v>51</v>
      </c>
      <c r="E460" t="s">
        <v>63</v>
      </c>
      <c r="F460" t="s">
        <v>21</v>
      </c>
      <c r="G460" t="s">
        <v>22</v>
      </c>
      <c r="H460" t="s">
        <v>47</v>
      </c>
      <c r="I460" t="s">
        <v>89</v>
      </c>
      <c r="J460" t="s">
        <v>240</v>
      </c>
      <c r="K460">
        <v>1</v>
      </c>
      <c r="L460" s="2">
        <v>252.26</v>
      </c>
      <c r="M460" s="3">
        <v>0.05</v>
      </c>
      <c r="N460" s="2">
        <v>239.65</v>
      </c>
      <c r="O460" s="2">
        <v>177.03</v>
      </c>
      <c r="P460" s="2">
        <v>62.62</v>
      </c>
      <c r="Q460" t="s">
        <v>61</v>
      </c>
    </row>
    <row r="461" spans="1:17" x14ac:dyDescent="0.2">
      <c r="A461" t="s">
        <v>626</v>
      </c>
      <c r="B461" s="1">
        <v>45709</v>
      </c>
      <c r="C461" t="s">
        <v>77</v>
      </c>
      <c r="D461" t="s">
        <v>78</v>
      </c>
      <c r="E461" t="s">
        <v>261</v>
      </c>
      <c r="F461" t="s">
        <v>53</v>
      </c>
      <c r="G461" t="s">
        <v>75</v>
      </c>
      <c r="H461" t="s">
        <v>31</v>
      </c>
      <c r="I461" t="s">
        <v>32</v>
      </c>
      <c r="J461" t="s">
        <v>258</v>
      </c>
      <c r="K461">
        <v>5</v>
      </c>
      <c r="L461" s="2">
        <v>705.56</v>
      </c>
      <c r="M461" s="3">
        <v>0.05</v>
      </c>
      <c r="N461" s="2">
        <v>3351.41</v>
      </c>
      <c r="O461" s="2">
        <v>2122.87</v>
      </c>
      <c r="P461" s="2">
        <v>1228.54</v>
      </c>
      <c r="Q461" t="s">
        <v>26</v>
      </c>
    </row>
    <row r="462" spans="1:17" x14ac:dyDescent="0.2">
      <c r="A462" t="s">
        <v>627</v>
      </c>
      <c r="B462" s="1">
        <v>45709</v>
      </c>
      <c r="C462" t="s">
        <v>77</v>
      </c>
      <c r="D462" t="s">
        <v>95</v>
      </c>
      <c r="E462" t="s">
        <v>367</v>
      </c>
      <c r="F462" t="s">
        <v>30</v>
      </c>
      <c r="G462" t="s">
        <v>22</v>
      </c>
      <c r="H462" t="s">
        <v>47</v>
      </c>
      <c r="I462" t="s">
        <v>97</v>
      </c>
      <c r="J462" t="s">
        <v>116</v>
      </c>
      <c r="K462">
        <v>3</v>
      </c>
      <c r="L462" s="2">
        <v>401.73</v>
      </c>
      <c r="M462" s="3">
        <v>0</v>
      </c>
      <c r="N462" s="2">
        <v>1205.19</v>
      </c>
      <c r="O462" s="2">
        <v>942.38</v>
      </c>
      <c r="P462" s="2">
        <v>262.81</v>
      </c>
      <c r="Q462" t="s">
        <v>26</v>
      </c>
    </row>
    <row r="463" spans="1:17" x14ac:dyDescent="0.2">
      <c r="A463" t="s">
        <v>628</v>
      </c>
      <c r="B463" s="1">
        <v>45710</v>
      </c>
      <c r="C463" t="s">
        <v>77</v>
      </c>
      <c r="D463" t="s">
        <v>128</v>
      </c>
      <c r="E463" t="s">
        <v>129</v>
      </c>
      <c r="F463" t="s">
        <v>71</v>
      </c>
      <c r="G463" t="s">
        <v>22</v>
      </c>
      <c r="H463" t="s">
        <v>47</v>
      </c>
      <c r="I463" t="s">
        <v>141</v>
      </c>
      <c r="J463" t="s">
        <v>142</v>
      </c>
      <c r="K463">
        <v>5</v>
      </c>
      <c r="L463" s="2">
        <v>774.38</v>
      </c>
      <c r="M463" s="3">
        <v>0.1</v>
      </c>
      <c r="N463" s="2">
        <v>3484.71</v>
      </c>
      <c r="O463" s="2">
        <v>2248.5500000000002</v>
      </c>
      <c r="P463" s="2">
        <v>1236.1600000000001</v>
      </c>
      <c r="Q463" t="s">
        <v>26</v>
      </c>
    </row>
    <row r="464" spans="1:17" x14ac:dyDescent="0.2">
      <c r="A464" t="s">
        <v>629</v>
      </c>
      <c r="B464" s="1">
        <v>45710</v>
      </c>
      <c r="C464" t="s">
        <v>43</v>
      </c>
      <c r="D464" t="s">
        <v>51</v>
      </c>
      <c r="E464" t="s">
        <v>52</v>
      </c>
      <c r="F464" t="s">
        <v>69</v>
      </c>
      <c r="G464" t="s">
        <v>22</v>
      </c>
      <c r="H464" t="s">
        <v>23</v>
      </c>
      <c r="I464" t="s">
        <v>79</v>
      </c>
      <c r="J464" t="s">
        <v>80</v>
      </c>
      <c r="K464">
        <v>5</v>
      </c>
      <c r="L464" s="2">
        <v>304.39999999999998</v>
      </c>
      <c r="M464" s="3">
        <v>0.15</v>
      </c>
      <c r="N464" s="2">
        <v>1293.7</v>
      </c>
      <c r="O464" s="2">
        <v>957.95</v>
      </c>
      <c r="P464" s="2">
        <v>335.75</v>
      </c>
      <c r="Q464" t="s">
        <v>26</v>
      </c>
    </row>
    <row r="465" spans="1:17" x14ac:dyDescent="0.2">
      <c r="A465" t="s">
        <v>630</v>
      </c>
      <c r="B465" s="1">
        <v>45710</v>
      </c>
      <c r="C465" t="s">
        <v>43</v>
      </c>
      <c r="D465" t="s">
        <v>44</v>
      </c>
      <c r="E465" t="s">
        <v>45</v>
      </c>
      <c r="F465" t="s">
        <v>138</v>
      </c>
      <c r="G465" t="s">
        <v>22</v>
      </c>
      <c r="H465" t="s">
        <v>47</v>
      </c>
      <c r="I465" t="s">
        <v>141</v>
      </c>
      <c r="J465" t="s">
        <v>201</v>
      </c>
      <c r="K465">
        <v>3</v>
      </c>
      <c r="L465" s="2">
        <v>531.79999999999995</v>
      </c>
      <c r="M465" s="3">
        <v>0</v>
      </c>
      <c r="N465" s="2">
        <v>1595.4</v>
      </c>
      <c r="O465" s="2">
        <v>1207</v>
      </c>
      <c r="P465" s="2">
        <v>388.4</v>
      </c>
      <c r="Q465" t="s">
        <v>34</v>
      </c>
    </row>
    <row r="466" spans="1:17" x14ac:dyDescent="0.2">
      <c r="A466" t="s">
        <v>631</v>
      </c>
      <c r="B466" s="1">
        <v>45710</v>
      </c>
      <c r="C466" t="s">
        <v>36</v>
      </c>
      <c r="D466" t="s">
        <v>67</v>
      </c>
      <c r="E466" t="s">
        <v>323</v>
      </c>
      <c r="F466" t="s">
        <v>21</v>
      </c>
      <c r="G466" t="s">
        <v>54</v>
      </c>
      <c r="H466" t="s">
        <v>23</v>
      </c>
      <c r="I466" t="s">
        <v>24</v>
      </c>
      <c r="J466" t="s">
        <v>25</v>
      </c>
      <c r="K466">
        <v>3</v>
      </c>
      <c r="L466" s="2">
        <v>17.170000000000002</v>
      </c>
      <c r="M466" s="3">
        <v>0.05</v>
      </c>
      <c r="N466" s="2">
        <v>48.93</v>
      </c>
      <c r="O466" s="2">
        <v>36.58</v>
      </c>
      <c r="P466" s="2">
        <v>12.35</v>
      </c>
      <c r="Q466" t="s">
        <v>34</v>
      </c>
    </row>
    <row r="467" spans="1:17" x14ac:dyDescent="0.2">
      <c r="A467" t="s">
        <v>632</v>
      </c>
      <c r="B467" s="1">
        <v>45710</v>
      </c>
      <c r="C467" t="s">
        <v>77</v>
      </c>
      <c r="D467" t="s">
        <v>95</v>
      </c>
      <c r="E467" t="s">
        <v>367</v>
      </c>
      <c r="F467" t="s">
        <v>46</v>
      </c>
      <c r="G467" t="s">
        <v>22</v>
      </c>
      <c r="H467" t="s">
        <v>23</v>
      </c>
      <c r="I467" t="s">
        <v>55</v>
      </c>
      <c r="J467" t="s">
        <v>56</v>
      </c>
      <c r="K467">
        <v>2</v>
      </c>
      <c r="L467" s="2">
        <v>8.8000000000000007</v>
      </c>
      <c r="M467" s="3">
        <v>0.05</v>
      </c>
      <c r="N467" s="2">
        <v>16.72</v>
      </c>
      <c r="O467" s="2">
        <v>10.23</v>
      </c>
      <c r="P467" s="2">
        <v>6.49</v>
      </c>
      <c r="Q467" t="s">
        <v>26</v>
      </c>
    </row>
    <row r="468" spans="1:17" x14ac:dyDescent="0.2">
      <c r="A468" t="s">
        <v>633</v>
      </c>
      <c r="B468" s="1">
        <v>45710</v>
      </c>
      <c r="C468" t="s">
        <v>77</v>
      </c>
      <c r="D468" t="s">
        <v>78</v>
      </c>
      <c r="E468" t="s">
        <v>261</v>
      </c>
      <c r="F468" t="s">
        <v>69</v>
      </c>
      <c r="G468" t="s">
        <v>54</v>
      </c>
      <c r="H468" t="s">
        <v>47</v>
      </c>
      <c r="I468" t="s">
        <v>89</v>
      </c>
      <c r="J468" t="s">
        <v>204</v>
      </c>
      <c r="K468">
        <v>6</v>
      </c>
      <c r="L468" s="2">
        <v>189.72</v>
      </c>
      <c r="M468" s="3">
        <v>0.05</v>
      </c>
      <c r="N468" s="2">
        <v>1081.4000000000001</v>
      </c>
      <c r="O468" s="2">
        <v>711.3</v>
      </c>
      <c r="P468" s="2">
        <v>370.1</v>
      </c>
      <c r="Q468" t="s">
        <v>34</v>
      </c>
    </row>
    <row r="469" spans="1:17" x14ac:dyDescent="0.2">
      <c r="A469" t="s">
        <v>634</v>
      </c>
      <c r="B469" s="1">
        <v>45710</v>
      </c>
      <c r="C469" t="s">
        <v>43</v>
      </c>
      <c r="D469" t="s">
        <v>208</v>
      </c>
      <c r="E469" t="s">
        <v>209</v>
      </c>
      <c r="F469" t="s">
        <v>69</v>
      </c>
      <c r="G469" t="s">
        <v>75</v>
      </c>
      <c r="H469" t="s">
        <v>23</v>
      </c>
      <c r="I469" t="s">
        <v>55</v>
      </c>
      <c r="J469" t="s">
        <v>173</v>
      </c>
      <c r="K469">
        <v>2</v>
      </c>
      <c r="L469" s="2">
        <v>18.03</v>
      </c>
      <c r="M469" s="3">
        <v>0.15</v>
      </c>
      <c r="N469" s="2">
        <v>30.65</v>
      </c>
      <c r="O469" s="2">
        <v>20.62</v>
      </c>
      <c r="P469" s="2">
        <v>10.029999999999999</v>
      </c>
      <c r="Q469" t="s">
        <v>34</v>
      </c>
    </row>
    <row r="470" spans="1:17" x14ac:dyDescent="0.2">
      <c r="A470" t="s">
        <v>635</v>
      </c>
      <c r="B470" s="1">
        <v>45710</v>
      </c>
      <c r="C470" t="s">
        <v>43</v>
      </c>
      <c r="D470" t="s">
        <v>161</v>
      </c>
      <c r="E470" t="s">
        <v>172</v>
      </c>
      <c r="F470" t="s">
        <v>21</v>
      </c>
      <c r="G470" t="s">
        <v>75</v>
      </c>
      <c r="H470" t="s">
        <v>31</v>
      </c>
      <c r="I470" t="s">
        <v>40</v>
      </c>
      <c r="J470" t="s">
        <v>216</v>
      </c>
      <c r="K470">
        <v>3</v>
      </c>
      <c r="L470" s="2">
        <v>194.16</v>
      </c>
      <c r="M470" s="3">
        <v>0.1</v>
      </c>
      <c r="N470" s="2">
        <v>524.23</v>
      </c>
      <c r="O470" s="2">
        <v>413.62</v>
      </c>
      <c r="P470" s="2">
        <v>110.61</v>
      </c>
      <c r="Q470" t="s">
        <v>26</v>
      </c>
    </row>
    <row r="471" spans="1:17" x14ac:dyDescent="0.2">
      <c r="A471" t="s">
        <v>636</v>
      </c>
      <c r="B471" s="1">
        <v>45710</v>
      </c>
      <c r="C471" t="s">
        <v>43</v>
      </c>
      <c r="D471" t="s">
        <v>208</v>
      </c>
      <c r="E471" t="s">
        <v>230</v>
      </c>
      <c r="F471" t="s">
        <v>138</v>
      </c>
      <c r="G471" t="s">
        <v>22</v>
      </c>
      <c r="H471" t="s">
        <v>31</v>
      </c>
      <c r="I471" t="s">
        <v>112</v>
      </c>
      <c r="J471" t="s">
        <v>176</v>
      </c>
      <c r="K471">
        <v>10</v>
      </c>
      <c r="L471" s="2">
        <v>180.42</v>
      </c>
      <c r="M471" s="3">
        <v>0.15</v>
      </c>
      <c r="N471" s="2">
        <v>1533.57</v>
      </c>
      <c r="O471" s="2">
        <v>1229.7</v>
      </c>
      <c r="P471" s="2">
        <v>303.87</v>
      </c>
      <c r="Q471" t="s">
        <v>26</v>
      </c>
    </row>
    <row r="472" spans="1:17" x14ac:dyDescent="0.2">
      <c r="A472" t="s">
        <v>637</v>
      </c>
      <c r="B472" s="1">
        <v>45710</v>
      </c>
      <c r="C472" t="s">
        <v>36</v>
      </c>
      <c r="D472" t="s">
        <v>67</v>
      </c>
      <c r="E472" t="s">
        <v>270</v>
      </c>
      <c r="F472" t="s">
        <v>46</v>
      </c>
      <c r="G472" t="s">
        <v>22</v>
      </c>
      <c r="H472" t="s">
        <v>47</v>
      </c>
      <c r="I472" t="s">
        <v>48</v>
      </c>
      <c r="J472" t="s">
        <v>93</v>
      </c>
      <c r="K472">
        <v>5</v>
      </c>
      <c r="L472" s="2">
        <v>330.61</v>
      </c>
      <c r="M472" s="3">
        <v>0.05</v>
      </c>
      <c r="N472" s="2">
        <v>1570.4</v>
      </c>
      <c r="O472" s="2">
        <v>1052.6500000000001</v>
      </c>
      <c r="P472" s="2">
        <v>517.75</v>
      </c>
      <c r="Q472" t="s">
        <v>57</v>
      </c>
    </row>
    <row r="473" spans="1:17" x14ac:dyDescent="0.2">
      <c r="A473" t="s">
        <v>638</v>
      </c>
      <c r="B473" s="1">
        <v>45711</v>
      </c>
      <c r="C473" t="s">
        <v>36</v>
      </c>
      <c r="D473" t="s">
        <v>37</v>
      </c>
      <c r="E473" t="s">
        <v>187</v>
      </c>
      <c r="F473" t="s">
        <v>71</v>
      </c>
      <c r="G473" t="s">
        <v>75</v>
      </c>
      <c r="H473" t="s">
        <v>23</v>
      </c>
      <c r="I473" t="s">
        <v>79</v>
      </c>
      <c r="J473" t="s">
        <v>179</v>
      </c>
      <c r="K473">
        <v>4</v>
      </c>
      <c r="L473" s="2">
        <v>274.14</v>
      </c>
      <c r="M473" s="3">
        <v>0</v>
      </c>
      <c r="N473" s="2">
        <v>1096.56</v>
      </c>
      <c r="O473" s="2">
        <v>678.68</v>
      </c>
      <c r="P473" s="2">
        <v>417.88</v>
      </c>
      <c r="Q473" t="s">
        <v>34</v>
      </c>
    </row>
    <row r="474" spans="1:17" x14ac:dyDescent="0.2">
      <c r="A474" t="s">
        <v>639</v>
      </c>
      <c r="B474" s="1">
        <v>45711</v>
      </c>
      <c r="C474" t="s">
        <v>77</v>
      </c>
      <c r="D474" t="s">
        <v>149</v>
      </c>
      <c r="E474" t="s">
        <v>309</v>
      </c>
      <c r="F474" t="s">
        <v>71</v>
      </c>
      <c r="G474" t="s">
        <v>22</v>
      </c>
      <c r="H474" t="s">
        <v>23</v>
      </c>
      <c r="I474" t="s">
        <v>83</v>
      </c>
      <c r="J474" t="s">
        <v>120</v>
      </c>
      <c r="K474">
        <v>3</v>
      </c>
      <c r="L474" s="2">
        <v>8.83</v>
      </c>
      <c r="M474" s="3">
        <v>0</v>
      </c>
      <c r="N474" s="2">
        <v>26.49</v>
      </c>
      <c r="O474" s="2">
        <v>17.329999999999998</v>
      </c>
      <c r="P474" s="2">
        <v>9.16</v>
      </c>
      <c r="Q474" t="s">
        <v>34</v>
      </c>
    </row>
    <row r="475" spans="1:17" x14ac:dyDescent="0.2">
      <c r="A475" t="s">
        <v>640</v>
      </c>
      <c r="B475" s="1">
        <v>45711</v>
      </c>
      <c r="C475" t="s">
        <v>77</v>
      </c>
      <c r="D475" t="s">
        <v>78</v>
      </c>
      <c r="E475" t="s">
        <v>52</v>
      </c>
      <c r="F475" t="s">
        <v>69</v>
      </c>
      <c r="G475" t="s">
        <v>54</v>
      </c>
      <c r="H475" t="s">
        <v>23</v>
      </c>
      <c r="I475" t="s">
        <v>79</v>
      </c>
      <c r="J475" t="s">
        <v>233</v>
      </c>
      <c r="K475">
        <v>6</v>
      </c>
      <c r="L475" s="2">
        <v>544.51</v>
      </c>
      <c r="M475" s="3">
        <v>0</v>
      </c>
      <c r="N475" s="2">
        <v>3267.06</v>
      </c>
      <c r="O475" s="2">
        <v>2400.89</v>
      </c>
      <c r="P475" s="2">
        <v>866.17</v>
      </c>
      <c r="Q475" t="s">
        <v>57</v>
      </c>
    </row>
    <row r="476" spans="1:17" x14ac:dyDescent="0.2">
      <c r="A476" t="s">
        <v>641</v>
      </c>
      <c r="B476" s="1">
        <v>45711</v>
      </c>
      <c r="C476" t="s">
        <v>77</v>
      </c>
      <c r="D476" t="s">
        <v>128</v>
      </c>
      <c r="E476" t="s">
        <v>129</v>
      </c>
      <c r="F476" t="s">
        <v>60</v>
      </c>
      <c r="G476" t="s">
        <v>22</v>
      </c>
      <c r="H476" t="s">
        <v>31</v>
      </c>
      <c r="I476" t="s">
        <v>64</v>
      </c>
      <c r="J476" t="s">
        <v>252</v>
      </c>
      <c r="K476">
        <v>8</v>
      </c>
      <c r="L476" s="2">
        <v>129.47</v>
      </c>
      <c r="M476" s="3">
        <v>0</v>
      </c>
      <c r="N476" s="2">
        <v>1035.76</v>
      </c>
      <c r="O476" s="2">
        <v>704</v>
      </c>
      <c r="P476" s="2">
        <v>331.76</v>
      </c>
      <c r="Q476" t="s">
        <v>61</v>
      </c>
    </row>
    <row r="477" spans="1:17" x14ac:dyDescent="0.2">
      <c r="A477" t="s">
        <v>642</v>
      </c>
      <c r="B477" s="1">
        <v>45711</v>
      </c>
      <c r="C477" t="s">
        <v>43</v>
      </c>
      <c r="D477" t="s">
        <v>208</v>
      </c>
      <c r="E477" t="s">
        <v>287</v>
      </c>
      <c r="F477" t="s">
        <v>138</v>
      </c>
      <c r="G477" t="s">
        <v>54</v>
      </c>
      <c r="H477" t="s">
        <v>31</v>
      </c>
      <c r="I477" t="s">
        <v>112</v>
      </c>
      <c r="J477" t="s">
        <v>176</v>
      </c>
      <c r="K477">
        <v>5</v>
      </c>
      <c r="L477" s="2">
        <v>476.1</v>
      </c>
      <c r="M477" s="3">
        <v>0.05</v>
      </c>
      <c r="N477" s="2">
        <v>2261.48</v>
      </c>
      <c r="O477" s="2">
        <v>1474.41</v>
      </c>
      <c r="P477" s="2">
        <v>787.07</v>
      </c>
      <c r="Q477" t="s">
        <v>57</v>
      </c>
    </row>
    <row r="478" spans="1:17" x14ac:dyDescent="0.2">
      <c r="A478" t="s">
        <v>643</v>
      </c>
      <c r="B478" s="1">
        <v>45711</v>
      </c>
      <c r="C478" t="s">
        <v>77</v>
      </c>
      <c r="D478" t="s">
        <v>78</v>
      </c>
      <c r="E478" t="s">
        <v>261</v>
      </c>
      <c r="F478" t="s">
        <v>46</v>
      </c>
      <c r="G478" t="s">
        <v>75</v>
      </c>
      <c r="H478" t="s">
        <v>23</v>
      </c>
      <c r="I478" t="s">
        <v>24</v>
      </c>
      <c r="J478" t="s">
        <v>108</v>
      </c>
      <c r="K478">
        <v>7</v>
      </c>
      <c r="L478" s="2">
        <v>12.57</v>
      </c>
      <c r="M478" s="3">
        <v>0.2</v>
      </c>
      <c r="N478" s="2">
        <v>70.39</v>
      </c>
      <c r="O478" s="2">
        <v>56.86</v>
      </c>
      <c r="P478" s="2">
        <v>13.53</v>
      </c>
      <c r="Q478" t="s">
        <v>61</v>
      </c>
    </row>
    <row r="479" spans="1:17" x14ac:dyDescent="0.2">
      <c r="A479" t="s">
        <v>644</v>
      </c>
      <c r="B479" s="1">
        <v>45711</v>
      </c>
      <c r="C479" t="s">
        <v>36</v>
      </c>
      <c r="D479" t="s">
        <v>110</v>
      </c>
      <c r="E479" t="s">
        <v>203</v>
      </c>
      <c r="F479" t="s">
        <v>69</v>
      </c>
      <c r="G479" t="s">
        <v>22</v>
      </c>
      <c r="H479" t="s">
        <v>31</v>
      </c>
      <c r="I479" t="s">
        <v>32</v>
      </c>
      <c r="J479" t="s">
        <v>104</v>
      </c>
      <c r="K479">
        <v>9</v>
      </c>
      <c r="L479" s="2">
        <v>1331.09</v>
      </c>
      <c r="M479" s="3">
        <v>0.1</v>
      </c>
      <c r="N479" s="2">
        <v>10781.83</v>
      </c>
      <c r="O479" s="2">
        <v>6672.84</v>
      </c>
      <c r="P479" s="2">
        <v>4108.99</v>
      </c>
      <c r="Q479" t="s">
        <v>34</v>
      </c>
    </row>
    <row r="480" spans="1:17" x14ac:dyDescent="0.2">
      <c r="A480" t="s">
        <v>645</v>
      </c>
      <c r="B480" s="1">
        <v>45711</v>
      </c>
      <c r="C480" t="s">
        <v>36</v>
      </c>
      <c r="D480" t="s">
        <v>110</v>
      </c>
      <c r="E480" t="s">
        <v>203</v>
      </c>
      <c r="F480" t="s">
        <v>69</v>
      </c>
      <c r="G480" t="s">
        <v>22</v>
      </c>
      <c r="H480" t="s">
        <v>23</v>
      </c>
      <c r="I480" t="s">
        <v>83</v>
      </c>
      <c r="J480" t="s">
        <v>84</v>
      </c>
      <c r="K480">
        <v>6</v>
      </c>
      <c r="L480" s="2">
        <v>19.600000000000001</v>
      </c>
      <c r="M480" s="3">
        <v>0.05</v>
      </c>
      <c r="N480" s="2">
        <v>111.72</v>
      </c>
      <c r="O480" s="2">
        <v>91.56</v>
      </c>
      <c r="P480" s="2">
        <v>20.16</v>
      </c>
      <c r="Q480" t="s">
        <v>26</v>
      </c>
    </row>
    <row r="481" spans="1:17" x14ac:dyDescent="0.2">
      <c r="A481" t="s">
        <v>646</v>
      </c>
      <c r="B481" s="1">
        <v>45711</v>
      </c>
      <c r="C481" t="s">
        <v>36</v>
      </c>
      <c r="D481" t="s">
        <v>37</v>
      </c>
      <c r="E481" t="s">
        <v>187</v>
      </c>
      <c r="F481" t="s">
        <v>69</v>
      </c>
      <c r="G481" t="s">
        <v>22</v>
      </c>
      <c r="H481" t="s">
        <v>47</v>
      </c>
      <c r="I481" t="s">
        <v>97</v>
      </c>
      <c r="J481" t="s">
        <v>168</v>
      </c>
      <c r="K481">
        <v>8</v>
      </c>
      <c r="L481" s="2">
        <v>543.24</v>
      </c>
      <c r="M481" s="3">
        <v>0.05</v>
      </c>
      <c r="N481" s="2">
        <v>4128.62</v>
      </c>
      <c r="O481" s="2">
        <v>3194.42</v>
      </c>
      <c r="P481" s="2">
        <v>934.2</v>
      </c>
      <c r="Q481" t="s">
        <v>26</v>
      </c>
    </row>
    <row r="482" spans="1:17" x14ac:dyDescent="0.2">
      <c r="A482" t="s">
        <v>647</v>
      </c>
      <c r="B482" s="1">
        <v>45711</v>
      </c>
      <c r="C482" t="s">
        <v>36</v>
      </c>
      <c r="D482" t="s">
        <v>144</v>
      </c>
      <c r="E482" t="s">
        <v>214</v>
      </c>
      <c r="F482" t="s">
        <v>138</v>
      </c>
      <c r="G482" t="s">
        <v>75</v>
      </c>
      <c r="H482" t="s">
        <v>31</v>
      </c>
      <c r="I482" t="s">
        <v>64</v>
      </c>
      <c r="J482" t="s">
        <v>126</v>
      </c>
      <c r="K482">
        <v>8</v>
      </c>
      <c r="L482" s="2">
        <v>100.57</v>
      </c>
      <c r="M482" s="3">
        <v>0.05</v>
      </c>
      <c r="N482" s="2">
        <v>764.33</v>
      </c>
      <c r="O482" s="2">
        <v>609.79</v>
      </c>
      <c r="P482" s="2">
        <v>154.54</v>
      </c>
      <c r="Q482" t="s">
        <v>57</v>
      </c>
    </row>
    <row r="483" spans="1:17" x14ac:dyDescent="0.2">
      <c r="A483" t="s">
        <v>648</v>
      </c>
      <c r="B483" s="1">
        <v>45711</v>
      </c>
      <c r="C483" t="s">
        <v>36</v>
      </c>
      <c r="D483" t="s">
        <v>144</v>
      </c>
      <c r="E483" t="s">
        <v>232</v>
      </c>
      <c r="F483" t="s">
        <v>21</v>
      </c>
      <c r="G483" t="s">
        <v>22</v>
      </c>
      <c r="H483" t="s">
        <v>47</v>
      </c>
      <c r="I483" t="s">
        <v>89</v>
      </c>
      <c r="J483" t="s">
        <v>240</v>
      </c>
      <c r="K483">
        <v>2</v>
      </c>
      <c r="L483" s="2">
        <v>257.89</v>
      </c>
      <c r="M483" s="3">
        <v>0.05</v>
      </c>
      <c r="N483" s="2">
        <v>489.99</v>
      </c>
      <c r="O483" s="2">
        <v>273.02</v>
      </c>
      <c r="P483" s="2">
        <v>216.97</v>
      </c>
      <c r="Q483" t="s">
        <v>61</v>
      </c>
    </row>
    <row r="484" spans="1:17" x14ac:dyDescent="0.2">
      <c r="A484" t="s">
        <v>649</v>
      </c>
      <c r="B484" s="1">
        <v>45711</v>
      </c>
      <c r="C484" t="s">
        <v>77</v>
      </c>
      <c r="D484" t="s">
        <v>95</v>
      </c>
      <c r="E484" t="s">
        <v>300</v>
      </c>
      <c r="F484" t="s">
        <v>130</v>
      </c>
      <c r="G484" t="s">
        <v>75</v>
      </c>
      <c r="H484" t="s">
        <v>47</v>
      </c>
      <c r="I484" t="s">
        <v>89</v>
      </c>
      <c r="J484" t="s">
        <v>90</v>
      </c>
      <c r="K484">
        <v>3</v>
      </c>
      <c r="L484" s="2">
        <v>128.33000000000001</v>
      </c>
      <c r="M484" s="3">
        <v>0.05</v>
      </c>
      <c r="N484" s="2">
        <v>365.74</v>
      </c>
      <c r="O484" s="2">
        <v>286.06</v>
      </c>
      <c r="P484" s="2">
        <v>79.680000000000007</v>
      </c>
      <c r="Q484" t="s">
        <v>26</v>
      </c>
    </row>
    <row r="485" spans="1:17" x14ac:dyDescent="0.2">
      <c r="A485" t="s">
        <v>650</v>
      </c>
      <c r="B485" s="1">
        <v>45712</v>
      </c>
      <c r="C485" t="s">
        <v>36</v>
      </c>
      <c r="D485" t="s">
        <v>67</v>
      </c>
      <c r="E485" t="s">
        <v>270</v>
      </c>
      <c r="F485" t="s">
        <v>69</v>
      </c>
      <c r="G485" t="s">
        <v>75</v>
      </c>
      <c r="H485" t="s">
        <v>47</v>
      </c>
      <c r="I485" t="s">
        <v>141</v>
      </c>
      <c r="J485" t="s">
        <v>372</v>
      </c>
      <c r="K485">
        <v>3</v>
      </c>
      <c r="L485" s="2">
        <v>436.03</v>
      </c>
      <c r="M485" s="3">
        <v>0.1</v>
      </c>
      <c r="N485" s="2">
        <v>1177.28</v>
      </c>
      <c r="O485" s="2">
        <v>923.63</v>
      </c>
      <c r="P485" s="2">
        <v>253.65</v>
      </c>
      <c r="Q485" t="s">
        <v>26</v>
      </c>
    </row>
    <row r="486" spans="1:17" x14ac:dyDescent="0.2">
      <c r="A486" t="s">
        <v>651</v>
      </c>
      <c r="B486" s="1">
        <v>45712</v>
      </c>
      <c r="C486" t="s">
        <v>18</v>
      </c>
      <c r="D486" t="s">
        <v>152</v>
      </c>
      <c r="E486" t="s">
        <v>185</v>
      </c>
      <c r="F486" t="s">
        <v>71</v>
      </c>
      <c r="G486" t="s">
        <v>54</v>
      </c>
      <c r="H486" t="s">
        <v>47</v>
      </c>
      <c r="I486" t="s">
        <v>97</v>
      </c>
      <c r="J486" t="s">
        <v>116</v>
      </c>
      <c r="K486">
        <v>4</v>
      </c>
      <c r="L486" s="2">
        <v>258.14</v>
      </c>
      <c r="M486" s="3">
        <v>0.05</v>
      </c>
      <c r="N486" s="2">
        <v>980.93</v>
      </c>
      <c r="O486" s="2">
        <v>747.68</v>
      </c>
      <c r="P486" s="2">
        <v>233.25</v>
      </c>
      <c r="Q486" t="s">
        <v>57</v>
      </c>
    </row>
    <row r="487" spans="1:17" x14ac:dyDescent="0.2">
      <c r="A487" t="s">
        <v>652</v>
      </c>
      <c r="B487" s="1">
        <v>45712</v>
      </c>
      <c r="C487" t="s">
        <v>43</v>
      </c>
      <c r="D487" t="s">
        <v>51</v>
      </c>
      <c r="E487" t="s">
        <v>63</v>
      </c>
      <c r="F487" t="s">
        <v>39</v>
      </c>
      <c r="G487" t="s">
        <v>22</v>
      </c>
      <c r="H487" t="s">
        <v>31</v>
      </c>
      <c r="I487" t="s">
        <v>112</v>
      </c>
      <c r="J487" t="s">
        <v>136</v>
      </c>
      <c r="K487">
        <v>5</v>
      </c>
      <c r="L487" s="2">
        <v>527.73</v>
      </c>
      <c r="M487" s="3">
        <v>0</v>
      </c>
      <c r="N487" s="2">
        <v>2638.65</v>
      </c>
      <c r="O487" s="2">
        <v>2066.71</v>
      </c>
      <c r="P487" s="2">
        <v>571.94000000000005</v>
      </c>
      <c r="Q487" t="s">
        <v>57</v>
      </c>
    </row>
    <row r="488" spans="1:17" x14ac:dyDescent="0.2">
      <c r="A488" t="s">
        <v>653</v>
      </c>
      <c r="B488" s="1">
        <v>45712</v>
      </c>
      <c r="C488" t="s">
        <v>77</v>
      </c>
      <c r="D488" t="s">
        <v>149</v>
      </c>
      <c r="E488" t="s">
        <v>309</v>
      </c>
      <c r="F488" t="s">
        <v>30</v>
      </c>
      <c r="G488" t="s">
        <v>75</v>
      </c>
      <c r="H488" t="s">
        <v>47</v>
      </c>
      <c r="I488" t="s">
        <v>89</v>
      </c>
      <c r="J488" t="s">
        <v>204</v>
      </c>
      <c r="K488">
        <v>9</v>
      </c>
      <c r="L488" s="2">
        <v>474</v>
      </c>
      <c r="M488" s="3">
        <v>0.1</v>
      </c>
      <c r="N488" s="2">
        <v>3839.4</v>
      </c>
      <c r="O488" s="2">
        <v>2672.26</v>
      </c>
      <c r="P488" s="2">
        <v>1167.1400000000001</v>
      </c>
      <c r="Q488" t="s">
        <v>26</v>
      </c>
    </row>
    <row r="489" spans="1:17" x14ac:dyDescent="0.2">
      <c r="A489" t="s">
        <v>654</v>
      </c>
      <c r="B489" s="1">
        <v>45712</v>
      </c>
      <c r="C489" t="s">
        <v>43</v>
      </c>
      <c r="D489" t="s">
        <v>208</v>
      </c>
      <c r="E489" t="s">
        <v>230</v>
      </c>
      <c r="F489" t="s">
        <v>21</v>
      </c>
      <c r="G489" t="s">
        <v>22</v>
      </c>
      <c r="H489" t="s">
        <v>23</v>
      </c>
      <c r="I489" t="s">
        <v>83</v>
      </c>
      <c r="J489" t="s">
        <v>120</v>
      </c>
      <c r="K489">
        <v>3</v>
      </c>
      <c r="L489" s="2">
        <v>33.119999999999997</v>
      </c>
      <c r="M489" s="3">
        <v>0.1</v>
      </c>
      <c r="N489" s="2">
        <v>89.42</v>
      </c>
      <c r="O489" s="2">
        <v>51.11</v>
      </c>
      <c r="P489" s="2">
        <v>38.31</v>
      </c>
      <c r="Q489" t="s">
        <v>34</v>
      </c>
    </row>
    <row r="490" spans="1:17" x14ac:dyDescent="0.2">
      <c r="A490" t="s">
        <v>655</v>
      </c>
      <c r="B490" s="1">
        <v>45712</v>
      </c>
      <c r="C490" t="s">
        <v>43</v>
      </c>
      <c r="D490" t="s">
        <v>244</v>
      </c>
      <c r="E490" t="s">
        <v>245</v>
      </c>
      <c r="F490" t="s">
        <v>138</v>
      </c>
      <c r="G490" t="s">
        <v>22</v>
      </c>
      <c r="H490" t="s">
        <v>31</v>
      </c>
      <c r="I490" t="s">
        <v>32</v>
      </c>
      <c r="J490" t="s">
        <v>33</v>
      </c>
      <c r="K490">
        <v>2</v>
      </c>
      <c r="L490" s="2">
        <v>1628.54</v>
      </c>
      <c r="M490" s="3">
        <v>0.1</v>
      </c>
      <c r="N490" s="2">
        <v>2931.37</v>
      </c>
      <c r="O490" s="2">
        <v>1777.95</v>
      </c>
      <c r="P490" s="2">
        <v>1153.42</v>
      </c>
      <c r="Q490" t="s">
        <v>34</v>
      </c>
    </row>
    <row r="491" spans="1:17" x14ac:dyDescent="0.2">
      <c r="A491" t="s">
        <v>656</v>
      </c>
      <c r="B491" s="1">
        <v>45712</v>
      </c>
      <c r="C491" t="s">
        <v>77</v>
      </c>
      <c r="D491" t="s">
        <v>149</v>
      </c>
      <c r="E491" t="s">
        <v>309</v>
      </c>
      <c r="F491" t="s">
        <v>71</v>
      </c>
      <c r="G491" t="s">
        <v>22</v>
      </c>
      <c r="H491" t="s">
        <v>23</v>
      </c>
      <c r="I491" t="s">
        <v>83</v>
      </c>
      <c r="J491" t="s">
        <v>120</v>
      </c>
      <c r="K491">
        <v>7</v>
      </c>
      <c r="L491" s="2">
        <v>32.75</v>
      </c>
      <c r="M491" s="3">
        <v>0</v>
      </c>
      <c r="N491" s="2">
        <v>229.25</v>
      </c>
      <c r="O491" s="2">
        <v>156.63</v>
      </c>
      <c r="P491" s="2">
        <v>72.62</v>
      </c>
      <c r="Q491" t="s">
        <v>26</v>
      </c>
    </row>
    <row r="492" spans="1:17" x14ac:dyDescent="0.2">
      <c r="A492" t="s">
        <v>657</v>
      </c>
      <c r="B492" s="1">
        <v>45712</v>
      </c>
      <c r="C492" t="s">
        <v>77</v>
      </c>
      <c r="D492" t="s">
        <v>149</v>
      </c>
      <c r="E492" t="s">
        <v>309</v>
      </c>
      <c r="F492" t="s">
        <v>39</v>
      </c>
      <c r="G492" t="s">
        <v>75</v>
      </c>
      <c r="H492" t="s">
        <v>47</v>
      </c>
      <c r="I492" t="s">
        <v>48</v>
      </c>
      <c r="J492" t="s">
        <v>164</v>
      </c>
      <c r="K492">
        <v>6</v>
      </c>
      <c r="L492" s="2">
        <v>327.3</v>
      </c>
      <c r="M492" s="3">
        <v>0.1</v>
      </c>
      <c r="N492" s="2">
        <v>1767.42</v>
      </c>
      <c r="O492" s="2">
        <v>1428.88</v>
      </c>
      <c r="P492" s="2">
        <v>338.54</v>
      </c>
      <c r="Q492" t="s">
        <v>26</v>
      </c>
    </row>
    <row r="493" spans="1:17" x14ac:dyDescent="0.2">
      <c r="A493" t="s">
        <v>658</v>
      </c>
      <c r="B493" s="1">
        <v>45712</v>
      </c>
      <c r="C493" t="s">
        <v>18</v>
      </c>
      <c r="D493" t="s">
        <v>19</v>
      </c>
      <c r="E493" t="s">
        <v>20</v>
      </c>
      <c r="F493" t="s">
        <v>53</v>
      </c>
      <c r="G493" t="s">
        <v>75</v>
      </c>
      <c r="H493" t="s">
        <v>31</v>
      </c>
      <c r="I493" t="s">
        <v>112</v>
      </c>
      <c r="J493" t="s">
        <v>113</v>
      </c>
      <c r="K493">
        <v>7</v>
      </c>
      <c r="L493" s="2">
        <v>485.65</v>
      </c>
      <c r="M493" s="3">
        <v>0</v>
      </c>
      <c r="N493" s="2">
        <v>3399.55</v>
      </c>
      <c r="O493" s="2">
        <v>2707.92</v>
      </c>
      <c r="P493" s="2">
        <v>691.63</v>
      </c>
      <c r="Q493" t="s">
        <v>34</v>
      </c>
    </row>
    <row r="494" spans="1:17" x14ac:dyDescent="0.2">
      <c r="A494" t="s">
        <v>659</v>
      </c>
      <c r="B494" s="1">
        <v>45712</v>
      </c>
      <c r="C494" t="s">
        <v>43</v>
      </c>
      <c r="D494" t="s">
        <v>51</v>
      </c>
      <c r="E494" t="s">
        <v>59</v>
      </c>
      <c r="F494" t="s">
        <v>71</v>
      </c>
      <c r="G494" t="s">
        <v>22</v>
      </c>
      <c r="H494" t="s">
        <v>47</v>
      </c>
      <c r="I494" t="s">
        <v>48</v>
      </c>
      <c r="J494" t="s">
        <v>164</v>
      </c>
      <c r="K494">
        <v>5</v>
      </c>
      <c r="L494" s="2">
        <v>426.44</v>
      </c>
      <c r="M494" s="3">
        <v>0.05</v>
      </c>
      <c r="N494" s="2">
        <v>2025.59</v>
      </c>
      <c r="O494" s="2">
        <v>1210.21</v>
      </c>
      <c r="P494" s="2">
        <v>815.38</v>
      </c>
      <c r="Q494" t="s">
        <v>57</v>
      </c>
    </row>
    <row r="495" spans="1:17" x14ac:dyDescent="0.2">
      <c r="A495" t="s">
        <v>660</v>
      </c>
      <c r="B495" s="1">
        <v>45712</v>
      </c>
      <c r="C495" t="s">
        <v>18</v>
      </c>
      <c r="D495" t="s">
        <v>133</v>
      </c>
      <c r="E495" t="s">
        <v>134</v>
      </c>
      <c r="F495" t="s">
        <v>39</v>
      </c>
      <c r="G495" t="s">
        <v>75</v>
      </c>
      <c r="H495" t="s">
        <v>23</v>
      </c>
      <c r="I495" t="s">
        <v>55</v>
      </c>
      <c r="J495" t="s">
        <v>56</v>
      </c>
      <c r="K495">
        <v>4</v>
      </c>
      <c r="L495" s="2">
        <v>13.23</v>
      </c>
      <c r="M495" s="3">
        <v>0</v>
      </c>
      <c r="N495" s="2">
        <v>52.92</v>
      </c>
      <c r="O495" s="2">
        <v>32.32</v>
      </c>
      <c r="P495" s="2">
        <v>20.6</v>
      </c>
      <c r="Q495" t="s">
        <v>61</v>
      </c>
    </row>
    <row r="496" spans="1:17" x14ac:dyDescent="0.2">
      <c r="A496" t="s">
        <v>661</v>
      </c>
      <c r="B496" s="1">
        <v>45712</v>
      </c>
      <c r="C496" t="s">
        <v>36</v>
      </c>
      <c r="D496" t="s">
        <v>144</v>
      </c>
      <c r="E496" t="s">
        <v>145</v>
      </c>
      <c r="F496" t="s">
        <v>21</v>
      </c>
      <c r="G496" t="s">
        <v>22</v>
      </c>
      <c r="H496" t="s">
        <v>31</v>
      </c>
      <c r="I496" t="s">
        <v>64</v>
      </c>
      <c r="J496" t="s">
        <v>252</v>
      </c>
      <c r="K496">
        <v>6</v>
      </c>
      <c r="L496" s="2">
        <v>68.61</v>
      </c>
      <c r="M496" s="3">
        <v>0</v>
      </c>
      <c r="N496" s="2">
        <v>411.66</v>
      </c>
      <c r="O496" s="2">
        <v>274.44</v>
      </c>
      <c r="P496" s="2">
        <v>137.22</v>
      </c>
      <c r="Q496" t="s">
        <v>57</v>
      </c>
    </row>
    <row r="497" spans="1:17" x14ac:dyDescent="0.2">
      <c r="A497" t="s">
        <v>662</v>
      </c>
      <c r="B497" s="1">
        <v>45712</v>
      </c>
      <c r="C497" t="s">
        <v>18</v>
      </c>
      <c r="D497" t="s">
        <v>133</v>
      </c>
      <c r="E497" t="s">
        <v>134</v>
      </c>
      <c r="F497" t="s">
        <v>130</v>
      </c>
      <c r="G497" t="s">
        <v>75</v>
      </c>
      <c r="H497" t="s">
        <v>47</v>
      </c>
      <c r="I497" t="s">
        <v>97</v>
      </c>
      <c r="J497" t="s">
        <v>116</v>
      </c>
      <c r="K497">
        <v>2</v>
      </c>
      <c r="L497" s="2">
        <v>236.32</v>
      </c>
      <c r="M497" s="3">
        <v>0</v>
      </c>
      <c r="N497" s="2">
        <v>472.64</v>
      </c>
      <c r="O497" s="2">
        <v>327.58</v>
      </c>
      <c r="P497" s="2">
        <v>145.06</v>
      </c>
      <c r="Q497" t="s">
        <v>26</v>
      </c>
    </row>
    <row r="498" spans="1:17" x14ac:dyDescent="0.2">
      <c r="A498" t="s">
        <v>663</v>
      </c>
      <c r="B498" s="1">
        <v>45713</v>
      </c>
      <c r="C498" t="s">
        <v>43</v>
      </c>
      <c r="D498" t="s">
        <v>244</v>
      </c>
      <c r="E498" t="s">
        <v>326</v>
      </c>
      <c r="F498" t="s">
        <v>30</v>
      </c>
      <c r="G498" t="s">
        <v>22</v>
      </c>
      <c r="H498" t="s">
        <v>31</v>
      </c>
      <c r="I498" t="s">
        <v>64</v>
      </c>
      <c r="J498" t="s">
        <v>126</v>
      </c>
      <c r="K498">
        <v>4</v>
      </c>
      <c r="L498" s="2">
        <v>88.46</v>
      </c>
      <c r="M498" s="3">
        <v>0</v>
      </c>
      <c r="N498" s="2">
        <v>353.84</v>
      </c>
      <c r="O498" s="2">
        <v>289.72000000000003</v>
      </c>
      <c r="P498" s="2">
        <v>64.12</v>
      </c>
      <c r="Q498" t="s">
        <v>34</v>
      </c>
    </row>
    <row r="499" spans="1:17" x14ac:dyDescent="0.2">
      <c r="A499" t="s">
        <v>664</v>
      </c>
      <c r="B499" s="1">
        <v>45713</v>
      </c>
      <c r="C499" t="s">
        <v>36</v>
      </c>
      <c r="D499" t="s">
        <v>67</v>
      </c>
      <c r="E499" t="s">
        <v>323</v>
      </c>
      <c r="F499" t="s">
        <v>138</v>
      </c>
      <c r="G499" t="s">
        <v>54</v>
      </c>
      <c r="H499" t="s">
        <v>31</v>
      </c>
      <c r="I499" t="s">
        <v>64</v>
      </c>
      <c r="J499" t="s">
        <v>65</v>
      </c>
      <c r="K499">
        <v>1</v>
      </c>
      <c r="L499" s="2">
        <v>110.85</v>
      </c>
      <c r="M499" s="3">
        <v>0.1</v>
      </c>
      <c r="N499" s="2">
        <v>99.76</v>
      </c>
      <c r="O499" s="2">
        <v>61.14</v>
      </c>
      <c r="P499" s="2">
        <v>38.619999999999997</v>
      </c>
      <c r="Q499" t="s">
        <v>57</v>
      </c>
    </row>
    <row r="500" spans="1:17" x14ac:dyDescent="0.2">
      <c r="A500" t="s">
        <v>665</v>
      </c>
      <c r="B500" s="1">
        <v>45713</v>
      </c>
      <c r="C500" t="s">
        <v>18</v>
      </c>
      <c r="D500" t="s">
        <v>28</v>
      </c>
      <c r="E500" t="s">
        <v>170</v>
      </c>
      <c r="F500" t="s">
        <v>46</v>
      </c>
      <c r="G500" t="s">
        <v>75</v>
      </c>
      <c r="H500" t="s">
        <v>23</v>
      </c>
      <c r="I500" t="s">
        <v>79</v>
      </c>
      <c r="J500" t="s">
        <v>179</v>
      </c>
      <c r="K500">
        <v>6</v>
      </c>
      <c r="L500" s="2">
        <v>532.49</v>
      </c>
      <c r="M500" s="3">
        <v>0.15</v>
      </c>
      <c r="N500" s="2">
        <v>2715.7</v>
      </c>
      <c r="O500" s="2">
        <v>1493.74</v>
      </c>
      <c r="P500" s="2">
        <v>1221.96</v>
      </c>
      <c r="Q500" t="s">
        <v>57</v>
      </c>
    </row>
    <row r="501" spans="1:17" x14ac:dyDescent="0.2">
      <c r="A501" t="s">
        <v>666</v>
      </c>
      <c r="B501" s="1">
        <v>45713</v>
      </c>
      <c r="C501" t="s">
        <v>43</v>
      </c>
      <c r="D501" t="s">
        <v>161</v>
      </c>
      <c r="E501" t="s">
        <v>162</v>
      </c>
      <c r="F501" t="s">
        <v>130</v>
      </c>
      <c r="G501" t="s">
        <v>22</v>
      </c>
      <c r="H501" t="s">
        <v>47</v>
      </c>
      <c r="I501" t="s">
        <v>141</v>
      </c>
      <c r="J501" t="s">
        <v>142</v>
      </c>
      <c r="K501">
        <v>4</v>
      </c>
      <c r="L501" s="2">
        <v>185.6</v>
      </c>
      <c r="M501" s="3">
        <v>0.1</v>
      </c>
      <c r="N501" s="2">
        <v>668.16</v>
      </c>
      <c r="O501" s="2">
        <v>507.19</v>
      </c>
      <c r="P501" s="2">
        <v>160.97</v>
      </c>
      <c r="Q501" t="s">
        <v>26</v>
      </c>
    </row>
    <row r="502" spans="1:17" x14ac:dyDescent="0.2">
      <c r="A502" t="s">
        <v>667</v>
      </c>
      <c r="B502" s="1">
        <v>45713</v>
      </c>
      <c r="C502" t="s">
        <v>77</v>
      </c>
      <c r="D502" t="s">
        <v>95</v>
      </c>
      <c r="E502" t="s">
        <v>300</v>
      </c>
      <c r="F502" t="s">
        <v>39</v>
      </c>
      <c r="G502" t="s">
        <v>54</v>
      </c>
      <c r="H502" t="s">
        <v>47</v>
      </c>
      <c r="I502" t="s">
        <v>141</v>
      </c>
      <c r="J502" t="s">
        <v>372</v>
      </c>
      <c r="K502">
        <v>5</v>
      </c>
      <c r="L502" s="2">
        <v>727.49</v>
      </c>
      <c r="M502" s="3">
        <v>0.05</v>
      </c>
      <c r="N502" s="2">
        <v>3455.58</v>
      </c>
      <c r="O502" s="2">
        <v>2393.36</v>
      </c>
      <c r="P502" s="2">
        <v>1062.22</v>
      </c>
      <c r="Q502" t="s">
        <v>61</v>
      </c>
    </row>
    <row r="503" spans="1:17" x14ac:dyDescent="0.2">
      <c r="A503" t="s">
        <v>668</v>
      </c>
      <c r="B503" s="1">
        <v>45713</v>
      </c>
      <c r="C503" t="s">
        <v>43</v>
      </c>
      <c r="D503" t="s">
        <v>244</v>
      </c>
      <c r="E503" t="s">
        <v>245</v>
      </c>
      <c r="F503" t="s">
        <v>46</v>
      </c>
      <c r="G503" t="s">
        <v>22</v>
      </c>
      <c r="H503" t="s">
        <v>23</v>
      </c>
      <c r="I503" t="s">
        <v>24</v>
      </c>
      <c r="J503" t="s">
        <v>25</v>
      </c>
      <c r="K503">
        <v>5</v>
      </c>
      <c r="L503" s="2">
        <v>28.82</v>
      </c>
      <c r="M503" s="3">
        <v>0</v>
      </c>
      <c r="N503" s="2">
        <v>144.1</v>
      </c>
      <c r="O503" s="2">
        <v>93.62</v>
      </c>
      <c r="P503" s="2">
        <v>50.48</v>
      </c>
      <c r="Q503" t="s">
        <v>26</v>
      </c>
    </row>
    <row r="504" spans="1:17" x14ac:dyDescent="0.2">
      <c r="A504" t="s">
        <v>669</v>
      </c>
      <c r="B504" s="1">
        <v>45713</v>
      </c>
      <c r="C504" t="s">
        <v>43</v>
      </c>
      <c r="D504" t="s">
        <v>208</v>
      </c>
      <c r="E504" t="s">
        <v>230</v>
      </c>
      <c r="F504" t="s">
        <v>130</v>
      </c>
      <c r="G504" t="s">
        <v>54</v>
      </c>
      <c r="H504" t="s">
        <v>47</v>
      </c>
      <c r="I504" t="s">
        <v>48</v>
      </c>
      <c r="J504" t="s">
        <v>93</v>
      </c>
      <c r="K504">
        <v>10</v>
      </c>
      <c r="L504" s="2">
        <v>740.5</v>
      </c>
      <c r="M504" s="3">
        <v>0</v>
      </c>
      <c r="N504" s="2">
        <v>7405</v>
      </c>
      <c r="O504" s="2">
        <v>4410.96</v>
      </c>
      <c r="P504" s="2">
        <v>2994.04</v>
      </c>
      <c r="Q504" t="s">
        <v>61</v>
      </c>
    </row>
    <row r="505" spans="1:17" x14ac:dyDescent="0.2">
      <c r="A505" t="s">
        <v>670</v>
      </c>
      <c r="B505" s="1">
        <v>45713</v>
      </c>
      <c r="C505" t="s">
        <v>43</v>
      </c>
      <c r="D505" t="s">
        <v>244</v>
      </c>
      <c r="E505" t="s">
        <v>300</v>
      </c>
      <c r="F505" t="s">
        <v>21</v>
      </c>
      <c r="G505" t="s">
        <v>22</v>
      </c>
      <c r="H505" t="s">
        <v>31</v>
      </c>
      <c r="I505" t="s">
        <v>112</v>
      </c>
      <c r="J505" t="s">
        <v>113</v>
      </c>
      <c r="K505">
        <v>2</v>
      </c>
      <c r="L505" s="2">
        <v>505.37</v>
      </c>
      <c r="M505" s="3">
        <v>0.15</v>
      </c>
      <c r="N505" s="2">
        <v>859.13</v>
      </c>
      <c r="O505" s="2">
        <v>592.84</v>
      </c>
      <c r="P505" s="2">
        <v>266.29000000000002</v>
      </c>
      <c r="Q505" t="s">
        <v>34</v>
      </c>
    </row>
    <row r="506" spans="1:17" x14ac:dyDescent="0.2">
      <c r="A506" t="s">
        <v>671</v>
      </c>
      <c r="B506" s="1">
        <v>45714</v>
      </c>
      <c r="C506" t="s">
        <v>36</v>
      </c>
      <c r="D506" t="s">
        <v>110</v>
      </c>
      <c r="E506" t="s">
        <v>115</v>
      </c>
      <c r="F506" t="s">
        <v>21</v>
      </c>
      <c r="G506" t="s">
        <v>22</v>
      </c>
      <c r="H506" t="s">
        <v>47</v>
      </c>
      <c r="I506" t="s">
        <v>48</v>
      </c>
      <c r="J506" t="s">
        <v>49</v>
      </c>
      <c r="K506">
        <v>10</v>
      </c>
      <c r="L506" s="2">
        <v>371.56</v>
      </c>
      <c r="M506" s="3">
        <v>0.05</v>
      </c>
      <c r="N506" s="2">
        <v>3529.82</v>
      </c>
      <c r="O506" s="2">
        <v>2289.12</v>
      </c>
      <c r="P506" s="2">
        <v>1240.7</v>
      </c>
      <c r="Q506" t="s">
        <v>61</v>
      </c>
    </row>
    <row r="507" spans="1:17" x14ac:dyDescent="0.2">
      <c r="A507" t="s">
        <v>672</v>
      </c>
      <c r="B507" s="1">
        <v>45714</v>
      </c>
      <c r="C507" t="s">
        <v>43</v>
      </c>
      <c r="D507" t="s">
        <v>161</v>
      </c>
      <c r="E507" t="s">
        <v>418</v>
      </c>
      <c r="F507" t="s">
        <v>30</v>
      </c>
      <c r="G507" t="s">
        <v>75</v>
      </c>
      <c r="H507" t="s">
        <v>31</v>
      </c>
      <c r="I507" t="s">
        <v>64</v>
      </c>
      <c r="J507" t="s">
        <v>126</v>
      </c>
      <c r="K507">
        <v>5</v>
      </c>
      <c r="L507" s="2">
        <v>149.87</v>
      </c>
      <c r="M507" s="3">
        <v>0.05</v>
      </c>
      <c r="N507" s="2">
        <v>711.88</v>
      </c>
      <c r="O507" s="2">
        <v>415.06</v>
      </c>
      <c r="P507" s="2">
        <v>296.82</v>
      </c>
      <c r="Q507" t="s">
        <v>34</v>
      </c>
    </row>
    <row r="508" spans="1:17" x14ac:dyDescent="0.2">
      <c r="A508" t="s">
        <v>673</v>
      </c>
      <c r="B508" s="1">
        <v>45714</v>
      </c>
      <c r="C508" t="s">
        <v>77</v>
      </c>
      <c r="D508" t="s">
        <v>149</v>
      </c>
      <c r="E508" t="s">
        <v>309</v>
      </c>
      <c r="F508" t="s">
        <v>60</v>
      </c>
      <c r="G508" t="s">
        <v>22</v>
      </c>
      <c r="H508" t="s">
        <v>47</v>
      </c>
      <c r="I508" t="s">
        <v>141</v>
      </c>
      <c r="J508" t="s">
        <v>372</v>
      </c>
      <c r="K508">
        <v>9</v>
      </c>
      <c r="L508" s="2">
        <v>664.1</v>
      </c>
      <c r="M508" s="3">
        <v>0.05</v>
      </c>
      <c r="N508" s="2">
        <v>5678.06</v>
      </c>
      <c r="O508" s="2">
        <v>4318.3999999999996</v>
      </c>
      <c r="P508" s="2">
        <v>1359.66</v>
      </c>
      <c r="Q508" t="s">
        <v>57</v>
      </c>
    </row>
    <row r="509" spans="1:17" x14ac:dyDescent="0.2">
      <c r="A509" t="s">
        <v>674</v>
      </c>
      <c r="B509" s="1">
        <v>45714</v>
      </c>
      <c r="C509" t="s">
        <v>43</v>
      </c>
      <c r="D509" t="s">
        <v>244</v>
      </c>
      <c r="E509" t="s">
        <v>300</v>
      </c>
      <c r="F509" t="s">
        <v>21</v>
      </c>
      <c r="G509" t="s">
        <v>75</v>
      </c>
      <c r="H509" t="s">
        <v>23</v>
      </c>
      <c r="I509" t="s">
        <v>55</v>
      </c>
      <c r="J509" t="s">
        <v>56</v>
      </c>
      <c r="K509">
        <v>8</v>
      </c>
      <c r="L509" s="2">
        <v>5.98</v>
      </c>
      <c r="M509" s="3">
        <v>0</v>
      </c>
      <c r="N509" s="2">
        <v>47.84</v>
      </c>
      <c r="O509" s="2">
        <v>28.96</v>
      </c>
      <c r="P509" s="2">
        <v>18.88</v>
      </c>
      <c r="Q509" t="s">
        <v>57</v>
      </c>
    </row>
    <row r="510" spans="1:17" x14ac:dyDescent="0.2">
      <c r="A510" t="s">
        <v>675</v>
      </c>
      <c r="B510" s="1">
        <v>45714</v>
      </c>
      <c r="C510" t="s">
        <v>18</v>
      </c>
      <c r="D510" t="s">
        <v>152</v>
      </c>
      <c r="E510" t="s">
        <v>166</v>
      </c>
      <c r="F510" t="s">
        <v>130</v>
      </c>
      <c r="G510" t="s">
        <v>75</v>
      </c>
      <c r="H510" t="s">
        <v>47</v>
      </c>
      <c r="I510" t="s">
        <v>97</v>
      </c>
      <c r="J510" t="s">
        <v>116</v>
      </c>
      <c r="K510">
        <v>8</v>
      </c>
      <c r="L510" s="2">
        <v>652.16999999999996</v>
      </c>
      <c r="M510" s="3">
        <v>0.05</v>
      </c>
      <c r="N510" s="2">
        <v>4956.49</v>
      </c>
      <c r="O510" s="2">
        <v>3950.07</v>
      </c>
      <c r="P510" s="2">
        <v>1006.42</v>
      </c>
      <c r="Q510" t="s">
        <v>61</v>
      </c>
    </row>
    <row r="511" spans="1:17" x14ac:dyDescent="0.2">
      <c r="A511" t="s">
        <v>676</v>
      </c>
      <c r="B511" s="1">
        <v>45714</v>
      </c>
      <c r="C511" t="s">
        <v>77</v>
      </c>
      <c r="D511" t="s">
        <v>128</v>
      </c>
      <c r="E511" t="s">
        <v>155</v>
      </c>
      <c r="F511" t="s">
        <v>46</v>
      </c>
      <c r="G511" t="s">
        <v>22</v>
      </c>
      <c r="H511" t="s">
        <v>31</v>
      </c>
      <c r="I511" t="s">
        <v>32</v>
      </c>
      <c r="J511" t="s">
        <v>258</v>
      </c>
      <c r="K511">
        <v>3</v>
      </c>
      <c r="L511" s="2">
        <v>1512.8</v>
      </c>
      <c r="M511" s="3">
        <v>0.15</v>
      </c>
      <c r="N511" s="2">
        <v>3857.64</v>
      </c>
      <c r="O511" s="2">
        <v>3093.99</v>
      </c>
      <c r="P511" s="2">
        <v>763.65</v>
      </c>
      <c r="Q511" t="s">
        <v>61</v>
      </c>
    </row>
    <row r="512" spans="1:17" x14ac:dyDescent="0.2">
      <c r="A512" t="s">
        <v>677</v>
      </c>
      <c r="B512" s="1">
        <v>45714</v>
      </c>
      <c r="C512" t="s">
        <v>43</v>
      </c>
      <c r="D512" t="s">
        <v>51</v>
      </c>
      <c r="E512" t="s">
        <v>63</v>
      </c>
      <c r="F512" t="s">
        <v>130</v>
      </c>
      <c r="G512" t="s">
        <v>22</v>
      </c>
      <c r="H512" t="s">
        <v>23</v>
      </c>
      <c r="I512" t="s">
        <v>55</v>
      </c>
      <c r="J512" t="s">
        <v>173</v>
      </c>
      <c r="K512">
        <v>3</v>
      </c>
      <c r="L512" s="2">
        <v>24.06</v>
      </c>
      <c r="M512" s="3">
        <v>0.05</v>
      </c>
      <c r="N512" s="2">
        <v>68.569999999999993</v>
      </c>
      <c r="O512" s="2">
        <v>43.52</v>
      </c>
      <c r="P512" s="2">
        <v>25.05</v>
      </c>
      <c r="Q512" t="s">
        <v>26</v>
      </c>
    </row>
    <row r="513" spans="1:17" x14ac:dyDescent="0.2">
      <c r="A513" t="s">
        <v>678</v>
      </c>
      <c r="B513" s="1">
        <v>45715</v>
      </c>
      <c r="C513" t="s">
        <v>77</v>
      </c>
      <c r="D513" t="s">
        <v>128</v>
      </c>
      <c r="E513" t="s">
        <v>155</v>
      </c>
      <c r="F513" t="s">
        <v>30</v>
      </c>
      <c r="G513" t="s">
        <v>22</v>
      </c>
      <c r="H513" t="s">
        <v>47</v>
      </c>
      <c r="I513" t="s">
        <v>48</v>
      </c>
      <c r="J513" t="s">
        <v>93</v>
      </c>
      <c r="K513">
        <v>4</v>
      </c>
      <c r="L513" s="2">
        <v>847.17</v>
      </c>
      <c r="M513" s="3">
        <v>0.05</v>
      </c>
      <c r="N513" s="2">
        <v>3219.25</v>
      </c>
      <c r="O513" s="2">
        <v>2178.67</v>
      </c>
      <c r="P513" s="2">
        <v>1040.58</v>
      </c>
      <c r="Q513" t="s">
        <v>57</v>
      </c>
    </row>
    <row r="514" spans="1:17" x14ac:dyDescent="0.2">
      <c r="A514" t="s">
        <v>679</v>
      </c>
      <c r="B514" s="1">
        <v>45715</v>
      </c>
      <c r="C514" t="s">
        <v>18</v>
      </c>
      <c r="D514" t="s">
        <v>133</v>
      </c>
      <c r="E514" t="s">
        <v>226</v>
      </c>
      <c r="F514" t="s">
        <v>130</v>
      </c>
      <c r="G514" t="s">
        <v>75</v>
      </c>
      <c r="H514" t="s">
        <v>23</v>
      </c>
      <c r="I514" t="s">
        <v>55</v>
      </c>
      <c r="J514" t="s">
        <v>102</v>
      </c>
      <c r="K514">
        <v>9</v>
      </c>
      <c r="L514" s="2">
        <v>20.62</v>
      </c>
      <c r="M514" s="3">
        <v>0</v>
      </c>
      <c r="N514" s="2">
        <v>185.58</v>
      </c>
      <c r="O514" s="2">
        <v>105.56</v>
      </c>
      <c r="P514" s="2">
        <v>80.02</v>
      </c>
      <c r="Q514" t="s">
        <v>26</v>
      </c>
    </row>
    <row r="515" spans="1:17" x14ac:dyDescent="0.2">
      <c r="A515" t="s">
        <v>680</v>
      </c>
      <c r="B515" s="1">
        <v>45715</v>
      </c>
      <c r="C515" t="s">
        <v>18</v>
      </c>
      <c r="D515" t="s">
        <v>152</v>
      </c>
      <c r="E515" t="s">
        <v>153</v>
      </c>
      <c r="F515" t="s">
        <v>130</v>
      </c>
      <c r="G515" t="s">
        <v>22</v>
      </c>
      <c r="H515" t="s">
        <v>23</v>
      </c>
      <c r="I515" t="s">
        <v>83</v>
      </c>
      <c r="J515" t="s">
        <v>84</v>
      </c>
      <c r="K515">
        <v>6</v>
      </c>
      <c r="L515" s="2">
        <v>30.16</v>
      </c>
      <c r="M515" s="3">
        <v>0.05</v>
      </c>
      <c r="N515" s="2">
        <v>171.91</v>
      </c>
      <c r="O515" s="2">
        <v>104.93</v>
      </c>
      <c r="P515" s="2">
        <v>66.98</v>
      </c>
      <c r="Q515" t="s">
        <v>61</v>
      </c>
    </row>
    <row r="516" spans="1:17" x14ac:dyDescent="0.2">
      <c r="A516" t="s">
        <v>681</v>
      </c>
      <c r="B516" s="1">
        <v>45715</v>
      </c>
      <c r="C516" t="s">
        <v>43</v>
      </c>
      <c r="D516" t="s">
        <v>208</v>
      </c>
      <c r="E516" t="s">
        <v>230</v>
      </c>
      <c r="F516" t="s">
        <v>53</v>
      </c>
      <c r="G516" t="s">
        <v>54</v>
      </c>
      <c r="H516" t="s">
        <v>31</v>
      </c>
      <c r="I516" t="s">
        <v>64</v>
      </c>
      <c r="J516" t="s">
        <v>65</v>
      </c>
      <c r="K516">
        <v>8</v>
      </c>
      <c r="L516" s="2">
        <v>157.80000000000001</v>
      </c>
      <c r="M516" s="3">
        <v>0.1</v>
      </c>
      <c r="N516" s="2">
        <v>1136.1600000000001</v>
      </c>
      <c r="O516" s="2">
        <v>735.3</v>
      </c>
      <c r="P516" s="2">
        <v>400.86</v>
      </c>
      <c r="Q516" t="s">
        <v>34</v>
      </c>
    </row>
    <row r="517" spans="1:17" x14ac:dyDescent="0.2">
      <c r="A517" t="s">
        <v>682</v>
      </c>
      <c r="B517" s="1">
        <v>45715</v>
      </c>
      <c r="C517" t="s">
        <v>43</v>
      </c>
      <c r="D517" t="s">
        <v>244</v>
      </c>
      <c r="E517" t="s">
        <v>326</v>
      </c>
      <c r="F517" t="s">
        <v>69</v>
      </c>
      <c r="G517" t="s">
        <v>54</v>
      </c>
      <c r="H517" t="s">
        <v>31</v>
      </c>
      <c r="I517" t="s">
        <v>32</v>
      </c>
      <c r="J517" t="s">
        <v>104</v>
      </c>
      <c r="K517">
        <v>8</v>
      </c>
      <c r="L517" s="2">
        <v>1404.13</v>
      </c>
      <c r="M517" s="3">
        <v>0.15</v>
      </c>
      <c r="N517" s="2">
        <v>9548.08</v>
      </c>
      <c r="O517" s="2">
        <v>6085.34</v>
      </c>
      <c r="P517" s="2">
        <v>3462.74</v>
      </c>
      <c r="Q517" t="s">
        <v>61</v>
      </c>
    </row>
    <row r="518" spans="1:17" x14ac:dyDescent="0.2">
      <c r="A518" t="s">
        <v>683</v>
      </c>
      <c r="B518" s="1">
        <v>45715</v>
      </c>
      <c r="C518" t="s">
        <v>18</v>
      </c>
      <c r="D518" t="s">
        <v>133</v>
      </c>
      <c r="E518" t="s">
        <v>197</v>
      </c>
      <c r="F518" t="s">
        <v>138</v>
      </c>
      <c r="G518" t="s">
        <v>75</v>
      </c>
      <c r="H518" t="s">
        <v>31</v>
      </c>
      <c r="I518" t="s">
        <v>40</v>
      </c>
      <c r="J518" t="s">
        <v>122</v>
      </c>
      <c r="K518">
        <v>3</v>
      </c>
      <c r="L518" s="2">
        <v>217.64</v>
      </c>
      <c r="M518" s="3">
        <v>0.05</v>
      </c>
      <c r="N518" s="2">
        <v>620.27</v>
      </c>
      <c r="O518" s="2">
        <v>461.55</v>
      </c>
      <c r="P518" s="2">
        <v>158.72</v>
      </c>
      <c r="Q518" t="s">
        <v>57</v>
      </c>
    </row>
    <row r="519" spans="1:17" x14ac:dyDescent="0.2">
      <c r="A519" t="s">
        <v>684</v>
      </c>
      <c r="B519" s="1">
        <v>45715</v>
      </c>
      <c r="C519" t="s">
        <v>43</v>
      </c>
      <c r="D519" t="s">
        <v>44</v>
      </c>
      <c r="E519" t="s">
        <v>82</v>
      </c>
      <c r="F519" t="s">
        <v>46</v>
      </c>
      <c r="G519" t="s">
        <v>75</v>
      </c>
      <c r="H519" t="s">
        <v>31</v>
      </c>
      <c r="I519" t="s">
        <v>32</v>
      </c>
      <c r="J519" t="s">
        <v>33</v>
      </c>
      <c r="K519">
        <v>7</v>
      </c>
      <c r="L519" s="2">
        <v>888.45</v>
      </c>
      <c r="M519" s="3">
        <v>0.1</v>
      </c>
      <c r="N519" s="2">
        <v>5597.24</v>
      </c>
      <c r="O519" s="2">
        <v>4349.8599999999997</v>
      </c>
      <c r="P519" s="2">
        <v>1247.3800000000001</v>
      </c>
      <c r="Q519" t="s">
        <v>34</v>
      </c>
    </row>
    <row r="520" spans="1:17" x14ac:dyDescent="0.2">
      <c r="A520" t="s">
        <v>685</v>
      </c>
      <c r="B520" s="1">
        <v>45715</v>
      </c>
      <c r="C520" t="s">
        <v>77</v>
      </c>
      <c r="D520" t="s">
        <v>106</v>
      </c>
      <c r="E520" t="s">
        <v>236</v>
      </c>
      <c r="F520" t="s">
        <v>21</v>
      </c>
      <c r="G520" t="s">
        <v>75</v>
      </c>
      <c r="H520" t="s">
        <v>47</v>
      </c>
      <c r="I520" t="s">
        <v>141</v>
      </c>
      <c r="J520" t="s">
        <v>372</v>
      </c>
      <c r="K520">
        <v>1</v>
      </c>
      <c r="L520" s="2">
        <v>372.85</v>
      </c>
      <c r="M520" s="3">
        <v>0.15</v>
      </c>
      <c r="N520" s="2">
        <v>316.92</v>
      </c>
      <c r="O520" s="2">
        <v>174.41</v>
      </c>
      <c r="P520" s="2">
        <v>142.51</v>
      </c>
      <c r="Q520" t="s">
        <v>34</v>
      </c>
    </row>
    <row r="521" spans="1:17" x14ac:dyDescent="0.2">
      <c r="A521" t="s">
        <v>686</v>
      </c>
      <c r="B521" s="1">
        <v>45715</v>
      </c>
      <c r="C521" t="s">
        <v>77</v>
      </c>
      <c r="D521" t="s">
        <v>95</v>
      </c>
      <c r="E521" t="s">
        <v>367</v>
      </c>
      <c r="F521" t="s">
        <v>46</v>
      </c>
      <c r="G521" t="s">
        <v>22</v>
      </c>
      <c r="H521" t="s">
        <v>23</v>
      </c>
      <c r="I521" t="s">
        <v>24</v>
      </c>
      <c r="J521" t="s">
        <v>108</v>
      </c>
      <c r="K521">
        <v>3</v>
      </c>
      <c r="L521" s="2">
        <v>21.2</v>
      </c>
      <c r="M521" s="3">
        <v>0.15</v>
      </c>
      <c r="N521" s="2">
        <v>54.06</v>
      </c>
      <c r="O521" s="2">
        <v>35.11</v>
      </c>
      <c r="P521" s="2">
        <v>18.95</v>
      </c>
      <c r="Q521" t="s">
        <v>57</v>
      </c>
    </row>
    <row r="522" spans="1:17" x14ac:dyDescent="0.2">
      <c r="A522" t="s">
        <v>687</v>
      </c>
      <c r="B522" s="1">
        <v>45716</v>
      </c>
      <c r="C522" t="s">
        <v>36</v>
      </c>
      <c r="D522" t="s">
        <v>144</v>
      </c>
      <c r="E522" t="s">
        <v>214</v>
      </c>
      <c r="F522" t="s">
        <v>46</v>
      </c>
      <c r="G522" t="s">
        <v>75</v>
      </c>
      <c r="H522" t="s">
        <v>23</v>
      </c>
      <c r="I522" t="s">
        <v>83</v>
      </c>
      <c r="J522" t="s">
        <v>84</v>
      </c>
      <c r="K522">
        <v>3</v>
      </c>
      <c r="L522" s="2">
        <v>21.89</v>
      </c>
      <c r="M522" s="3">
        <v>0.15</v>
      </c>
      <c r="N522" s="2">
        <v>55.82</v>
      </c>
      <c r="O522" s="2">
        <v>40.31</v>
      </c>
      <c r="P522" s="2">
        <v>15.51</v>
      </c>
      <c r="Q522" t="s">
        <v>61</v>
      </c>
    </row>
    <row r="523" spans="1:17" x14ac:dyDescent="0.2">
      <c r="A523" t="s">
        <v>688</v>
      </c>
      <c r="B523" s="1">
        <v>45716</v>
      </c>
      <c r="C523" t="s">
        <v>18</v>
      </c>
      <c r="D523" t="s">
        <v>86</v>
      </c>
      <c r="E523" t="s">
        <v>87</v>
      </c>
      <c r="F523" t="s">
        <v>46</v>
      </c>
      <c r="G523" t="s">
        <v>22</v>
      </c>
      <c r="H523" t="s">
        <v>31</v>
      </c>
      <c r="I523" t="s">
        <v>64</v>
      </c>
      <c r="J523" t="s">
        <v>252</v>
      </c>
      <c r="K523">
        <v>3</v>
      </c>
      <c r="L523" s="2">
        <v>110.96</v>
      </c>
      <c r="M523" s="3">
        <v>0</v>
      </c>
      <c r="N523" s="2">
        <v>332.88</v>
      </c>
      <c r="O523" s="2">
        <v>269.29000000000002</v>
      </c>
      <c r="P523" s="2">
        <v>63.59</v>
      </c>
      <c r="Q523" t="s">
        <v>61</v>
      </c>
    </row>
    <row r="524" spans="1:17" x14ac:dyDescent="0.2">
      <c r="A524" t="s">
        <v>689</v>
      </c>
      <c r="B524" s="1">
        <v>45716</v>
      </c>
      <c r="C524" t="s">
        <v>18</v>
      </c>
      <c r="D524" t="s">
        <v>28</v>
      </c>
      <c r="E524" t="s">
        <v>29</v>
      </c>
      <c r="F524" t="s">
        <v>46</v>
      </c>
      <c r="G524" t="s">
        <v>75</v>
      </c>
      <c r="H524" t="s">
        <v>47</v>
      </c>
      <c r="I524" t="s">
        <v>89</v>
      </c>
      <c r="J524" t="s">
        <v>204</v>
      </c>
      <c r="K524">
        <v>1</v>
      </c>
      <c r="L524" s="2">
        <v>457.28</v>
      </c>
      <c r="M524" s="3">
        <v>0.1</v>
      </c>
      <c r="N524" s="2">
        <v>411.55</v>
      </c>
      <c r="O524" s="2">
        <v>258.81</v>
      </c>
      <c r="P524" s="2">
        <v>152.74</v>
      </c>
      <c r="Q524" t="s">
        <v>61</v>
      </c>
    </row>
    <row r="525" spans="1:17" x14ac:dyDescent="0.2">
      <c r="A525" t="s">
        <v>690</v>
      </c>
      <c r="B525" s="1">
        <v>45716</v>
      </c>
      <c r="C525" t="s">
        <v>43</v>
      </c>
      <c r="D525" t="s">
        <v>244</v>
      </c>
      <c r="E525" t="s">
        <v>326</v>
      </c>
      <c r="F525" t="s">
        <v>46</v>
      </c>
      <c r="G525" t="s">
        <v>22</v>
      </c>
      <c r="H525" t="s">
        <v>47</v>
      </c>
      <c r="I525" t="s">
        <v>141</v>
      </c>
      <c r="J525" t="s">
        <v>142</v>
      </c>
      <c r="K525">
        <v>4</v>
      </c>
      <c r="L525" s="2">
        <v>769.29</v>
      </c>
      <c r="M525" s="3">
        <v>0.1</v>
      </c>
      <c r="N525" s="2">
        <v>2769.44</v>
      </c>
      <c r="O525" s="2">
        <v>2174.13</v>
      </c>
      <c r="P525" s="2">
        <v>595.30999999999995</v>
      </c>
      <c r="Q525" t="s">
        <v>26</v>
      </c>
    </row>
    <row r="526" spans="1:17" x14ac:dyDescent="0.2">
      <c r="A526" t="s">
        <v>691</v>
      </c>
      <c r="B526" s="1">
        <v>45716</v>
      </c>
      <c r="C526" t="s">
        <v>43</v>
      </c>
      <c r="D526" t="s">
        <v>208</v>
      </c>
      <c r="E526" t="s">
        <v>209</v>
      </c>
      <c r="F526" t="s">
        <v>69</v>
      </c>
      <c r="G526" t="s">
        <v>54</v>
      </c>
      <c r="H526" t="s">
        <v>31</v>
      </c>
      <c r="I526" t="s">
        <v>64</v>
      </c>
      <c r="J526" t="s">
        <v>65</v>
      </c>
      <c r="K526">
        <v>9</v>
      </c>
      <c r="L526" s="2">
        <v>72.69</v>
      </c>
      <c r="M526" s="3">
        <v>0.2</v>
      </c>
      <c r="N526" s="2">
        <v>523.37</v>
      </c>
      <c r="O526" s="2">
        <v>362.74</v>
      </c>
      <c r="P526" s="2">
        <v>160.63</v>
      </c>
      <c r="Q526" t="s">
        <v>34</v>
      </c>
    </row>
    <row r="527" spans="1:17" x14ac:dyDescent="0.2">
      <c r="A527" t="s">
        <v>692</v>
      </c>
      <c r="B527" s="1">
        <v>45716</v>
      </c>
      <c r="C527" t="s">
        <v>77</v>
      </c>
      <c r="D527" t="s">
        <v>78</v>
      </c>
      <c r="E527" t="s">
        <v>52</v>
      </c>
      <c r="F527" t="s">
        <v>71</v>
      </c>
      <c r="G527" t="s">
        <v>75</v>
      </c>
      <c r="H527" t="s">
        <v>23</v>
      </c>
      <c r="I527" t="s">
        <v>24</v>
      </c>
      <c r="J527" t="s">
        <v>108</v>
      </c>
      <c r="K527">
        <v>10</v>
      </c>
      <c r="L527" s="2">
        <v>17.23</v>
      </c>
      <c r="M527" s="3">
        <v>0</v>
      </c>
      <c r="N527" s="2">
        <v>172.3</v>
      </c>
      <c r="O527" s="2">
        <v>122.88</v>
      </c>
      <c r="P527" s="2">
        <v>49.42</v>
      </c>
      <c r="Q527" t="s">
        <v>34</v>
      </c>
    </row>
    <row r="528" spans="1:17" x14ac:dyDescent="0.2">
      <c r="A528" t="s">
        <v>693</v>
      </c>
      <c r="B528" s="1">
        <v>45716</v>
      </c>
      <c r="C528" t="s">
        <v>77</v>
      </c>
      <c r="D528" t="s">
        <v>95</v>
      </c>
      <c r="E528" t="s">
        <v>367</v>
      </c>
      <c r="F528" t="s">
        <v>53</v>
      </c>
      <c r="G528" t="s">
        <v>75</v>
      </c>
      <c r="H528" t="s">
        <v>31</v>
      </c>
      <c r="I528" t="s">
        <v>64</v>
      </c>
      <c r="J528" t="s">
        <v>65</v>
      </c>
      <c r="K528">
        <v>1</v>
      </c>
      <c r="L528" s="2">
        <v>141.76</v>
      </c>
      <c r="M528" s="3">
        <v>0.05</v>
      </c>
      <c r="N528" s="2">
        <v>134.66999999999999</v>
      </c>
      <c r="O528" s="2">
        <v>83.15</v>
      </c>
      <c r="P528" s="2">
        <v>51.52</v>
      </c>
      <c r="Q528" t="s">
        <v>26</v>
      </c>
    </row>
    <row r="529" spans="1:17" x14ac:dyDescent="0.2">
      <c r="A529" t="s">
        <v>694</v>
      </c>
      <c r="B529" s="1">
        <v>45716</v>
      </c>
      <c r="C529" t="s">
        <v>18</v>
      </c>
      <c r="D529" t="s">
        <v>28</v>
      </c>
      <c r="E529" t="s">
        <v>29</v>
      </c>
      <c r="F529" t="s">
        <v>53</v>
      </c>
      <c r="G529" t="s">
        <v>75</v>
      </c>
      <c r="H529" t="s">
        <v>47</v>
      </c>
      <c r="I529" t="s">
        <v>89</v>
      </c>
      <c r="J529" t="s">
        <v>90</v>
      </c>
      <c r="K529">
        <v>7</v>
      </c>
      <c r="L529" s="2">
        <v>298.75</v>
      </c>
      <c r="M529" s="3">
        <v>0.05</v>
      </c>
      <c r="N529" s="2">
        <v>1986.69</v>
      </c>
      <c r="O529" s="2">
        <v>1450.24</v>
      </c>
      <c r="P529" s="2">
        <v>536.45000000000005</v>
      </c>
      <c r="Q529" t="s">
        <v>57</v>
      </c>
    </row>
    <row r="530" spans="1:17" x14ac:dyDescent="0.2">
      <c r="A530" t="s">
        <v>695</v>
      </c>
      <c r="B530" s="1">
        <v>45716</v>
      </c>
      <c r="C530" t="s">
        <v>36</v>
      </c>
      <c r="D530" t="s">
        <v>73</v>
      </c>
      <c r="E530" t="s">
        <v>212</v>
      </c>
      <c r="F530" t="s">
        <v>21</v>
      </c>
      <c r="G530" t="s">
        <v>22</v>
      </c>
      <c r="H530" t="s">
        <v>23</v>
      </c>
      <c r="I530" t="s">
        <v>79</v>
      </c>
      <c r="J530" t="s">
        <v>179</v>
      </c>
      <c r="K530">
        <v>10</v>
      </c>
      <c r="L530" s="2">
        <v>536.91999999999996</v>
      </c>
      <c r="M530" s="3">
        <v>0.1</v>
      </c>
      <c r="N530" s="2">
        <v>4832.28</v>
      </c>
      <c r="O530" s="2">
        <v>3235.02</v>
      </c>
      <c r="P530" s="2">
        <v>1597.26</v>
      </c>
      <c r="Q530" t="s">
        <v>57</v>
      </c>
    </row>
    <row r="531" spans="1:17" x14ac:dyDescent="0.2">
      <c r="A531" t="s">
        <v>696</v>
      </c>
      <c r="B531" s="1">
        <v>45716</v>
      </c>
      <c r="C531" t="s">
        <v>36</v>
      </c>
      <c r="D531" t="s">
        <v>110</v>
      </c>
      <c r="E531" t="s">
        <v>203</v>
      </c>
      <c r="F531" t="s">
        <v>46</v>
      </c>
      <c r="G531" t="s">
        <v>54</v>
      </c>
      <c r="H531" t="s">
        <v>47</v>
      </c>
      <c r="I531" t="s">
        <v>97</v>
      </c>
      <c r="J531" t="s">
        <v>116</v>
      </c>
      <c r="K531">
        <v>6</v>
      </c>
      <c r="L531" s="2">
        <v>641</v>
      </c>
      <c r="M531" s="3">
        <v>0.1</v>
      </c>
      <c r="N531" s="2">
        <v>3461.4</v>
      </c>
      <c r="O531" s="2">
        <v>2063.46</v>
      </c>
      <c r="P531" s="2">
        <v>1397.94</v>
      </c>
      <c r="Q531" t="s">
        <v>26</v>
      </c>
    </row>
    <row r="532" spans="1:17" x14ac:dyDescent="0.2">
      <c r="A532" t="s">
        <v>697</v>
      </c>
      <c r="B532" s="1">
        <v>45717</v>
      </c>
      <c r="C532" t="s">
        <v>36</v>
      </c>
      <c r="D532" t="s">
        <v>37</v>
      </c>
      <c r="E532" t="s">
        <v>255</v>
      </c>
      <c r="F532" t="s">
        <v>60</v>
      </c>
      <c r="G532" t="s">
        <v>75</v>
      </c>
      <c r="H532" t="s">
        <v>23</v>
      </c>
      <c r="I532" t="s">
        <v>79</v>
      </c>
      <c r="J532" t="s">
        <v>233</v>
      </c>
      <c r="K532">
        <v>8</v>
      </c>
      <c r="L532" s="2">
        <v>440.63</v>
      </c>
      <c r="M532" s="3">
        <v>0</v>
      </c>
      <c r="N532" s="2">
        <v>3525.04</v>
      </c>
      <c r="O532" s="2">
        <v>2462.48</v>
      </c>
      <c r="P532" s="2">
        <v>1062.56</v>
      </c>
      <c r="Q532" t="s">
        <v>61</v>
      </c>
    </row>
    <row r="533" spans="1:17" x14ac:dyDescent="0.2">
      <c r="A533" t="s">
        <v>698</v>
      </c>
      <c r="B533" s="1">
        <v>45717</v>
      </c>
      <c r="C533" t="s">
        <v>18</v>
      </c>
      <c r="D533" t="s">
        <v>133</v>
      </c>
      <c r="E533" t="s">
        <v>226</v>
      </c>
      <c r="F533" t="s">
        <v>39</v>
      </c>
      <c r="G533" t="s">
        <v>54</v>
      </c>
      <c r="H533" t="s">
        <v>23</v>
      </c>
      <c r="I533" t="s">
        <v>55</v>
      </c>
      <c r="J533" t="s">
        <v>56</v>
      </c>
      <c r="K533">
        <v>9</v>
      </c>
      <c r="L533" s="2">
        <v>22.62</v>
      </c>
      <c r="M533" s="3">
        <v>0.15</v>
      </c>
      <c r="N533" s="2">
        <v>173.04</v>
      </c>
      <c r="O533" s="2">
        <v>141.19</v>
      </c>
      <c r="P533" s="2">
        <v>31.85</v>
      </c>
      <c r="Q533" t="s">
        <v>34</v>
      </c>
    </row>
    <row r="534" spans="1:17" x14ac:dyDescent="0.2">
      <c r="A534" t="s">
        <v>699</v>
      </c>
      <c r="B534" s="1">
        <v>45717</v>
      </c>
      <c r="C534" t="s">
        <v>18</v>
      </c>
      <c r="D534" t="s">
        <v>133</v>
      </c>
      <c r="E534" t="s">
        <v>197</v>
      </c>
      <c r="F534" t="s">
        <v>138</v>
      </c>
      <c r="G534" t="s">
        <v>75</v>
      </c>
      <c r="H534" t="s">
        <v>47</v>
      </c>
      <c r="I534" t="s">
        <v>97</v>
      </c>
      <c r="J534" t="s">
        <v>168</v>
      </c>
      <c r="K534">
        <v>8</v>
      </c>
      <c r="L534" s="2">
        <v>400.41</v>
      </c>
      <c r="M534" s="3">
        <v>0</v>
      </c>
      <c r="N534" s="2">
        <v>3203.28</v>
      </c>
      <c r="O534" s="2">
        <v>2408.34</v>
      </c>
      <c r="P534" s="2">
        <v>794.94</v>
      </c>
      <c r="Q534" t="s">
        <v>26</v>
      </c>
    </row>
    <row r="535" spans="1:17" x14ac:dyDescent="0.2">
      <c r="A535" t="s">
        <v>700</v>
      </c>
      <c r="B535" s="1">
        <v>45717</v>
      </c>
      <c r="C535" t="s">
        <v>36</v>
      </c>
      <c r="D535" t="s">
        <v>67</v>
      </c>
      <c r="E535" t="s">
        <v>270</v>
      </c>
      <c r="F535" t="s">
        <v>60</v>
      </c>
      <c r="G535" t="s">
        <v>22</v>
      </c>
      <c r="H535" t="s">
        <v>31</v>
      </c>
      <c r="I535" t="s">
        <v>112</v>
      </c>
      <c r="J535" t="s">
        <v>176</v>
      </c>
      <c r="K535">
        <v>8</v>
      </c>
      <c r="L535" s="2">
        <v>209.08</v>
      </c>
      <c r="M535" s="3">
        <v>0</v>
      </c>
      <c r="N535" s="2">
        <v>1672.64</v>
      </c>
      <c r="O535" s="2">
        <v>1331.64</v>
      </c>
      <c r="P535" s="2">
        <v>341</v>
      </c>
      <c r="Q535" t="s">
        <v>57</v>
      </c>
    </row>
    <row r="536" spans="1:17" x14ac:dyDescent="0.2">
      <c r="A536" t="s">
        <v>701</v>
      </c>
      <c r="B536" s="1">
        <v>45717</v>
      </c>
      <c r="C536" t="s">
        <v>18</v>
      </c>
      <c r="D536" t="s">
        <v>86</v>
      </c>
      <c r="E536" t="s">
        <v>92</v>
      </c>
      <c r="F536" t="s">
        <v>53</v>
      </c>
      <c r="G536" t="s">
        <v>22</v>
      </c>
      <c r="H536" t="s">
        <v>23</v>
      </c>
      <c r="I536" t="s">
        <v>79</v>
      </c>
      <c r="J536" t="s">
        <v>233</v>
      </c>
      <c r="K536">
        <v>7</v>
      </c>
      <c r="L536" s="2">
        <v>281.02</v>
      </c>
      <c r="M536" s="3">
        <v>0</v>
      </c>
      <c r="N536" s="2">
        <v>1967.14</v>
      </c>
      <c r="O536" s="2">
        <v>1422.09</v>
      </c>
      <c r="P536" s="2">
        <v>545.04999999999995</v>
      </c>
      <c r="Q536" t="s">
        <v>57</v>
      </c>
    </row>
    <row r="537" spans="1:17" x14ac:dyDescent="0.2">
      <c r="A537" t="s">
        <v>702</v>
      </c>
      <c r="B537" s="1">
        <v>45717</v>
      </c>
      <c r="C537" t="s">
        <v>18</v>
      </c>
      <c r="D537" t="s">
        <v>152</v>
      </c>
      <c r="E537" t="s">
        <v>166</v>
      </c>
      <c r="F537" t="s">
        <v>130</v>
      </c>
      <c r="G537" t="s">
        <v>22</v>
      </c>
      <c r="H537" t="s">
        <v>23</v>
      </c>
      <c r="I537" t="s">
        <v>83</v>
      </c>
      <c r="J537" t="s">
        <v>84</v>
      </c>
      <c r="K537">
        <v>7</v>
      </c>
      <c r="L537" s="2">
        <v>12.13</v>
      </c>
      <c r="M537" s="3">
        <v>0.05</v>
      </c>
      <c r="N537" s="2">
        <v>80.66</v>
      </c>
      <c r="O537" s="2">
        <v>64.459999999999994</v>
      </c>
      <c r="P537" s="2">
        <v>16.2</v>
      </c>
      <c r="Q537" t="s">
        <v>61</v>
      </c>
    </row>
    <row r="538" spans="1:17" x14ac:dyDescent="0.2">
      <c r="A538" t="s">
        <v>703</v>
      </c>
      <c r="B538" s="1">
        <v>45717</v>
      </c>
      <c r="C538" t="s">
        <v>77</v>
      </c>
      <c r="D538" t="s">
        <v>95</v>
      </c>
      <c r="E538" t="s">
        <v>96</v>
      </c>
      <c r="F538" t="s">
        <v>138</v>
      </c>
      <c r="G538" t="s">
        <v>54</v>
      </c>
      <c r="H538" t="s">
        <v>31</v>
      </c>
      <c r="I538" t="s">
        <v>112</v>
      </c>
      <c r="J538" t="s">
        <v>113</v>
      </c>
      <c r="K538">
        <v>2</v>
      </c>
      <c r="L538" s="2">
        <v>472.78</v>
      </c>
      <c r="M538" s="3">
        <v>0</v>
      </c>
      <c r="N538" s="2">
        <v>945.56</v>
      </c>
      <c r="O538" s="2">
        <v>674.94</v>
      </c>
      <c r="P538" s="2">
        <v>270.62</v>
      </c>
      <c r="Q538" t="s">
        <v>57</v>
      </c>
    </row>
    <row r="539" spans="1:17" x14ac:dyDescent="0.2">
      <c r="A539" t="s">
        <v>704</v>
      </c>
      <c r="B539" s="1">
        <v>45717</v>
      </c>
      <c r="C539" t="s">
        <v>36</v>
      </c>
      <c r="D539" t="s">
        <v>144</v>
      </c>
      <c r="E539" t="s">
        <v>145</v>
      </c>
      <c r="F539" t="s">
        <v>138</v>
      </c>
      <c r="G539" t="s">
        <v>54</v>
      </c>
      <c r="H539" t="s">
        <v>31</v>
      </c>
      <c r="I539" t="s">
        <v>64</v>
      </c>
      <c r="J539" t="s">
        <v>126</v>
      </c>
      <c r="K539">
        <v>3</v>
      </c>
      <c r="L539" s="2">
        <v>69.52</v>
      </c>
      <c r="M539" s="3">
        <v>0.15</v>
      </c>
      <c r="N539" s="2">
        <v>177.28</v>
      </c>
      <c r="O539" s="2">
        <v>123.26</v>
      </c>
      <c r="P539" s="2">
        <v>54.02</v>
      </c>
      <c r="Q539" t="s">
        <v>61</v>
      </c>
    </row>
    <row r="540" spans="1:17" x14ac:dyDescent="0.2">
      <c r="A540" t="s">
        <v>705</v>
      </c>
      <c r="B540" s="1">
        <v>45717</v>
      </c>
      <c r="C540" t="s">
        <v>18</v>
      </c>
      <c r="D540" t="s">
        <v>133</v>
      </c>
      <c r="E540" t="s">
        <v>226</v>
      </c>
      <c r="F540" t="s">
        <v>138</v>
      </c>
      <c r="G540" t="s">
        <v>22</v>
      </c>
      <c r="H540" t="s">
        <v>23</v>
      </c>
      <c r="I540" t="s">
        <v>24</v>
      </c>
      <c r="J540" t="s">
        <v>25</v>
      </c>
      <c r="K540">
        <v>9</v>
      </c>
      <c r="L540" s="2">
        <v>10.24</v>
      </c>
      <c r="M540" s="3">
        <v>0</v>
      </c>
      <c r="N540" s="2">
        <v>92.16</v>
      </c>
      <c r="O540" s="2">
        <v>62.93</v>
      </c>
      <c r="P540" s="2">
        <v>29.23</v>
      </c>
      <c r="Q540" t="s">
        <v>26</v>
      </c>
    </row>
    <row r="541" spans="1:17" x14ac:dyDescent="0.2">
      <c r="A541" t="s">
        <v>706</v>
      </c>
      <c r="B541" s="1">
        <v>45717</v>
      </c>
      <c r="C541" t="s">
        <v>18</v>
      </c>
      <c r="D541" t="s">
        <v>28</v>
      </c>
      <c r="E541" t="s">
        <v>170</v>
      </c>
      <c r="F541" t="s">
        <v>138</v>
      </c>
      <c r="G541" t="s">
        <v>75</v>
      </c>
      <c r="H541" t="s">
        <v>47</v>
      </c>
      <c r="I541" t="s">
        <v>97</v>
      </c>
      <c r="J541" t="s">
        <v>116</v>
      </c>
      <c r="K541">
        <v>1</v>
      </c>
      <c r="L541" s="2">
        <v>556.61</v>
      </c>
      <c r="M541" s="3">
        <v>0.05</v>
      </c>
      <c r="N541" s="2">
        <v>528.78</v>
      </c>
      <c r="O541" s="2">
        <v>381.64</v>
      </c>
      <c r="P541" s="2">
        <v>147.13999999999999</v>
      </c>
      <c r="Q541" t="s">
        <v>34</v>
      </c>
    </row>
    <row r="542" spans="1:17" x14ac:dyDescent="0.2">
      <c r="A542" t="s">
        <v>707</v>
      </c>
      <c r="B542" s="1">
        <v>45718</v>
      </c>
      <c r="C542" t="s">
        <v>43</v>
      </c>
      <c r="D542" t="s">
        <v>51</v>
      </c>
      <c r="E542" t="s">
        <v>59</v>
      </c>
      <c r="F542" t="s">
        <v>60</v>
      </c>
      <c r="G542" t="s">
        <v>22</v>
      </c>
      <c r="H542" t="s">
        <v>31</v>
      </c>
      <c r="I542" t="s">
        <v>40</v>
      </c>
      <c r="J542" t="s">
        <v>122</v>
      </c>
      <c r="K542">
        <v>6</v>
      </c>
      <c r="L542" s="2">
        <v>124.91</v>
      </c>
      <c r="M542" s="3">
        <v>0</v>
      </c>
      <c r="N542" s="2">
        <v>749.46</v>
      </c>
      <c r="O542" s="2">
        <v>590.37</v>
      </c>
      <c r="P542" s="2">
        <v>159.09</v>
      </c>
      <c r="Q542" t="s">
        <v>34</v>
      </c>
    </row>
    <row r="543" spans="1:17" x14ac:dyDescent="0.2">
      <c r="A543" t="s">
        <v>708</v>
      </c>
      <c r="B543" s="1">
        <v>45718</v>
      </c>
      <c r="C543" t="s">
        <v>18</v>
      </c>
      <c r="D543" t="s">
        <v>19</v>
      </c>
      <c r="E543" t="s">
        <v>20</v>
      </c>
      <c r="F543" t="s">
        <v>46</v>
      </c>
      <c r="G543" t="s">
        <v>75</v>
      </c>
      <c r="H543" t="s">
        <v>31</v>
      </c>
      <c r="I543" t="s">
        <v>112</v>
      </c>
      <c r="J543" t="s">
        <v>136</v>
      </c>
      <c r="K543">
        <v>7</v>
      </c>
      <c r="L543" s="2">
        <v>698.63</v>
      </c>
      <c r="M543" s="3">
        <v>0.1</v>
      </c>
      <c r="N543" s="2">
        <v>4401.37</v>
      </c>
      <c r="O543" s="2">
        <v>3353.35</v>
      </c>
      <c r="P543" s="2">
        <v>1048.02</v>
      </c>
      <c r="Q543" t="s">
        <v>57</v>
      </c>
    </row>
    <row r="544" spans="1:17" x14ac:dyDescent="0.2">
      <c r="A544" t="s">
        <v>709</v>
      </c>
      <c r="B544" s="1">
        <v>45718</v>
      </c>
      <c r="C544" t="s">
        <v>77</v>
      </c>
      <c r="D544" t="s">
        <v>106</v>
      </c>
      <c r="E544" t="s">
        <v>107</v>
      </c>
      <c r="F544" t="s">
        <v>53</v>
      </c>
      <c r="G544" t="s">
        <v>54</v>
      </c>
      <c r="H544" t="s">
        <v>47</v>
      </c>
      <c r="I544" t="s">
        <v>141</v>
      </c>
      <c r="J544" t="s">
        <v>142</v>
      </c>
      <c r="K544">
        <v>9</v>
      </c>
      <c r="L544" s="2">
        <v>309.33999999999997</v>
      </c>
      <c r="M544" s="3">
        <v>0.1</v>
      </c>
      <c r="N544" s="2">
        <v>2505.65</v>
      </c>
      <c r="O544" s="2">
        <v>1395.51</v>
      </c>
      <c r="P544" s="2">
        <v>1110.1400000000001</v>
      </c>
      <c r="Q544" t="s">
        <v>57</v>
      </c>
    </row>
    <row r="545" spans="1:17" x14ac:dyDescent="0.2">
      <c r="A545" t="s">
        <v>710</v>
      </c>
      <c r="B545" s="1">
        <v>45718</v>
      </c>
      <c r="C545" t="s">
        <v>18</v>
      </c>
      <c r="D545" t="s">
        <v>19</v>
      </c>
      <c r="E545" t="s">
        <v>118</v>
      </c>
      <c r="F545" t="s">
        <v>60</v>
      </c>
      <c r="G545" t="s">
        <v>22</v>
      </c>
      <c r="H545" t="s">
        <v>23</v>
      </c>
      <c r="I545" t="s">
        <v>79</v>
      </c>
      <c r="J545" t="s">
        <v>80</v>
      </c>
      <c r="K545">
        <v>3</v>
      </c>
      <c r="L545" s="2">
        <v>587.99</v>
      </c>
      <c r="M545" s="3">
        <v>0.05</v>
      </c>
      <c r="N545" s="2">
        <v>1675.77</v>
      </c>
      <c r="O545" s="2">
        <v>977.03</v>
      </c>
      <c r="P545" s="2">
        <v>698.74</v>
      </c>
      <c r="Q545" t="s">
        <v>57</v>
      </c>
    </row>
    <row r="546" spans="1:17" x14ac:dyDescent="0.2">
      <c r="A546" t="s">
        <v>711</v>
      </c>
      <c r="B546" s="1">
        <v>45718</v>
      </c>
      <c r="C546" t="s">
        <v>43</v>
      </c>
      <c r="D546" t="s">
        <v>44</v>
      </c>
      <c r="E546" t="s">
        <v>45</v>
      </c>
      <c r="F546" t="s">
        <v>130</v>
      </c>
      <c r="G546" t="s">
        <v>75</v>
      </c>
      <c r="H546" t="s">
        <v>31</v>
      </c>
      <c r="I546" t="s">
        <v>112</v>
      </c>
      <c r="J546" t="s">
        <v>136</v>
      </c>
      <c r="K546">
        <v>1</v>
      </c>
      <c r="L546" s="2">
        <v>536.41999999999996</v>
      </c>
      <c r="M546" s="3">
        <v>0</v>
      </c>
      <c r="N546" s="2">
        <v>536.41999999999996</v>
      </c>
      <c r="O546" s="2">
        <v>366.23</v>
      </c>
      <c r="P546" s="2">
        <v>170.19</v>
      </c>
      <c r="Q546" t="s">
        <v>26</v>
      </c>
    </row>
    <row r="547" spans="1:17" x14ac:dyDescent="0.2">
      <c r="A547" t="s">
        <v>712</v>
      </c>
      <c r="B547" s="1">
        <v>45718</v>
      </c>
      <c r="C547" t="s">
        <v>36</v>
      </c>
      <c r="D547" t="s">
        <v>110</v>
      </c>
      <c r="E547" t="s">
        <v>203</v>
      </c>
      <c r="F547" t="s">
        <v>69</v>
      </c>
      <c r="G547" t="s">
        <v>75</v>
      </c>
      <c r="H547" t="s">
        <v>47</v>
      </c>
      <c r="I547" t="s">
        <v>97</v>
      </c>
      <c r="J547" t="s">
        <v>116</v>
      </c>
      <c r="K547">
        <v>5</v>
      </c>
      <c r="L547" s="2">
        <v>303.7</v>
      </c>
      <c r="M547" s="3">
        <v>0.05</v>
      </c>
      <c r="N547" s="2">
        <v>1442.58</v>
      </c>
      <c r="O547" s="2">
        <v>1129.78</v>
      </c>
      <c r="P547" s="2">
        <v>312.8</v>
      </c>
      <c r="Q547" t="s">
        <v>61</v>
      </c>
    </row>
    <row r="548" spans="1:17" x14ac:dyDescent="0.2">
      <c r="A548" t="s">
        <v>713</v>
      </c>
      <c r="B548" s="1">
        <v>45719</v>
      </c>
      <c r="C548" t="s">
        <v>77</v>
      </c>
      <c r="D548" t="s">
        <v>95</v>
      </c>
      <c r="E548" t="s">
        <v>367</v>
      </c>
      <c r="F548" t="s">
        <v>46</v>
      </c>
      <c r="G548" t="s">
        <v>22</v>
      </c>
      <c r="H548" t="s">
        <v>23</v>
      </c>
      <c r="I548" t="s">
        <v>55</v>
      </c>
      <c r="J548" t="s">
        <v>56</v>
      </c>
      <c r="K548">
        <v>9</v>
      </c>
      <c r="L548" s="2">
        <v>19.5</v>
      </c>
      <c r="M548" s="3">
        <v>0.15</v>
      </c>
      <c r="N548" s="2">
        <v>149.16999999999999</v>
      </c>
      <c r="O548" s="2">
        <v>85.31</v>
      </c>
      <c r="P548" s="2">
        <v>63.86</v>
      </c>
      <c r="Q548" t="s">
        <v>34</v>
      </c>
    </row>
    <row r="549" spans="1:17" x14ac:dyDescent="0.2">
      <c r="A549" t="s">
        <v>714</v>
      </c>
      <c r="B549" s="1">
        <v>45719</v>
      </c>
      <c r="C549" t="s">
        <v>36</v>
      </c>
      <c r="D549" t="s">
        <v>110</v>
      </c>
      <c r="E549" t="s">
        <v>111</v>
      </c>
      <c r="F549" t="s">
        <v>21</v>
      </c>
      <c r="G549" t="s">
        <v>22</v>
      </c>
      <c r="H549" t="s">
        <v>23</v>
      </c>
      <c r="I549" t="s">
        <v>55</v>
      </c>
      <c r="J549" t="s">
        <v>56</v>
      </c>
      <c r="K549">
        <v>5</v>
      </c>
      <c r="L549" s="2">
        <v>19.649999999999999</v>
      </c>
      <c r="M549" s="3">
        <v>0.05</v>
      </c>
      <c r="N549" s="2">
        <v>93.34</v>
      </c>
      <c r="O549" s="2">
        <v>62.61</v>
      </c>
      <c r="P549" s="2">
        <v>30.73</v>
      </c>
      <c r="Q549" t="s">
        <v>61</v>
      </c>
    </row>
    <row r="550" spans="1:17" x14ac:dyDescent="0.2">
      <c r="A550" t="s">
        <v>715</v>
      </c>
      <c r="B550" s="1">
        <v>45719</v>
      </c>
      <c r="C550" t="s">
        <v>43</v>
      </c>
      <c r="D550" t="s">
        <v>44</v>
      </c>
      <c r="E550" t="s">
        <v>45</v>
      </c>
      <c r="F550" t="s">
        <v>21</v>
      </c>
      <c r="G550" t="s">
        <v>75</v>
      </c>
      <c r="H550" t="s">
        <v>23</v>
      </c>
      <c r="I550" t="s">
        <v>24</v>
      </c>
      <c r="J550" t="s">
        <v>25</v>
      </c>
      <c r="K550">
        <v>10</v>
      </c>
      <c r="L550" s="2">
        <v>19.899999999999999</v>
      </c>
      <c r="M550" s="3">
        <v>0.1</v>
      </c>
      <c r="N550" s="2">
        <v>179.1</v>
      </c>
      <c r="O550" s="2">
        <v>135.04</v>
      </c>
      <c r="P550" s="2">
        <v>44.06</v>
      </c>
      <c r="Q550" t="s">
        <v>26</v>
      </c>
    </row>
    <row r="551" spans="1:17" x14ac:dyDescent="0.2">
      <c r="A551" t="s">
        <v>716</v>
      </c>
      <c r="B551" s="1">
        <v>45719</v>
      </c>
      <c r="C551" t="s">
        <v>77</v>
      </c>
      <c r="D551" t="s">
        <v>128</v>
      </c>
      <c r="E551" t="s">
        <v>159</v>
      </c>
      <c r="F551" t="s">
        <v>60</v>
      </c>
      <c r="G551" t="s">
        <v>22</v>
      </c>
      <c r="H551" t="s">
        <v>23</v>
      </c>
      <c r="I551" t="s">
        <v>83</v>
      </c>
      <c r="J551" t="s">
        <v>131</v>
      </c>
      <c r="K551">
        <v>7</v>
      </c>
      <c r="L551" s="2">
        <v>30.78</v>
      </c>
      <c r="M551" s="3">
        <v>0.05</v>
      </c>
      <c r="N551" s="2">
        <v>204.69</v>
      </c>
      <c r="O551" s="2">
        <v>133.86000000000001</v>
      </c>
      <c r="P551" s="2">
        <v>70.83</v>
      </c>
      <c r="Q551" t="s">
        <v>26</v>
      </c>
    </row>
    <row r="552" spans="1:17" x14ac:dyDescent="0.2">
      <c r="A552" t="s">
        <v>717</v>
      </c>
      <c r="B552" s="1">
        <v>45719</v>
      </c>
      <c r="C552" t="s">
        <v>43</v>
      </c>
      <c r="D552" t="s">
        <v>51</v>
      </c>
      <c r="E552" t="s">
        <v>52</v>
      </c>
      <c r="F552" t="s">
        <v>138</v>
      </c>
      <c r="G552" t="s">
        <v>22</v>
      </c>
      <c r="H552" t="s">
        <v>23</v>
      </c>
      <c r="I552" t="s">
        <v>79</v>
      </c>
      <c r="J552" t="s">
        <v>233</v>
      </c>
      <c r="K552">
        <v>5</v>
      </c>
      <c r="L552" s="2">
        <v>396.16</v>
      </c>
      <c r="M552" s="3">
        <v>0.05</v>
      </c>
      <c r="N552" s="2">
        <v>1881.76</v>
      </c>
      <c r="O552" s="2">
        <v>1035.83</v>
      </c>
      <c r="P552" s="2">
        <v>845.93</v>
      </c>
      <c r="Q552" t="s">
        <v>26</v>
      </c>
    </row>
    <row r="553" spans="1:17" x14ac:dyDescent="0.2">
      <c r="A553" t="s">
        <v>718</v>
      </c>
      <c r="B553" s="1">
        <v>45719</v>
      </c>
      <c r="C553" t="s">
        <v>77</v>
      </c>
      <c r="D553" t="s">
        <v>78</v>
      </c>
      <c r="E553" t="s">
        <v>52</v>
      </c>
      <c r="F553" t="s">
        <v>46</v>
      </c>
      <c r="G553" t="s">
        <v>75</v>
      </c>
      <c r="H553" t="s">
        <v>47</v>
      </c>
      <c r="I553" t="s">
        <v>48</v>
      </c>
      <c r="J553" t="s">
        <v>164</v>
      </c>
      <c r="K553">
        <v>10</v>
      </c>
      <c r="L553" s="2">
        <v>791.4</v>
      </c>
      <c r="M553" s="3">
        <v>0.05</v>
      </c>
      <c r="N553" s="2">
        <v>7518.3</v>
      </c>
      <c r="O553" s="2">
        <v>5571.71</v>
      </c>
      <c r="P553" s="2">
        <v>1946.59</v>
      </c>
      <c r="Q553" t="s">
        <v>57</v>
      </c>
    </row>
    <row r="554" spans="1:17" x14ac:dyDescent="0.2">
      <c r="A554" t="s">
        <v>719</v>
      </c>
      <c r="B554" s="1">
        <v>45719</v>
      </c>
      <c r="C554" t="s">
        <v>36</v>
      </c>
      <c r="D554" t="s">
        <v>73</v>
      </c>
      <c r="E554" t="s">
        <v>212</v>
      </c>
      <c r="F554" t="s">
        <v>21</v>
      </c>
      <c r="G554" t="s">
        <v>22</v>
      </c>
      <c r="H554" t="s">
        <v>31</v>
      </c>
      <c r="I554" t="s">
        <v>64</v>
      </c>
      <c r="J554" t="s">
        <v>126</v>
      </c>
      <c r="K554">
        <v>7</v>
      </c>
      <c r="L554" s="2">
        <v>53.9</v>
      </c>
      <c r="M554" s="3">
        <v>0.2</v>
      </c>
      <c r="N554" s="2">
        <v>301.83999999999997</v>
      </c>
      <c r="O554" s="2">
        <v>244.37</v>
      </c>
      <c r="P554" s="2">
        <v>57.47</v>
      </c>
      <c r="Q554" t="s">
        <v>61</v>
      </c>
    </row>
    <row r="555" spans="1:17" x14ac:dyDescent="0.2">
      <c r="A555" t="s">
        <v>720</v>
      </c>
      <c r="B555" s="1">
        <v>45719</v>
      </c>
      <c r="C555" t="s">
        <v>18</v>
      </c>
      <c r="D555" t="s">
        <v>19</v>
      </c>
      <c r="E555" t="s">
        <v>118</v>
      </c>
      <c r="F555" t="s">
        <v>53</v>
      </c>
      <c r="G555" t="s">
        <v>75</v>
      </c>
      <c r="H555" t="s">
        <v>23</v>
      </c>
      <c r="I555" t="s">
        <v>79</v>
      </c>
      <c r="J555" t="s">
        <v>233</v>
      </c>
      <c r="K555">
        <v>6</v>
      </c>
      <c r="L555" s="2">
        <v>521.84</v>
      </c>
      <c r="M555" s="3">
        <v>0.1</v>
      </c>
      <c r="N555" s="2">
        <v>2817.94</v>
      </c>
      <c r="O555" s="2">
        <v>2042.68</v>
      </c>
      <c r="P555" s="2">
        <v>775.26</v>
      </c>
      <c r="Q555" t="s">
        <v>34</v>
      </c>
    </row>
    <row r="556" spans="1:17" x14ac:dyDescent="0.2">
      <c r="A556" t="s">
        <v>721</v>
      </c>
      <c r="B556" s="1">
        <v>45719</v>
      </c>
      <c r="C556" t="s">
        <v>77</v>
      </c>
      <c r="D556" t="s">
        <v>106</v>
      </c>
      <c r="E556" t="s">
        <v>236</v>
      </c>
      <c r="F556" t="s">
        <v>71</v>
      </c>
      <c r="G556" t="s">
        <v>22</v>
      </c>
      <c r="H556" t="s">
        <v>23</v>
      </c>
      <c r="I556" t="s">
        <v>83</v>
      </c>
      <c r="J556" t="s">
        <v>84</v>
      </c>
      <c r="K556">
        <v>3</v>
      </c>
      <c r="L556" s="2">
        <v>14.43</v>
      </c>
      <c r="M556" s="3">
        <v>0.05</v>
      </c>
      <c r="N556" s="2">
        <v>41.13</v>
      </c>
      <c r="O556" s="2">
        <v>22.68</v>
      </c>
      <c r="P556" s="2">
        <v>18.45</v>
      </c>
      <c r="Q556" t="s">
        <v>34</v>
      </c>
    </row>
    <row r="557" spans="1:17" x14ac:dyDescent="0.2">
      <c r="A557" t="s">
        <v>722</v>
      </c>
      <c r="B557" s="1">
        <v>45720</v>
      </c>
      <c r="C557" t="s">
        <v>43</v>
      </c>
      <c r="D557" t="s">
        <v>161</v>
      </c>
      <c r="E557" t="s">
        <v>418</v>
      </c>
      <c r="F557" t="s">
        <v>53</v>
      </c>
      <c r="G557" t="s">
        <v>75</v>
      </c>
      <c r="H557" t="s">
        <v>23</v>
      </c>
      <c r="I557" t="s">
        <v>83</v>
      </c>
      <c r="J557" t="s">
        <v>120</v>
      </c>
      <c r="K557">
        <v>7</v>
      </c>
      <c r="L557" s="2">
        <v>20.3</v>
      </c>
      <c r="M557" s="3">
        <v>0.15</v>
      </c>
      <c r="N557" s="2">
        <v>120.78</v>
      </c>
      <c r="O557" s="2">
        <v>95.52</v>
      </c>
      <c r="P557" s="2">
        <v>25.26</v>
      </c>
      <c r="Q557" t="s">
        <v>26</v>
      </c>
    </row>
    <row r="558" spans="1:17" x14ac:dyDescent="0.2">
      <c r="A558" t="s">
        <v>723</v>
      </c>
      <c r="B558" s="1">
        <v>45720</v>
      </c>
      <c r="C558" t="s">
        <v>18</v>
      </c>
      <c r="D558" t="s">
        <v>19</v>
      </c>
      <c r="E558" t="s">
        <v>118</v>
      </c>
      <c r="F558" t="s">
        <v>130</v>
      </c>
      <c r="G558" t="s">
        <v>75</v>
      </c>
      <c r="H558" t="s">
        <v>23</v>
      </c>
      <c r="I558" t="s">
        <v>55</v>
      </c>
      <c r="J558" t="s">
        <v>102</v>
      </c>
      <c r="K558">
        <v>2</v>
      </c>
      <c r="L558" s="2">
        <v>10.85</v>
      </c>
      <c r="M558" s="3">
        <v>0.05</v>
      </c>
      <c r="N558" s="2">
        <v>20.62</v>
      </c>
      <c r="O558" s="2">
        <v>12.22</v>
      </c>
      <c r="P558" s="2">
        <v>8.4</v>
      </c>
      <c r="Q558" t="s">
        <v>57</v>
      </c>
    </row>
    <row r="559" spans="1:17" x14ac:dyDescent="0.2">
      <c r="A559" t="s">
        <v>724</v>
      </c>
      <c r="B559" s="1">
        <v>45720</v>
      </c>
      <c r="C559" t="s">
        <v>18</v>
      </c>
      <c r="D559" t="s">
        <v>133</v>
      </c>
      <c r="E559" t="s">
        <v>134</v>
      </c>
      <c r="F559" t="s">
        <v>60</v>
      </c>
      <c r="G559" t="s">
        <v>54</v>
      </c>
      <c r="H559" t="s">
        <v>47</v>
      </c>
      <c r="I559" t="s">
        <v>48</v>
      </c>
      <c r="J559" t="s">
        <v>93</v>
      </c>
      <c r="K559">
        <v>5</v>
      </c>
      <c r="L559" s="2">
        <v>294.60000000000002</v>
      </c>
      <c r="M559" s="3">
        <v>0.05</v>
      </c>
      <c r="N559" s="2">
        <v>1399.35</v>
      </c>
      <c r="O559" s="2">
        <v>1052.81</v>
      </c>
      <c r="P559" s="2">
        <v>346.54</v>
      </c>
      <c r="Q559" t="s">
        <v>26</v>
      </c>
    </row>
    <row r="560" spans="1:17" x14ac:dyDescent="0.2">
      <c r="A560" t="s">
        <v>725</v>
      </c>
      <c r="B560" s="1">
        <v>45720</v>
      </c>
      <c r="C560" t="s">
        <v>36</v>
      </c>
      <c r="D560" t="s">
        <v>73</v>
      </c>
      <c r="E560" t="s">
        <v>212</v>
      </c>
      <c r="F560" t="s">
        <v>69</v>
      </c>
      <c r="G560" t="s">
        <v>54</v>
      </c>
      <c r="H560" t="s">
        <v>31</v>
      </c>
      <c r="I560" t="s">
        <v>64</v>
      </c>
      <c r="J560" t="s">
        <v>126</v>
      </c>
      <c r="K560">
        <v>10</v>
      </c>
      <c r="L560" s="2">
        <v>30.08</v>
      </c>
      <c r="M560" s="3">
        <v>0.15</v>
      </c>
      <c r="N560" s="2">
        <v>255.68</v>
      </c>
      <c r="O560" s="2">
        <v>171.01</v>
      </c>
      <c r="P560" s="2">
        <v>84.67</v>
      </c>
      <c r="Q560" t="s">
        <v>34</v>
      </c>
    </row>
    <row r="561" spans="1:17" x14ac:dyDescent="0.2">
      <c r="A561" t="s">
        <v>726</v>
      </c>
      <c r="B561" s="1">
        <v>45720</v>
      </c>
      <c r="C561" t="s">
        <v>36</v>
      </c>
      <c r="D561" t="s">
        <v>67</v>
      </c>
      <c r="E561" t="s">
        <v>68</v>
      </c>
      <c r="F561" t="s">
        <v>60</v>
      </c>
      <c r="G561" t="s">
        <v>22</v>
      </c>
      <c r="H561" t="s">
        <v>31</v>
      </c>
      <c r="I561" t="s">
        <v>40</v>
      </c>
      <c r="J561" t="s">
        <v>122</v>
      </c>
      <c r="K561">
        <v>3</v>
      </c>
      <c r="L561" s="2">
        <v>146.13999999999999</v>
      </c>
      <c r="M561" s="3">
        <v>0</v>
      </c>
      <c r="N561" s="2">
        <v>438.42</v>
      </c>
      <c r="O561" s="2">
        <v>348.06</v>
      </c>
      <c r="P561" s="2">
        <v>90.36</v>
      </c>
      <c r="Q561" t="s">
        <v>61</v>
      </c>
    </row>
    <row r="562" spans="1:17" x14ac:dyDescent="0.2">
      <c r="A562" t="s">
        <v>727</v>
      </c>
      <c r="B562" s="1">
        <v>45720</v>
      </c>
      <c r="C562" t="s">
        <v>18</v>
      </c>
      <c r="D562" t="s">
        <v>86</v>
      </c>
      <c r="E562" t="s">
        <v>92</v>
      </c>
      <c r="F562" t="s">
        <v>53</v>
      </c>
      <c r="G562" t="s">
        <v>22</v>
      </c>
      <c r="H562" t="s">
        <v>31</v>
      </c>
      <c r="I562" t="s">
        <v>64</v>
      </c>
      <c r="J562" t="s">
        <v>65</v>
      </c>
      <c r="K562">
        <v>7</v>
      </c>
      <c r="L562" s="2">
        <v>67.83</v>
      </c>
      <c r="M562" s="3">
        <v>0</v>
      </c>
      <c r="N562" s="2">
        <v>474.81</v>
      </c>
      <c r="O562" s="2">
        <v>328.95</v>
      </c>
      <c r="P562" s="2">
        <v>145.86000000000001</v>
      </c>
      <c r="Q562" t="s">
        <v>26</v>
      </c>
    </row>
    <row r="563" spans="1:17" x14ac:dyDescent="0.2">
      <c r="A563" t="s">
        <v>728</v>
      </c>
      <c r="B563" s="1">
        <v>45720</v>
      </c>
      <c r="C563" t="s">
        <v>36</v>
      </c>
      <c r="D563" t="s">
        <v>73</v>
      </c>
      <c r="E563" t="s">
        <v>74</v>
      </c>
      <c r="F563" t="s">
        <v>138</v>
      </c>
      <c r="G563" t="s">
        <v>54</v>
      </c>
      <c r="H563" t="s">
        <v>31</v>
      </c>
      <c r="I563" t="s">
        <v>64</v>
      </c>
      <c r="J563" t="s">
        <v>126</v>
      </c>
      <c r="K563">
        <v>6</v>
      </c>
      <c r="L563" s="2">
        <v>177.64</v>
      </c>
      <c r="M563" s="3">
        <v>0</v>
      </c>
      <c r="N563" s="2">
        <v>1065.8399999999999</v>
      </c>
      <c r="O563" s="2">
        <v>599.80999999999995</v>
      </c>
      <c r="P563" s="2">
        <v>466.03</v>
      </c>
      <c r="Q563" t="s">
        <v>61</v>
      </c>
    </row>
    <row r="564" spans="1:17" x14ac:dyDescent="0.2">
      <c r="A564" t="s">
        <v>729</v>
      </c>
      <c r="B564" s="1">
        <v>45720</v>
      </c>
      <c r="C564" t="s">
        <v>36</v>
      </c>
      <c r="D564" t="s">
        <v>110</v>
      </c>
      <c r="E564" t="s">
        <v>115</v>
      </c>
      <c r="F564" t="s">
        <v>21</v>
      </c>
      <c r="G564" t="s">
        <v>75</v>
      </c>
      <c r="H564" t="s">
        <v>31</v>
      </c>
      <c r="I564" t="s">
        <v>40</v>
      </c>
      <c r="J564" t="s">
        <v>41</v>
      </c>
      <c r="K564">
        <v>4</v>
      </c>
      <c r="L564" s="2">
        <v>176.54</v>
      </c>
      <c r="M564" s="3">
        <v>0.1</v>
      </c>
      <c r="N564" s="2">
        <v>635.54</v>
      </c>
      <c r="O564" s="2">
        <v>473.38</v>
      </c>
      <c r="P564" s="2">
        <v>162.16</v>
      </c>
      <c r="Q564" t="s">
        <v>34</v>
      </c>
    </row>
    <row r="565" spans="1:17" x14ac:dyDescent="0.2">
      <c r="A565" t="s">
        <v>730</v>
      </c>
      <c r="B565" s="1">
        <v>45720</v>
      </c>
      <c r="C565" t="s">
        <v>36</v>
      </c>
      <c r="D565" t="s">
        <v>110</v>
      </c>
      <c r="E565" t="s">
        <v>203</v>
      </c>
      <c r="F565" t="s">
        <v>138</v>
      </c>
      <c r="G565" t="s">
        <v>22</v>
      </c>
      <c r="H565" t="s">
        <v>31</v>
      </c>
      <c r="I565" t="s">
        <v>32</v>
      </c>
      <c r="J565" t="s">
        <v>104</v>
      </c>
      <c r="K565">
        <v>2</v>
      </c>
      <c r="L565" s="2">
        <v>1227.8900000000001</v>
      </c>
      <c r="M565" s="3">
        <v>0.15</v>
      </c>
      <c r="N565" s="2">
        <v>2087.41</v>
      </c>
      <c r="O565" s="2">
        <v>1183.3900000000001</v>
      </c>
      <c r="P565" s="2">
        <v>904.02</v>
      </c>
      <c r="Q565" t="s">
        <v>34</v>
      </c>
    </row>
    <row r="566" spans="1:17" x14ac:dyDescent="0.2">
      <c r="A566" t="s">
        <v>731</v>
      </c>
      <c r="B566" s="1">
        <v>45721</v>
      </c>
      <c r="C566" t="s">
        <v>43</v>
      </c>
      <c r="D566" t="s">
        <v>208</v>
      </c>
      <c r="E566" t="s">
        <v>209</v>
      </c>
      <c r="F566" t="s">
        <v>39</v>
      </c>
      <c r="G566" t="s">
        <v>22</v>
      </c>
      <c r="H566" t="s">
        <v>47</v>
      </c>
      <c r="I566" t="s">
        <v>48</v>
      </c>
      <c r="J566" t="s">
        <v>49</v>
      </c>
      <c r="K566">
        <v>10</v>
      </c>
      <c r="L566" s="2">
        <v>529.91</v>
      </c>
      <c r="M566" s="3">
        <v>0.2</v>
      </c>
      <c r="N566" s="2">
        <v>4239.28</v>
      </c>
      <c r="O566" s="2">
        <v>2738.09</v>
      </c>
      <c r="P566" s="2">
        <v>1501.19</v>
      </c>
      <c r="Q566" t="s">
        <v>61</v>
      </c>
    </row>
    <row r="567" spans="1:17" x14ac:dyDescent="0.2">
      <c r="A567" t="s">
        <v>732</v>
      </c>
      <c r="B567" s="1">
        <v>45721</v>
      </c>
      <c r="C567" t="s">
        <v>77</v>
      </c>
      <c r="D567" t="s">
        <v>78</v>
      </c>
      <c r="E567" t="s">
        <v>52</v>
      </c>
      <c r="F567" t="s">
        <v>53</v>
      </c>
      <c r="G567" t="s">
        <v>22</v>
      </c>
      <c r="H567" t="s">
        <v>23</v>
      </c>
      <c r="I567" t="s">
        <v>83</v>
      </c>
      <c r="J567" t="s">
        <v>120</v>
      </c>
      <c r="K567">
        <v>7</v>
      </c>
      <c r="L567" s="2">
        <v>34.97</v>
      </c>
      <c r="M567" s="3">
        <v>0.05</v>
      </c>
      <c r="N567" s="2">
        <v>232.55</v>
      </c>
      <c r="O567" s="2">
        <v>168.03</v>
      </c>
      <c r="P567" s="2">
        <v>64.52</v>
      </c>
      <c r="Q567" t="s">
        <v>34</v>
      </c>
    </row>
    <row r="568" spans="1:17" x14ac:dyDescent="0.2">
      <c r="A568" t="s">
        <v>733</v>
      </c>
      <c r="B568" s="1">
        <v>45721</v>
      </c>
      <c r="C568" t="s">
        <v>36</v>
      </c>
      <c r="D568" t="s">
        <v>67</v>
      </c>
      <c r="E568" t="s">
        <v>323</v>
      </c>
      <c r="F568" t="s">
        <v>130</v>
      </c>
      <c r="G568" t="s">
        <v>22</v>
      </c>
      <c r="H568" t="s">
        <v>23</v>
      </c>
      <c r="I568" t="s">
        <v>79</v>
      </c>
      <c r="J568" t="s">
        <v>233</v>
      </c>
      <c r="K568">
        <v>9</v>
      </c>
      <c r="L568" s="2">
        <v>523.25</v>
      </c>
      <c r="M568" s="3">
        <v>0.15</v>
      </c>
      <c r="N568" s="2">
        <v>4002.86</v>
      </c>
      <c r="O568" s="2">
        <v>2215.15</v>
      </c>
      <c r="P568" s="2">
        <v>1787.71</v>
      </c>
      <c r="Q568" t="s">
        <v>26</v>
      </c>
    </row>
    <row r="569" spans="1:17" x14ac:dyDescent="0.2">
      <c r="A569" t="s">
        <v>734</v>
      </c>
      <c r="B569" s="1">
        <v>45721</v>
      </c>
      <c r="C569" t="s">
        <v>77</v>
      </c>
      <c r="D569" t="s">
        <v>149</v>
      </c>
      <c r="E569" t="s">
        <v>206</v>
      </c>
      <c r="F569" t="s">
        <v>130</v>
      </c>
      <c r="G569" t="s">
        <v>54</v>
      </c>
      <c r="H569" t="s">
        <v>47</v>
      </c>
      <c r="I569" t="s">
        <v>48</v>
      </c>
      <c r="J569" t="s">
        <v>49</v>
      </c>
      <c r="K569">
        <v>9</v>
      </c>
      <c r="L569" s="2">
        <v>501.8</v>
      </c>
      <c r="M569" s="3">
        <v>0.15</v>
      </c>
      <c r="N569" s="2">
        <v>3838.77</v>
      </c>
      <c r="O569" s="2">
        <v>2186.2199999999998</v>
      </c>
      <c r="P569" s="2">
        <v>1652.55</v>
      </c>
      <c r="Q569" t="s">
        <v>26</v>
      </c>
    </row>
    <row r="570" spans="1:17" x14ac:dyDescent="0.2">
      <c r="A570" t="s">
        <v>735</v>
      </c>
      <c r="B570" s="1">
        <v>45721</v>
      </c>
      <c r="C570" t="s">
        <v>43</v>
      </c>
      <c r="D570" t="s">
        <v>44</v>
      </c>
      <c r="E570" t="s">
        <v>45</v>
      </c>
      <c r="F570" t="s">
        <v>130</v>
      </c>
      <c r="G570" t="s">
        <v>75</v>
      </c>
      <c r="H570" t="s">
        <v>31</v>
      </c>
      <c r="I570" t="s">
        <v>40</v>
      </c>
      <c r="J570" t="s">
        <v>216</v>
      </c>
      <c r="K570">
        <v>7</v>
      </c>
      <c r="L570" s="2">
        <v>232.94</v>
      </c>
      <c r="M570" s="3">
        <v>0.05</v>
      </c>
      <c r="N570" s="2">
        <v>1549.05</v>
      </c>
      <c r="O570" s="2">
        <v>1065.42</v>
      </c>
      <c r="P570" s="2">
        <v>483.63</v>
      </c>
      <c r="Q570" t="s">
        <v>61</v>
      </c>
    </row>
    <row r="571" spans="1:17" x14ac:dyDescent="0.2">
      <c r="A571" t="s">
        <v>736</v>
      </c>
      <c r="B571" s="1">
        <v>45721</v>
      </c>
      <c r="C571" t="s">
        <v>18</v>
      </c>
      <c r="D571" t="s">
        <v>28</v>
      </c>
      <c r="E571" t="s">
        <v>157</v>
      </c>
      <c r="F571" t="s">
        <v>130</v>
      </c>
      <c r="G571" t="s">
        <v>75</v>
      </c>
      <c r="H571" t="s">
        <v>47</v>
      </c>
      <c r="I571" t="s">
        <v>48</v>
      </c>
      <c r="J571" t="s">
        <v>49</v>
      </c>
      <c r="K571">
        <v>9</v>
      </c>
      <c r="L571" s="2">
        <v>583.70000000000005</v>
      </c>
      <c r="M571" s="3">
        <v>0.1</v>
      </c>
      <c r="N571" s="2">
        <v>4727.97</v>
      </c>
      <c r="O571" s="2">
        <v>3843.94</v>
      </c>
      <c r="P571" s="2">
        <v>884.03</v>
      </c>
      <c r="Q571" t="s">
        <v>26</v>
      </c>
    </row>
    <row r="572" spans="1:17" x14ac:dyDescent="0.2">
      <c r="A572" t="s">
        <v>737</v>
      </c>
      <c r="B572" s="1">
        <v>45721</v>
      </c>
      <c r="C572" t="s">
        <v>77</v>
      </c>
      <c r="D572" t="s">
        <v>95</v>
      </c>
      <c r="E572" t="s">
        <v>367</v>
      </c>
      <c r="F572" t="s">
        <v>39</v>
      </c>
      <c r="G572" t="s">
        <v>22</v>
      </c>
      <c r="H572" t="s">
        <v>31</v>
      </c>
      <c r="I572" t="s">
        <v>112</v>
      </c>
      <c r="J572" t="s">
        <v>136</v>
      </c>
      <c r="K572">
        <v>10</v>
      </c>
      <c r="L572" s="2">
        <v>642.04</v>
      </c>
      <c r="M572" s="3">
        <v>0.05</v>
      </c>
      <c r="N572" s="2">
        <v>6099.38</v>
      </c>
      <c r="O572" s="2">
        <v>4257.95</v>
      </c>
      <c r="P572" s="2">
        <v>1841.43</v>
      </c>
      <c r="Q572" t="s">
        <v>26</v>
      </c>
    </row>
    <row r="573" spans="1:17" x14ac:dyDescent="0.2">
      <c r="A573" t="s">
        <v>738</v>
      </c>
      <c r="B573" s="1">
        <v>45721</v>
      </c>
      <c r="C573" t="s">
        <v>43</v>
      </c>
      <c r="D573" t="s">
        <v>51</v>
      </c>
      <c r="E573" t="s">
        <v>52</v>
      </c>
      <c r="F573" t="s">
        <v>60</v>
      </c>
      <c r="G573" t="s">
        <v>75</v>
      </c>
      <c r="H573" t="s">
        <v>31</v>
      </c>
      <c r="I573" t="s">
        <v>32</v>
      </c>
      <c r="J573" t="s">
        <v>33</v>
      </c>
      <c r="K573">
        <v>3</v>
      </c>
      <c r="L573" s="2">
        <v>1548.93</v>
      </c>
      <c r="M573" s="3">
        <v>0.05</v>
      </c>
      <c r="N573" s="2">
        <v>4414.45</v>
      </c>
      <c r="O573" s="2">
        <v>3245.7</v>
      </c>
      <c r="P573" s="2">
        <v>1168.75</v>
      </c>
      <c r="Q573" t="s">
        <v>34</v>
      </c>
    </row>
    <row r="574" spans="1:17" x14ac:dyDescent="0.2">
      <c r="A574" t="s">
        <v>739</v>
      </c>
      <c r="B574" s="1">
        <v>45721</v>
      </c>
      <c r="C574" t="s">
        <v>36</v>
      </c>
      <c r="D574" t="s">
        <v>67</v>
      </c>
      <c r="E574" t="s">
        <v>68</v>
      </c>
      <c r="F574" t="s">
        <v>138</v>
      </c>
      <c r="G574" t="s">
        <v>75</v>
      </c>
      <c r="H574" t="s">
        <v>31</v>
      </c>
      <c r="I574" t="s">
        <v>32</v>
      </c>
      <c r="J574" t="s">
        <v>258</v>
      </c>
      <c r="K574">
        <v>9</v>
      </c>
      <c r="L574" s="2">
        <v>1302.71</v>
      </c>
      <c r="M574" s="3">
        <v>0.05</v>
      </c>
      <c r="N574" s="2">
        <v>11138.17</v>
      </c>
      <c r="O574" s="2">
        <v>8037.56</v>
      </c>
      <c r="P574" s="2">
        <v>3100.61</v>
      </c>
      <c r="Q574" t="s">
        <v>34</v>
      </c>
    </row>
    <row r="575" spans="1:17" x14ac:dyDescent="0.2">
      <c r="A575" t="s">
        <v>740</v>
      </c>
      <c r="B575" s="1">
        <v>45721</v>
      </c>
      <c r="C575" t="s">
        <v>36</v>
      </c>
      <c r="D575" t="s">
        <v>37</v>
      </c>
      <c r="E575" t="s">
        <v>255</v>
      </c>
      <c r="F575" t="s">
        <v>71</v>
      </c>
      <c r="G575" t="s">
        <v>75</v>
      </c>
      <c r="H575" t="s">
        <v>47</v>
      </c>
      <c r="I575" t="s">
        <v>97</v>
      </c>
      <c r="J575" t="s">
        <v>116</v>
      </c>
      <c r="K575">
        <v>9</v>
      </c>
      <c r="L575" s="2">
        <v>517.47</v>
      </c>
      <c r="M575" s="3">
        <v>0.1</v>
      </c>
      <c r="N575" s="2">
        <v>4191.51</v>
      </c>
      <c r="O575" s="2">
        <v>3051.68</v>
      </c>
      <c r="P575" s="2">
        <v>1139.83</v>
      </c>
      <c r="Q575" t="s">
        <v>61</v>
      </c>
    </row>
    <row r="576" spans="1:17" x14ac:dyDescent="0.2">
      <c r="A576" t="s">
        <v>741</v>
      </c>
      <c r="B576" s="1">
        <v>45722</v>
      </c>
      <c r="C576" t="s">
        <v>77</v>
      </c>
      <c r="D576" t="s">
        <v>95</v>
      </c>
      <c r="E576" t="s">
        <v>367</v>
      </c>
      <c r="F576" t="s">
        <v>130</v>
      </c>
      <c r="G576" t="s">
        <v>22</v>
      </c>
      <c r="H576" t="s">
        <v>23</v>
      </c>
      <c r="I576" t="s">
        <v>55</v>
      </c>
      <c r="J576" t="s">
        <v>56</v>
      </c>
      <c r="K576">
        <v>5</v>
      </c>
      <c r="L576" s="2">
        <v>15.2</v>
      </c>
      <c r="M576" s="3">
        <v>0.1</v>
      </c>
      <c r="N576" s="2">
        <v>68.400000000000006</v>
      </c>
      <c r="O576" s="2">
        <v>47.25</v>
      </c>
      <c r="P576" s="2">
        <v>21.15</v>
      </c>
      <c r="Q576" t="s">
        <v>57</v>
      </c>
    </row>
    <row r="577" spans="1:17" x14ac:dyDescent="0.2">
      <c r="A577" t="s">
        <v>742</v>
      </c>
      <c r="B577" s="1">
        <v>45722</v>
      </c>
      <c r="C577" t="s">
        <v>18</v>
      </c>
      <c r="D577" t="s">
        <v>19</v>
      </c>
      <c r="E577" t="s">
        <v>118</v>
      </c>
      <c r="F577" t="s">
        <v>60</v>
      </c>
      <c r="G577" t="s">
        <v>22</v>
      </c>
      <c r="H577" t="s">
        <v>31</v>
      </c>
      <c r="I577" t="s">
        <v>112</v>
      </c>
      <c r="J577" t="s">
        <v>113</v>
      </c>
      <c r="K577">
        <v>9</v>
      </c>
      <c r="L577" s="2">
        <v>693.62</v>
      </c>
      <c r="M577" s="3">
        <v>0</v>
      </c>
      <c r="N577" s="2">
        <v>6242.58</v>
      </c>
      <c r="O577" s="2">
        <v>3455.73</v>
      </c>
      <c r="P577" s="2">
        <v>2786.85</v>
      </c>
      <c r="Q577" t="s">
        <v>57</v>
      </c>
    </row>
    <row r="578" spans="1:17" x14ac:dyDescent="0.2">
      <c r="A578" t="s">
        <v>743</v>
      </c>
      <c r="B578" s="1">
        <v>45722</v>
      </c>
      <c r="C578" t="s">
        <v>77</v>
      </c>
      <c r="D578" t="s">
        <v>128</v>
      </c>
      <c r="E578" t="s">
        <v>129</v>
      </c>
      <c r="F578" t="s">
        <v>46</v>
      </c>
      <c r="G578" t="s">
        <v>54</v>
      </c>
      <c r="H578" t="s">
        <v>47</v>
      </c>
      <c r="I578" t="s">
        <v>48</v>
      </c>
      <c r="J578" t="s">
        <v>164</v>
      </c>
      <c r="K578">
        <v>5</v>
      </c>
      <c r="L578" s="2">
        <v>711.64</v>
      </c>
      <c r="M578" s="3">
        <v>0</v>
      </c>
      <c r="N578" s="2">
        <v>3558.2</v>
      </c>
      <c r="O578" s="2">
        <v>2143.09</v>
      </c>
      <c r="P578" s="2">
        <v>1415.11</v>
      </c>
      <c r="Q578" t="s">
        <v>26</v>
      </c>
    </row>
    <row r="579" spans="1:17" x14ac:dyDescent="0.2">
      <c r="A579" t="s">
        <v>744</v>
      </c>
      <c r="B579" s="1">
        <v>45722</v>
      </c>
      <c r="C579" t="s">
        <v>77</v>
      </c>
      <c r="D579" t="s">
        <v>78</v>
      </c>
      <c r="E579" t="s">
        <v>261</v>
      </c>
      <c r="F579" t="s">
        <v>69</v>
      </c>
      <c r="G579" t="s">
        <v>75</v>
      </c>
      <c r="H579" t="s">
        <v>31</v>
      </c>
      <c r="I579" t="s">
        <v>112</v>
      </c>
      <c r="J579" t="s">
        <v>113</v>
      </c>
      <c r="K579">
        <v>8</v>
      </c>
      <c r="L579" s="2">
        <v>461.74</v>
      </c>
      <c r="M579" s="3">
        <v>0.05</v>
      </c>
      <c r="N579" s="2">
        <v>3509.22</v>
      </c>
      <c r="O579" s="2">
        <v>2815.92</v>
      </c>
      <c r="P579" s="2">
        <v>693.3</v>
      </c>
      <c r="Q579" t="s">
        <v>34</v>
      </c>
    </row>
    <row r="580" spans="1:17" x14ac:dyDescent="0.2">
      <c r="A580" t="s">
        <v>745</v>
      </c>
      <c r="B580" s="1">
        <v>45722</v>
      </c>
      <c r="C580" t="s">
        <v>77</v>
      </c>
      <c r="D580" t="s">
        <v>78</v>
      </c>
      <c r="E580" t="s">
        <v>295</v>
      </c>
      <c r="F580" t="s">
        <v>69</v>
      </c>
      <c r="G580" t="s">
        <v>22</v>
      </c>
      <c r="H580" t="s">
        <v>31</v>
      </c>
      <c r="I580" t="s">
        <v>112</v>
      </c>
      <c r="J580" t="s">
        <v>176</v>
      </c>
      <c r="K580">
        <v>10</v>
      </c>
      <c r="L580" s="2">
        <v>543.80999999999995</v>
      </c>
      <c r="M580" s="3">
        <v>0.05</v>
      </c>
      <c r="N580" s="2">
        <v>5166.1899999999996</v>
      </c>
      <c r="O580" s="2">
        <v>3975</v>
      </c>
      <c r="P580" s="2">
        <v>1191.19</v>
      </c>
      <c r="Q580" t="s">
        <v>61</v>
      </c>
    </row>
    <row r="581" spans="1:17" x14ac:dyDescent="0.2">
      <c r="A581" t="s">
        <v>746</v>
      </c>
      <c r="B581" s="1">
        <v>45722</v>
      </c>
      <c r="C581" t="s">
        <v>77</v>
      </c>
      <c r="D581" t="s">
        <v>78</v>
      </c>
      <c r="E581" t="s">
        <v>261</v>
      </c>
      <c r="F581" t="s">
        <v>46</v>
      </c>
      <c r="G581" t="s">
        <v>22</v>
      </c>
      <c r="H581" t="s">
        <v>31</v>
      </c>
      <c r="I581" t="s">
        <v>112</v>
      </c>
      <c r="J581" t="s">
        <v>113</v>
      </c>
      <c r="K581">
        <v>9</v>
      </c>
      <c r="L581" s="2">
        <v>262.27</v>
      </c>
      <c r="M581" s="3">
        <v>0</v>
      </c>
      <c r="N581" s="2">
        <v>2360.4299999999998</v>
      </c>
      <c r="O581" s="2">
        <v>1302.02</v>
      </c>
      <c r="P581" s="2">
        <v>1058.4100000000001</v>
      </c>
      <c r="Q581" t="s">
        <v>34</v>
      </c>
    </row>
    <row r="582" spans="1:17" x14ac:dyDescent="0.2">
      <c r="A582" t="s">
        <v>747</v>
      </c>
      <c r="B582" s="1">
        <v>45722</v>
      </c>
      <c r="C582" t="s">
        <v>43</v>
      </c>
      <c r="D582" t="s">
        <v>244</v>
      </c>
      <c r="E582" t="s">
        <v>326</v>
      </c>
      <c r="F582" t="s">
        <v>39</v>
      </c>
      <c r="G582" t="s">
        <v>22</v>
      </c>
      <c r="H582" t="s">
        <v>47</v>
      </c>
      <c r="I582" t="s">
        <v>141</v>
      </c>
      <c r="J582" t="s">
        <v>372</v>
      </c>
      <c r="K582">
        <v>3</v>
      </c>
      <c r="L582" s="2">
        <v>197.93</v>
      </c>
      <c r="M582" s="3">
        <v>0</v>
      </c>
      <c r="N582" s="2">
        <v>593.79</v>
      </c>
      <c r="O582" s="2">
        <v>415.95</v>
      </c>
      <c r="P582" s="2">
        <v>177.84</v>
      </c>
      <c r="Q582" t="s">
        <v>61</v>
      </c>
    </row>
    <row r="583" spans="1:17" x14ac:dyDescent="0.2">
      <c r="A583" t="s">
        <v>748</v>
      </c>
      <c r="B583" s="1">
        <v>45722</v>
      </c>
      <c r="C583" t="s">
        <v>77</v>
      </c>
      <c r="D583" t="s">
        <v>149</v>
      </c>
      <c r="E583" t="s">
        <v>206</v>
      </c>
      <c r="F583" t="s">
        <v>130</v>
      </c>
      <c r="G583" t="s">
        <v>75</v>
      </c>
      <c r="H583" t="s">
        <v>31</v>
      </c>
      <c r="I583" t="s">
        <v>64</v>
      </c>
      <c r="J583" t="s">
        <v>65</v>
      </c>
      <c r="K583">
        <v>5</v>
      </c>
      <c r="L583" s="2">
        <v>151.38999999999999</v>
      </c>
      <c r="M583" s="3">
        <v>0.1</v>
      </c>
      <c r="N583" s="2">
        <v>681.26</v>
      </c>
      <c r="O583" s="2">
        <v>536.29999999999995</v>
      </c>
      <c r="P583" s="2">
        <v>144.96</v>
      </c>
      <c r="Q583" t="s">
        <v>34</v>
      </c>
    </row>
    <row r="584" spans="1:17" x14ac:dyDescent="0.2">
      <c r="A584" t="s">
        <v>749</v>
      </c>
      <c r="B584" s="1">
        <v>45722</v>
      </c>
      <c r="C584" t="s">
        <v>43</v>
      </c>
      <c r="D584" t="s">
        <v>208</v>
      </c>
      <c r="E584" t="s">
        <v>209</v>
      </c>
      <c r="F584" t="s">
        <v>138</v>
      </c>
      <c r="G584" t="s">
        <v>75</v>
      </c>
      <c r="H584" t="s">
        <v>31</v>
      </c>
      <c r="I584" t="s">
        <v>64</v>
      </c>
      <c r="J584" t="s">
        <v>65</v>
      </c>
      <c r="K584">
        <v>6</v>
      </c>
      <c r="L584" s="2">
        <v>81.97</v>
      </c>
      <c r="M584" s="3">
        <v>0</v>
      </c>
      <c r="N584" s="2">
        <v>491.82</v>
      </c>
      <c r="O584" s="2">
        <v>376.34</v>
      </c>
      <c r="P584" s="2">
        <v>115.48</v>
      </c>
      <c r="Q584" t="s">
        <v>57</v>
      </c>
    </row>
    <row r="585" spans="1:17" x14ac:dyDescent="0.2">
      <c r="A585" t="s">
        <v>750</v>
      </c>
      <c r="B585" s="1">
        <v>45723</v>
      </c>
      <c r="C585" t="s">
        <v>77</v>
      </c>
      <c r="D585" t="s">
        <v>78</v>
      </c>
      <c r="E585" t="s">
        <v>295</v>
      </c>
      <c r="F585" t="s">
        <v>30</v>
      </c>
      <c r="G585" t="s">
        <v>54</v>
      </c>
      <c r="H585" t="s">
        <v>47</v>
      </c>
      <c r="I585" t="s">
        <v>89</v>
      </c>
      <c r="J585" t="s">
        <v>90</v>
      </c>
      <c r="K585">
        <v>6</v>
      </c>
      <c r="L585" s="2">
        <v>156.88999999999999</v>
      </c>
      <c r="M585" s="3">
        <v>0.15</v>
      </c>
      <c r="N585" s="2">
        <v>800.14</v>
      </c>
      <c r="O585" s="2">
        <v>649.71</v>
      </c>
      <c r="P585" s="2">
        <v>150.43</v>
      </c>
      <c r="Q585" t="s">
        <v>26</v>
      </c>
    </row>
    <row r="586" spans="1:17" x14ac:dyDescent="0.2">
      <c r="A586" t="s">
        <v>751</v>
      </c>
      <c r="B586" s="1">
        <v>45723</v>
      </c>
      <c r="C586" t="s">
        <v>36</v>
      </c>
      <c r="D586" t="s">
        <v>67</v>
      </c>
      <c r="E586" t="s">
        <v>323</v>
      </c>
      <c r="F586" t="s">
        <v>46</v>
      </c>
      <c r="G586" t="s">
        <v>75</v>
      </c>
      <c r="H586" t="s">
        <v>31</v>
      </c>
      <c r="I586" t="s">
        <v>40</v>
      </c>
      <c r="J586" t="s">
        <v>41</v>
      </c>
      <c r="K586">
        <v>9</v>
      </c>
      <c r="L586" s="2">
        <v>81.69</v>
      </c>
      <c r="M586" s="3">
        <v>0</v>
      </c>
      <c r="N586" s="2">
        <v>735.21</v>
      </c>
      <c r="O586" s="2">
        <v>573.03</v>
      </c>
      <c r="P586" s="2">
        <v>162.18</v>
      </c>
      <c r="Q586" t="s">
        <v>57</v>
      </c>
    </row>
    <row r="587" spans="1:17" x14ac:dyDescent="0.2">
      <c r="A587" t="s">
        <v>752</v>
      </c>
      <c r="B587" s="1">
        <v>45723</v>
      </c>
      <c r="C587" t="s">
        <v>43</v>
      </c>
      <c r="D587" t="s">
        <v>44</v>
      </c>
      <c r="E587" t="s">
        <v>82</v>
      </c>
      <c r="F587" t="s">
        <v>130</v>
      </c>
      <c r="G587" t="s">
        <v>75</v>
      </c>
      <c r="H587" t="s">
        <v>31</v>
      </c>
      <c r="I587" t="s">
        <v>40</v>
      </c>
      <c r="J587" t="s">
        <v>41</v>
      </c>
      <c r="K587">
        <v>2</v>
      </c>
      <c r="L587" s="2">
        <v>159.91999999999999</v>
      </c>
      <c r="M587" s="3">
        <v>0</v>
      </c>
      <c r="N587" s="2">
        <v>319.83999999999997</v>
      </c>
      <c r="O587" s="2">
        <v>204.39</v>
      </c>
      <c r="P587" s="2">
        <v>115.45</v>
      </c>
      <c r="Q587" t="s">
        <v>61</v>
      </c>
    </row>
    <row r="588" spans="1:17" x14ac:dyDescent="0.2">
      <c r="A588" t="s">
        <v>753</v>
      </c>
      <c r="B588" s="1">
        <v>45723</v>
      </c>
      <c r="C588" t="s">
        <v>43</v>
      </c>
      <c r="D588" t="s">
        <v>51</v>
      </c>
      <c r="E588" t="s">
        <v>59</v>
      </c>
      <c r="F588" t="s">
        <v>21</v>
      </c>
      <c r="G588" t="s">
        <v>75</v>
      </c>
      <c r="H588" t="s">
        <v>31</v>
      </c>
      <c r="I588" t="s">
        <v>32</v>
      </c>
      <c r="J588" t="s">
        <v>33</v>
      </c>
      <c r="K588">
        <v>9</v>
      </c>
      <c r="L588" s="2">
        <v>792.65</v>
      </c>
      <c r="M588" s="3">
        <v>0.15</v>
      </c>
      <c r="N588" s="2">
        <v>6063.77</v>
      </c>
      <c r="O588" s="2">
        <v>3603.86</v>
      </c>
      <c r="P588" s="2">
        <v>2459.91</v>
      </c>
      <c r="Q588" t="s">
        <v>61</v>
      </c>
    </row>
    <row r="589" spans="1:17" x14ac:dyDescent="0.2">
      <c r="A589" t="s">
        <v>754</v>
      </c>
      <c r="B589" s="1">
        <v>45723</v>
      </c>
      <c r="C589" t="s">
        <v>36</v>
      </c>
      <c r="D589" t="s">
        <v>67</v>
      </c>
      <c r="E589" t="s">
        <v>68</v>
      </c>
      <c r="F589" t="s">
        <v>69</v>
      </c>
      <c r="G589" t="s">
        <v>75</v>
      </c>
      <c r="H589" t="s">
        <v>23</v>
      </c>
      <c r="I589" t="s">
        <v>55</v>
      </c>
      <c r="J589" t="s">
        <v>102</v>
      </c>
      <c r="K589">
        <v>6</v>
      </c>
      <c r="L589" s="2">
        <v>5.13</v>
      </c>
      <c r="M589" s="3">
        <v>0.1</v>
      </c>
      <c r="N589" s="2">
        <v>27.7</v>
      </c>
      <c r="O589" s="2">
        <v>22.12</v>
      </c>
      <c r="P589" s="2">
        <v>5.58</v>
      </c>
      <c r="Q589" t="s">
        <v>34</v>
      </c>
    </row>
    <row r="590" spans="1:17" x14ac:dyDescent="0.2">
      <c r="A590" t="s">
        <v>755</v>
      </c>
      <c r="B590" s="1">
        <v>45723</v>
      </c>
      <c r="C590" t="s">
        <v>36</v>
      </c>
      <c r="D590" t="s">
        <v>67</v>
      </c>
      <c r="E590" t="s">
        <v>323</v>
      </c>
      <c r="F590" t="s">
        <v>46</v>
      </c>
      <c r="G590" t="s">
        <v>75</v>
      </c>
      <c r="H590" t="s">
        <v>23</v>
      </c>
      <c r="I590" t="s">
        <v>24</v>
      </c>
      <c r="J590" t="s">
        <v>108</v>
      </c>
      <c r="K590">
        <v>3</v>
      </c>
      <c r="L590" s="2">
        <v>29.5</v>
      </c>
      <c r="M590" s="3">
        <v>0.05</v>
      </c>
      <c r="N590" s="2">
        <v>84.08</v>
      </c>
      <c r="O590" s="2">
        <v>52.9</v>
      </c>
      <c r="P590" s="2">
        <v>31.18</v>
      </c>
      <c r="Q590" t="s">
        <v>34</v>
      </c>
    </row>
    <row r="591" spans="1:17" x14ac:dyDescent="0.2">
      <c r="A591" t="s">
        <v>756</v>
      </c>
      <c r="B591" s="1">
        <v>45723</v>
      </c>
      <c r="C591" t="s">
        <v>36</v>
      </c>
      <c r="D591" t="s">
        <v>144</v>
      </c>
      <c r="E591" t="s">
        <v>214</v>
      </c>
      <c r="F591" t="s">
        <v>21</v>
      </c>
      <c r="G591" t="s">
        <v>22</v>
      </c>
      <c r="H591" t="s">
        <v>31</v>
      </c>
      <c r="I591" t="s">
        <v>32</v>
      </c>
      <c r="J591" t="s">
        <v>33</v>
      </c>
      <c r="K591">
        <v>5</v>
      </c>
      <c r="L591" s="2">
        <v>1397.59</v>
      </c>
      <c r="M591" s="3">
        <v>0.1</v>
      </c>
      <c r="N591" s="2">
        <v>6289.16</v>
      </c>
      <c r="O591" s="2">
        <v>4415.5200000000004</v>
      </c>
      <c r="P591" s="2">
        <v>1873.64</v>
      </c>
      <c r="Q591" t="s">
        <v>26</v>
      </c>
    </row>
    <row r="592" spans="1:17" x14ac:dyDescent="0.2">
      <c r="A592" t="s">
        <v>757</v>
      </c>
      <c r="B592" s="1">
        <v>45723</v>
      </c>
      <c r="C592" t="s">
        <v>36</v>
      </c>
      <c r="D592" t="s">
        <v>144</v>
      </c>
      <c r="E592" t="s">
        <v>232</v>
      </c>
      <c r="F592" t="s">
        <v>130</v>
      </c>
      <c r="G592" t="s">
        <v>22</v>
      </c>
      <c r="H592" t="s">
        <v>31</v>
      </c>
      <c r="I592" t="s">
        <v>40</v>
      </c>
      <c r="J592" t="s">
        <v>41</v>
      </c>
      <c r="K592">
        <v>4</v>
      </c>
      <c r="L592" s="2">
        <v>227.84</v>
      </c>
      <c r="M592" s="3">
        <v>0.1</v>
      </c>
      <c r="N592" s="2">
        <v>820.22</v>
      </c>
      <c r="O592" s="2">
        <v>511.74</v>
      </c>
      <c r="P592" s="2">
        <v>308.48</v>
      </c>
      <c r="Q592" t="s">
        <v>34</v>
      </c>
    </row>
    <row r="593" spans="1:17" x14ac:dyDescent="0.2">
      <c r="A593" t="s">
        <v>758</v>
      </c>
      <c r="B593" s="1">
        <v>45723</v>
      </c>
      <c r="C593" t="s">
        <v>77</v>
      </c>
      <c r="D593" t="s">
        <v>95</v>
      </c>
      <c r="E593" t="s">
        <v>300</v>
      </c>
      <c r="F593" t="s">
        <v>39</v>
      </c>
      <c r="G593" t="s">
        <v>75</v>
      </c>
      <c r="H593" t="s">
        <v>47</v>
      </c>
      <c r="I593" t="s">
        <v>48</v>
      </c>
      <c r="J593" t="s">
        <v>49</v>
      </c>
      <c r="K593">
        <v>1</v>
      </c>
      <c r="L593" s="2">
        <v>872.83</v>
      </c>
      <c r="M593" s="3">
        <v>0.05</v>
      </c>
      <c r="N593" s="2">
        <v>829.19</v>
      </c>
      <c r="O593" s="2">
        <v>555.4</v>
      </c>
      <c r="P593" s="2">
        <v>273.79000000000002</v>
      </c>
      <c r="Q593" t="s">
        <v>57</v>
      </c>
    </row>
    <row r="594" spans="1:17" x14ac:dyDescent="0.2">
      <c r="A594" t="s">
        <v>759</v>
      </c>
      <c r="B594" s="1">
        <v>45723</v>
      </c>
      <c r="C594" t="s">
        <v>43</v>
      </c>
      <c r="D594" t="s">
        <v>51</v>
      </c>
      <c r="E594" t="s">
        <v>63</v>
      </c>
      <c r="F594" t="s">
        <v>69</v>
      </c>
      <c r="G594" t="s">
        <v>75</v>
      </c>
      <c r="H594" t="s">
        <v>31</v>
      </c>
      <c r="I594" t="s">
        <v>32</v>
      </c>
      <c r="J594" t="s">
        <v>104</v>
      </c>
      <c r="K594">
        <v>3</v>
      </c>
      <c r="L594" s="2">
        <v>751.16</v>
      </c>
      <c r="M594" s="3">
        <v>0.1</v>
      </c>
      <c r="N594" s="2">
        <v>2028.13</v>
      </c>
      <c r="O594" s="2">
        <v>1552.06</v>
      </c>
      <c r="P594" s="2">
        <v>476.07</v>
      </c>
      <c r="Q594" t="s">
        <v>61</v>
      </c>
    </row>
    <row r="595" spans="1:17" x14ac:dyDescent="0.2">
      <c r="A595" t="s">
        <v>760</v>
      </c>
      <c r="B595" s="1">
        <v>45724</v>
      </c>
      <c r="C595" t="s">
        <v>77</v>
      </c>
      <c r="D595" t="s">
        <v>128</v>
      </c>
      <c r="E595" t="s">
        <v>155</v>
      </c>
      <c r="F595" t="s">
        <v>130</v>
      </c>
      <c r="G595" t="s">
        <v>22</v>
      </c>
      <c r="H595" t="s">
        <v>23</v>
      </c>
      <c r="I595" t="s">
        <v>79</v>
      </c>
      <c r="J595" t="s">
        <v>233</v>
      </c>
      <c r="K595">
        <v>2</v>
      </c>
      <c r="L595" s="2">
        <v>562.36</v>
      </c>
      <c r="M595" s="3">
        <v>0.2</v>
      </c>
      <c r="N595" s="2">
        <v>899.78</v>
      </c>
      <c r="O595" s="2">
        <v>584.02</v>
      </c>
      <c r="P595" s="2">
        <v>315.76</v>
      </c>
      <c r="Q595" t="s">
        <v>26</v>
      </c>
    </row>
    <row r="596" spans="1:17" x14ac:dyDescent="0.2">
      <c r="A596" t="s">
        <v>761</v>
      </c>
      <c r="B596" s="1">
        <v>45724</v>
      </c>
      <c r="C596" t="s">
        <v>77</v>
      </c>
      <c r="D596" t="s">
        <v>128</v>
      </c>
      <c r="E596" t="s">
        <v>159</v>
      </c>
      <c r="F596" t="s">
        <v>53</v>
      </c>
      <c r="G596" t="s">
        <v>54</v>
      </c>
      <c r="H596" t="s">
        <v>23</v>
      </c>
      <c r="I596" t="s">
        <v>24</v>
      </c>
      <c r="J596" t="s">
        <v>25</v>
      </c>
      <c r="K596">
        <v>1</v>
      </c>
      <c r="L596" s="2">
        <v>21.21</v>
      </c>
      <c r="M596" s="3">
        <v>0.1</v>
      </c>
      <c r="N596" s="2">
        <v>19.09</v>
      </c>
      <c r="O596" s="2">
        <v>11.28</v>
      </c>
      <c r="P596" s="2">
        <v>7.81</v>
      </c>
      <c r="Q596" t="s">
        <v>57</v>
      </c>
    </row>
    <row r="597" spans="1:17" x14ac:dyDescent="0.2">
      <c r="A597" t="s">
        <v>762</v>
      </c>
      <c r="B597" s="1">
        <v>45724</v>
      </c>
      <c r="C597" t="s">
        <v>18</v>
      </c>
      <c r="D597" t="s">
        <v>152</v>
      </c>
      <c r="E597" t="s">
        <v>166</v>
      </c>
      <c r="F597" t="s">
        <v>39</v>
      </c>
      <c r="G597" t="s">
        <v>22</v>
      </c>
      <c r="H597" t="s">
        <v>31</v>
      </c>
      <c r="I597" t="s">
        <v>40</v>
      </c>
      <c r="J597" t="s">
        <v>41</v>
      </c>
      <c r="K597">
        <v>10</v>
      </c>
      <c r="L597" s="2">
        <v>116.72</v>
      </c>
      <c r="M597" s="3">
        <v>0</v>
      </c>
      <c r="N597" s="2">
        <v>1167.2</v>
      </c>
      <c r="O597" s="2">
        <v>785.17</v>
      </c>
      <c r="P597" s="2">
        <v>382.03</v>
      </c>
      <c r="Q597" t="s">
        <v>34</v>
      </c>
    </row>
    <row r="598" spans="1:17" x14ac:dyDescent="0.2">
      <c r="A598" t="s">
        <v>763</v>
      </c>
      <c r="B598" s="1">
        <v>45724</v>
      </c>
      <c r="C598" t="s">
        <v>36</v>
      </c>
      <c r="D598" t="s">
        <v>73</v>
      </c>
      <c r="E598" t="s">
        <v>74</v>
      </c>
      <c r="F598" t="s">
        <v>60</v>
      </c>
      <c r="G598" t="s">
        <v>22</v>
      </c>
      <c r="H598" t="s">
        <v>31</v>
      </c>
      <c r="I598" t="s">
        <v>40</v>
      </c>
      <c r="J598" t="s">
        <v>216</v>
      </c>
      <c r="K598">
        <v>5</v>
      </c>
      <c r="L598" s="2">
        <v>188.18</v>
      </c>
      <c r="M598" s="3">
        <v>0</v>
      </c>
      <c r="N598" s="2">
        <v>940.9</v>
      </c>
      <c r="O598" s="2">
        <v>541.70000000000005</v>
      </c>
      <c r="P598" s="2">
        <v>399.2</v>
      </c>
      <c r="Q598" t="s">
        <v>34</v>
      </c>
    </row>
    <row r="599" spans="1:17" x14ac:dyDescent="0.2">
      <c r="A599" t="s">
        <v>764</v>
      </c>
      <c r="B599" s="1">
        <v>45724</v>
      </c>
      <c r="C599" t="s">
        <v>43</v>
      </c>
      <c r="D599" t="s">
        <v>161</v>
      </c>
      <c r="E599" t="s">
        <v>172</v>
      </c>
      <c r="F599" t="s">
        <v>138</v>
      </c>
      <c r="G599" t="s">
        <v>75</v>
      </c>
      <c r="H599" t="s">
        <v>47</v>
      </c>
      <c r="I599" t="s">
        <v>48</v>
      </c>
      <c r="J599" t="s">
        <v>164</v>
      </c>
      <c r="K599">
        <v>1</v>
      </c>
      <c r="L599" s="2">
        <v>741.19</v>
      </c>
      <c r="M599" s="3">
        <v>0</v>
      </c>
      <c r="N599" s="2">
        <v>741.19</v>
      </c>
      <c r="O599" s="2">
        <v>492.02</v>
      </c>
      <c r="P599" s="2">
        <v>249.17</v>
      </c>
      <c r="Q599" t="s">
        <v>34</v>
      </c>
    </row>
    <row r="600" spans="1:17" x14ac:dyDescent="0.2">
      <c r="A600" t="s">
        <v>765</v>
      </c>
      <c r="B600" s="1">
        <v>45724</v>
      </c>
      <c r="C600" t="s">
        <v>18</v>
      </c>
      <c r="D600" t="s">
        <v>86</v>
      </c>
      <c r="E600" t="s">
        <v>87</v>
      </c>
      <c r="F600" t="s">
        <v>46</v>
      </c>
      <c r="G600" t="s">
        <v>22</v>
      </c>
      <c r="H600" t="s">
        <v>23</v>
      </c>
      <c r="I600" t="s">
        <v>55</v>
      </c>
      <c r="J600" t="s">
        <v>56</v>
      </c>
      <c r="K600">
        <v>4</v>
      </c>
      <c r="L600" s="2">
        <v>16.96</v>
      </c>
      <c r="M600" s="3">
        <v>0.05</v>
      </c>
      <c r="N600" s="2">
        <v>64.45</v>
      </c>
      <c r="O600" s="2">
        <v>43.64</v>
      </c>
      <c r="P600" s="2">
        <v>20.81</v>
      </c>
      <c r="Q600" t="s">
        <v>26</v>
      </c>
    </row>
    <row r="601" spans="1:17" x14ac:dyDescent="0.2">
      <c r="A601" t="s">
        <v>766</v>
      </c>
      <c r="B601" s="1">
        <v>45725</v>
      </c>
      <c r="C601" t="s">
        <v>77</v>
      </c>
      <c r="D601" t="s">
        <v>149</v>
      </c>
      <c r="E601" t="s">
        <v>309</v>
      </c>
      <c r="F601" t="s">
        <v>46</v>
      </c>
      <c r="G601" t="s">
        <v>75</v>
      </c>
      <c r="H601" t="s">
        <v>23</v>
      </c>
      <c r="I601" t="s">
        <v>55</v>
      </c>
      <c r="J601" t="s">
        <v>56</v>
      </c>
      <c r="K601">
        <v>4</v>
      </c>
      <c r="L601" s="2">
        <v>16.079999999999998</v>
      </c>
      <c r="M601" s="3">
        <v>0.15</v>
      </c>
      <c r="N601" s="2">
        <v>54.67</v>
      </c>
      <c r="O601" s="2">
        <v>30.89</v>
      </c>
      <c r="P601" s="2">
        <v>23.78</v>
      </c>
      <c r="Q601" t="s">
        <v>34</v>
      </c>
    </row>
    <row r="602" spans="1:17" x14ac:dyDescent="0.2">
      <c r="A602" t="s">
        <v>767</v>
      </c>
      <c r="B602" s="1">
        <v>45725</v>
      </c>
      <c r="C602" t="s">
        <v>43</v>
      </c>
      <c r="D602" t="s">
        <v>44</v>
      </c>
      <c r="E602" t="s">
        <v>147</v>
      </c>
      <c r="F602" t="s">
        <v>21</v>
      </c>
      <c r="G602" t="s">
        <v>75</v>
      </c>
      <c r="H602" t="s">
        <v>23</v>
      </c>
      <c r="I602" t="s">
        <v>55</v>
      </c>
      <c r="J602" t="s">
        <v>102</v>
      </c>
      <c r="K602">
        <v>9</v>
      </c>
      <c r="L602" s="2">
        <v>12.18</v>
      </c>
      <c r="M602" s="3">
        <v>0.05</v>
      </c>
      <c r="N602" s="2">
        <v>104.14</v>
      </c>
      <c r="O602" s="2">
        <v>84.85</v>
      </c>
      <c r="P602" s="2">
        <v>19.29</v>
      </c>
      <c r="Q602" t="s">
        <v>57</v>
      </c>
    </row>
    <row r="603" spans="1:17" x14ac:dyDescent="0.2">
      <c r="A603" t="s">
        <v>768</v>
      </c>
      <c r="B603" s="1">
        <v>45725</v>
      </c>
      <c r="C603" t="s">
        <v>36</v>
      </c>
      <c r="D603" t="s">
        <v>67</v>
      </c>
      <c r="E603" t="s">
        <v>323</v>
      </c>
      <c r="F603" t="s">
        <v>130</v>
      </c>
      <c r="G603" t="s">
        <v>75</v>
      </c>
      <c r="H603" t="s">
        <v>23</v>
      </c>
      <c r="I603" t="s">
        <v>55</v>
      </c>
      <c r="J603" t="s">
        <v>173</v>
      </c>
      <c r="K603">
        <v>4</v>
      </c>
      <c r="L603" s="2">
        <v>18.309999999999999</v>
      </c>
      <c r="M603" s="3">
        <v>0.1</v>
      </c>
      <c r="N603" s="2">
        <v>65.92</v>
      </c>
      <c r="O603" s="2">
        <v>41.03</v>
      </c>
      <c r="P603" s="2">
        <v>24.89</v>
      </c>
      <c r="Q603" t="s">
        <v>26</v>
      </c>
    </row>
    <row r="604" spans="1:17" x14ac:dyDescent="0.2">
      <c r="A604" t="s">
        <v>769</v>
      </c>
      <c r="B604" s="1">
        <v>45725</v>
      </c>
      <c r="C604" t="s">
        <v>36</v>
      </c>
      <c r="D604" t="s">
        <v>67</v>
      </c>
      <c r="E604" t="s">
        <v>270</v>
      </c>
      <c r="F604" t="s">
        <v>60</v>
      </c>
      <c r="G604" t="s">
        <v>22</v>
      </c>
      <c r="H604" t="s">
        <v>31</v>
      </c>
      <c r="I604" t="s">
        <v>40</v>
      </c>
      <c r="J604" t="s">
        <v>41</v>
      </c>
      <c r="K604">
        <v>6</v>
      </c>
      <c r="L604" s="2">
        <v>223.63</v>
      </c>
      <c r="M604" s="3">
        <v>0</v>
      </c>
      <c r="N604" s="2">
        <v>1341.78</v>
      </c>
      <c r="O604" s="2">
        <v>1028.3599999999999</v>
      </c>
      <c r="P604" s="2">
        <v>313.42</v>
      </c>
      <c r="Q604" t="s">
        <v>34</v>
      </c>
    </row>
    <row r="605" spans="1:17" x14ac:dyDescent="0.2">
      <c r="A605" t="s">
        <v>770</v>
      </c>
      <c r="B605" s="1">
        <v>45725</v>
      </c>
      <c r="C605" t="s">
        <v>36</v>
      </c>
      <c r="D605" t="s">
        <v>73</v>
      </c>
      <c r="E605" t="s">
        <v>212</v>
      </c>
      <c r="F605" t="s">
        <v>39</v>
      </c>
      <c r="G605" t="s">
        <v>75</v>
      </c>
      <c r="H605" t="s">
        <v>31</v>
      </c>
      <c r="I605" t="s">
        <v>112</v>
      </c>
      <c r="J605" t="s">
        <v>136</v>
      </c>
      <c r="K605">
        <v>3</v>
      </c>
      <c r="L605" s="2">
        <v>388.68</v>
      </c>
      <c r="M605" s="3">
        <v>0.1</v>
      </c>
      <c r="N605" s="2">
        <v>1049.44</v>
      </c>
      <c r="O605" s="2">
        <v>605.69000000000005</v>
      </c>
      <c r="P605" s="2">
        <v>443.75</v>
      </c>
      <c r="Q605" t="s">
        <v>61</v>
      </c>
    </row>
    <row r="606" spans="1:17" x14ac:dyDescent="0.2">
      <c r="A606" t="s">
        <v>771</v>
      </c>
      <c r="B606" s="1">
        <v>45725</v>
      </c>
      <c r="C606" t="s">
        <v>43</v>
      </c>
      <c r="D606" t="s">
        <v>244</v>
      </c>
      <c r="E606" t="s">
        <v>300</v>
      </c>
      <c r="F606" t="s">
        <v>130</v>
      </c>
      <c r="G606" t="s">
        <v>75</v>
      </c>
      <c r="H606" t="s">
        <v>31</v>
      </c>
      <c r="I606" t="s">
        <v>32</v>
      </c>
      <c r="J606" t="s">
        <v>33</v>
      </c>
      <c r="K606">
        <v>5</v>
      </c>
      <c r="L606" s="2">
        <v>1306.77</v>
      </c>
      <c r="M606" s="3">
        <v>0.1</v>
      </c>
      <c r="N606" s="2">
        <v>5880.46</v>
      </c>
      <c r="O606" s="2">
        <v>3613.31</v>
      </c>
      <c r="P606" s="2">
        <v>2267.15</v>
      </c>
      <c r="Q606" t="s">
        <v>34</v>
      </c>
    </row>
    <row r="607" spans="1:17" x14ac:dyDescent="0.2">
      <c r="A607" t="s">
        <v>772</v>
      </c>
      <c r="B607" s="1">
        <v>45725</v>
      </c>
      <c r="C607" t="s">
        <v>43</v>
      </c>
      <c r="D607" t="s">
        <v>51</v>
      </c>
      <c r="E607" t="s">
        <v>59</v>
      </c>
      <c r="F607" t="s">
        <v>46</v>
      </c>
      <c r="G607" t="s">
        <v>75</v>
      </c>
      <c r="H607" t="s">
        <v>23</v>
      </c>
      <c r="I607" t="s">
        <v>24</v>
      </c>
      <c r="J607" t="s">
        <v>108</v>
      </c>
      <c r="K607">
        <v>8</v>
      </c>
      <c r="L607" s="2">
        <v>20.51</v>
      </c>
      <c r="M607" s="3">
        <v>0.05</v>
      </c>
      <c r="N607" s="2">
        <v>155.88</v>
      </c>
      <c r="O607" s="2">
        <v>120.94</v>
      </c>
      <c r="P607" s="2">
        <v>34.94</v>
      </c>
      <c r="Q607" t="s">
        <v>34</v>
      </c>
    </row>
    <row r="608" spans="1:17" x14ac:dyDescent="0.2">
      <c r="A608" t="s">
        <v>773</v>
      </c>
      <c r="B608" s="1">
        <v>45725</v>
      </c>
      <c r="C608" t="s">
        <v>36</v>
      </c>
      <c r="D608" t="s">
        <v>67</v>
      </c>
      <c r="E608" t="s">
        <v>323</v>
      </c>
      <c r="F608" t="s">
        <v>30</v>
      </c>
      <c r="G608" t="s">
        <v>75</v>
      </c>
      <c r="H608" t="s">
        <v>23</v>
      </c>
      <c r="I608" t="s">
        <v>55</v>
      </c>
      <c r="J608" t="s">
        <v>56</v>
      </c>
      <c r="K608">
        <v>10</v>
      </c>
      <c r="L608" s="2">
        <v>11.07</v>
      </c>
      <c r="M608" s="3">
        <v>0.15</v>
      </c>
      <c r="N608" s="2">
        <v>94.1</v>
      </c>
      <c r="O608" s="2">
        <v>64.75</v>
      </c>
      <c r="P608" s="2">
        <v>29.35</v>
      </c>
      <c r="Q608" t="s">
        <v>34</v>
      </c>
    </row>
    <row r="609" spans="1:17" x14ac:dyDescent="0.2">
      <c r="A609" t="s">
        <v>774</v>
      </c>
      <c r="B609" s="1">
        <v>45726</v>
      </c>
      <c r="C609" t="s">
        <v>77</v>
      </c>
      <c r="D609" t="s">
        <v>149</v>
      </c>
      <c r="E609" t="s">
        <v>309</v>
      </c>
      <c r="F609" t="s">
        <v>60</v>
      </c>
      <c r="G609" t="s">
        <v>22</v>
      </c>
      <c r="H609" t="s">
        <v>31</v>
      </c>
      <c r="I609" t="s">
        <v>32</v>
      </c>
      <c r="J609" t="s">
        <v>33</v>
      </c>
      <c r="K609">
        <v>10</v>
      </c>
      <c r="L609" s="2">
        <v>1609.43</v>
      </c>
      <c r="M609" s="3">
        <v>0.1</v>
      </c>
      <c r="N609" s="2">
        <v>14484.87</v>
      </c>
      <c r="O609" s="2">
        <v>9151.1200000000008</v>
      </c>
      <c r="P609" s="2">
        <v>5333.75</v>
      </c>
      <c r="Q609" t="s">
        <v>34</v>
      </c>
    </row>
    <row r="610" spans="1:17" x14ac:dyDescent="0.2">
      <c r="A610" t="s">
        <v>775</v>
      </c>
      <c r="B610" s="1">
        <v>45726</v>
      </c>
      <c r="C610" t="s">
        <v>36</v>
      </c>
      <c r="D610" t="s">
        <v>73</v>
      </c>
      <c r="E610" t="s">
        <v>74</v>
      </c>
      <c r="F610" t="s">
        <v>39</v>
      </c>
      <c r="G610" t="s">
        <v>22</v>
      </c>
      <c r="H610" t="s">
        <v>47</v>
      </c>
      <c r="I610" t="s">
        <v>97</v>
      </c>
      <c r="J610" t="s">
        <v>168</v>
      </c>
      <c r="K610">
        <v>4</v>
      </c>
      <c r="L610" s="2">
        <v>236.35</v>
      </c>
      <c r="M610" s="3">
        <v>0.05</v>
      </c>
      <c r="N610" s="2">
        <v>898.13</v>
      </c>
      <c r="O610" s="2">
        <v>516.05999999999995</v>
      </c>
      <c r="P610" s="2">
        <v>382.07</v>
      </c>
      <c r="Q610" t="s">
        <v>61</v>
      </c>
    </row>
    <row r="611" spans="1:17" x14ac:dyDescent="0.2">
      <c r="A611" t="s">
        <v>776</v>
      </c>
      <c r="B611" s="1">
        <v>45726</v>
      </c>
      <c r="C611" t="s">
        <v>77</v>
      </c>
      <c r="D611" t="s">
        <v>106</v>
      </c>
      <c r="E611" t="s">
        <v>107</v>
      </c>
      <c r="F611" t="s">
        <v>46</v>
      </c>
      <c r="G611" t="s">
        <v>22</v>
      </c>
      <c r="H611" t="s">
        <v>31</v>
      </c>
      <c r="I611" t="s">
        <v>64</v>
      </c>
      <c r="J611" t="s">
        <v>252</v>
      </c>
      <c r="K611">
        <v>6</v>
      </c>
      <c r="L611" s="2">
        <v>92.73</v>
      </c>
      <c r="M611" s="3">
        <v>0</v>
      </c>
      <c r="N611" s="2">
        <v>556.38</v>
      </c>
      <c r="O611" s="2">
        <v>387.87</v>
      </c>
      <c r="P611" s="2">
        <v>168.51</v>
      </c>
      <c r="Q611" t="s">
        <v>61</v>
      </c>
    </row>
    <row r="612" spans="1:17" x14ac:dyDescent="0.2">
      <c r="A612" t="s">
        <v>777</v>
      </c>
      <c r="B612" s="1">
        <v>45726</v>
      </c>
      <c r="C612" t="s">
        <v>43</v>
      </c>
      <c r="D612" t="s">
        <v>244</v>
      </c>
      <c r="E612" t="s">
        <v>326</v>
      </c>
      <c r="F612" t="s">
        <v>39</v>
      </c>
      <c r="G612" t="s">
        <v>75</v>
      </c>
      <c r="H612" t="s">
        <v>31</v>
      </c>
      <c r="I612" t="s">
        <v>40</v>
      </c>
      <c r="J612" t="s">
        <v>41</v>
      </c>
      <c r="K612">
        <v>10</v>
      </c>
      <c r="L612" s="2">
        <v>232.89</v>
      </c>
      <c r="M612" s="3">
        <v>0.1</v>
      </c>
      <c r="N612" s="2">
        <v>2096.0100000000002</v>
      </c>
      <c r="O612" s="2">
        <v>1624.21</v>
      </c>
      <c r="P612" s="2">
        <v>471.8</v>
      </c>
      <c r="Q612" t="s">
        <v>61</v>
      </c>
    </row>
    <row r="613" spans="1:17" x14ac:dyDescent="0.2">
      <c r="A613" t="s">
        <v>778</v>
      </c>
      <c r="B613" s="1">
        <v>45726</v>
      </c>
      <c r="C613" t="s">
        <v>43</v>
      </c>
      <c r="D613" t="s">
        <v>244</v>
      </c>
      <c r="E613" t="s">
        <v>245</v>
      </c>
      <c r="F613" t="s">
        <v>130</v>
      </c>
      <c r="G613" t="s">
        <v>75</v>
      </c>
      <c r="H613" t="s">
        <v>23</v>
      </c>
      <c r="I613" t="s">
        <v>79</v>
      </c>
      <c r="J613" t="s">
        <v>179</v>
      </c>
      <c r="K613">
        <v>3</v>
      </c>
      <c r="L613" s="2">
        <v>287.93</v>
      </c>
      <c r="M613" s="3">
        <v>0.1</v>
      </c>
      <c r="N613" s="2">
        <v>777.41</v>
      </c>
      <c r="O613" s="2">
        <v>445.9</v>
      </c>
      <c r="P613" s="2">
        <v>331.51</v>
      </c>
      <c r="Q613" t="s">
        <v>57</v>
      </c>
    </row>
    <row r="614" spans="1:17" x14ac:dyDescent="0.2">
      <c r="A614" t="s">
        <v>779</v>
      </c>
      <c r="B614" s="1">
        <v>45727</v>
      </c>
      <c r="C614" t="s">
        <v>77</v>
      </c>
      <c r="D614" t="s">
        <v>106</v>
      </c>
      <c r="E614" t="s">
        <v>236</v>
      </c>
      <c r="F614" t="s">
        <v>21</v>
      </c>
      <c r="G614" t="s">
        <v>75</v>
      </c>
      <c r="H614" t="s">
        <v>47</v>
      </c>
      <c r="I614" t="s">
        <v>97</v>
      </c>
      <c r="J614" t="s">
        <v>116</v>
      </c>
      <c r="K614">
        <v>8</v>
      </c>
      <c r="L614" s="2">
        <v>472.33</v>
      </c>
      <c r="M614" s="3">
        <v>0.1</v>
      </c>
      <c r="N614" s="2">
        <v>3400.78</v>
      </c>
      <c r="O614" s="2">
        <v>2326.4</v>
      </c>
      <c r="P614" s="2">
        <v>1074.3800000000001</v>
      </c>
      <c r="Q614" t="s">
        <v>57</v>
      </c>
    </row>
    <row r="615" spans="1:17" x14ac:dyDescent="0.2">
      <c r="A615" t="s">
        <v>780</v>
      </c>
      <c r="B615" s="1">
        <v>45727</v>
      </c>
      <c r="C615" t="s">
        <v>36</v>
      </c>
      <c r="D615" t="s">
        <v>37</v>
      </c>
      <c r="E615" t="s">
        <v>255</v>
      </c>
      <c r="F615" t="s">
        <v>138</v>
      </c>
      <c r="G615" t="s">
        <v>22</v>
      </c>
      <c r="H615" t="s">
        <v>31</v>
      </c>
      <c r="I615" t="s">
        <v>64</v>
      </c>
      <c r="J615" t="s">
        <v>65</v>
      </c>
      <c r="K615">
        <v>6</v>
      </c>
      <c r="L615" s="2">
        <v>161.55000000000001</v>
      </c>
      <c r="M615" s="3">
        <v>0</v>
      </c>
      <c r="N615" s="2">
        <v>969.3</v>
      </c>
      <c r="O615" s="2">
        <v>558.03</v>
      </c>
      <c r="P615" s="2">
        <v>411.27</v>
      </c>
      <c r="Q615" t="s">
        <v>26</v>
      </c>
    </row>
    <row r="616" spans="1:17" x14ac:dyDescent="0.2">
      <c r="A616" t="s">
        <v>781</v>
      </c>
      <c r="B616" s="1">
        <v>45727</v>
      </c>
      <c r="C616" t="s">
        <v>36</v>
      </c>
      <c r="D616" t="s">
        <v>73</v>
      </c>
      <c r="E616" t="s">
        <v>247</v>
      </c>
      <c r="F616" t="s">
        <v>69</v>
      </c>
      <c r="G616" t="s">
        <v>75</v>
      </c>
      <c r="H616" t="s">
        <v>23</v>
      </c>
      <c r="I616" t="s">
        <v>79</v>
      </c>
      <c r="J616" t="s">
        <v>233</v>
      </c>
      <c r="K616">
        <v>7</v>
      </c>
      <c r="L616" s="2">
        <v>364.43</v>
      </c>
      <c r="M616" s="3">
        <v>0.05</v>
      </c>
      <c r="N616" s="2">
        <v>2423.46</v>
      </c>
      <c r="O616" s="2">
        <v>1450.37</v>
      </c>
      <c r="P616" s="2">
        <v>973.09</v>
      </c>
      <c r="Q616" t="s">
        <v>26</v>
      </c>
    </row>
    <row r="617" spans="1:17" x14ac:dyDescent="0.2">
      <c r="A617" t="s">
        <v>782</v>
      </c>
      <c r="B617" s="1">
        <v>45727</v>
      </c>
      <c r="C617" t="s">
        <v>43</v>
      </c>
      <c r="D617" t="s">
        <v>208</v>
      </c>
      <c r="E617" t="s">
        <v>287</v>
      </c>
      <c r="F617" t="s">
        <v>39</v>
      </c>
      <c r="G617" t="s">
        <v>22</v>
      </c>
      <c r="H617" t="s">
        <v>47</v>
      </c>
      <c r="I617" t="s">
        <v>48</v>
      </c>
      <c r="J617" t="s">
        <v>93</v>
      </c>
      <c r="K617">
        <v>7</v>
      </c>
      <c r="L617" s="2">
        <v>687.34</v>
      </c>
      <c r="M617" s="3">
        <v>0.05</v>
      </c>
      <c r="N617" s="2">
        <v>4570.8100000000004</v>
      </c>
      <c r="O617" s="2">
        <v>3596.27</v>
      </c>
      <c r="P617" s="2">
        <v>974.54</v>
      </c>
      <c r="Q617" t="s">
        <v>57</v>
      </c>
    </row>
    <row r="618" spans="1:17" x14ac:dyDescent="0.2">
      <c r="A618" t="s">
        <v>783</v>
      </c>
      <c r="B618" s="1">
        <v>45727</v>
      </c>
      <c r="C618" t="s">
        <v>36</v>
      </c>
      <c r="D618" t="s">
        <v>144</v>
      </c>
      <c r="E618" t="s">
        <v>214</v>
      </c>
      <c r="F618" t="s">
        <v>69</v>
      </c>
      <c r="G618" t="s">
        <v>54</v>
      </c>
      <c r="H618" t="s">
        <v>31</v>
      </c>
      <c r="I618" t="s">
        <v>32</v>
      </c>
      <c r="J618" t="s">
        <v>33</v>
      </c>
      <c r="K618">
        <v>9</v>
      </c>
      <c r="L618" s="2">
        <v>884.32</v>
      </c>
      <c r="M618" s="3">
        <v>0.05</v>
      </c>
      <c r="N618" s="2">
        <v>7560.94</v>
      </c>
      <c r="O618" s="2">
        <v>5519.96</v>
      </c>
      <c r="P618" s="2">
        <v>2040.98</v>
      </c>
      <c r="Q618" t="s">
        <v>61</v>
      </c>
    </row>
    <row r="619" spans="1:17" x14ac:dyDescent="0.2">
      <c r="A619" t="s">
        <v>784</v>
      </c>
      <c r="B619" s="1">
        <v>45728</v>
      </c>
      <c r="C619" t="s">
        <v>77</v>
      </c>
      <c r="D619" t="s">
        <v>128</v>
      </c>
      <c r="E619" t="s">
        <v>155</v>
      </c>
      <c r="F619" t="s">
        <v>39</v>
      </c>
      <c r="G619" t="s">
        <v>75</v>
      </c>
      <c r="H619" t="s">
        <v>23</v>
      </c>
      <c r="I619" t="s">
        <v>83</v>
      </c>
      <c r="J619" t="s">
        <v>131</v>
      </c>
      <c r="K619">
        <v>10</v>
      </c>
      <c r="L619" s="2">
        <v>15.04</v>
      </c>
      <c r="M619" s="3">
        <v>0.2</v>
      </c>
      <c r="N619" s="2">
        <v>120.32</v>
      </c>
      <c r="O619" s="2">
        <v>98.41</v>
      </c>
      <c r="P619" s="2">
        <v>21.91</v>
      </c>
      <c r="Q619" t="s">
        <v>34</v>
      </c>
    </row>
    <row r="620" spans="1:17" x14ac:dyDescent="0.2">
      <c r="A620" t="s">
        <v>785</v>
      </c>
      <c r="B620" s="1">
        <v>45728</v>
      </c>
      <c r="C620" t="s">
        <v>18</v>
      </c>
      <c r="D620" t="s">
        <v>152</v>
      </c>
      <c r="E620" t="s">
        <v>166</v>
      </c>
      <c r="F620" t="s">
        <v>69</v>
      </c>
      <c r="G620" t="s">
        <v>54</v>
      </c>
      <c r="H620" t="s">
        <v>31</v>
      </c>
      <c r="I620" t="s">
        <v>32</v>
      </c>
      <c r="J620" t="s">
        <v>258</v>
      </c>
      <c r="K620">
        <v>8</v>
      </c>
      <c r="L620" s="2">
        <v>961.23</v>
      </c>
      <c r="M620" s="3">
        <v>0.1</v>
      </c>
      <c r="N620" s="2">
        <v>6920.86</v>
      </c>
      <c r="O620" s="2">
        <v>4754.5600000000004</v>
      </c>
      <c r="P620" s="2">
        <v>2166.3000000000002</v>
      </c>
      <c r="Q620" t="s">
        <v>26</v>
      </c>
    </row>
    <row r="621" spans="1:17" x14ac:dyDescent="0.2">
      <c r="A621" t="s">
        <v>786</v>
      </c>
      <c r="B621" s="1">
        <v>45728</v>
      </c>
      <c r="C621" t="s">
        <v>43</v>
      </c>
      <c r="D621" t="s">
        <v>44</v>
      </c>
      <c r="E621" t="s">
        <v>82</v>
      </c>
      <c r="F621" t="s">
        <v>30</v>
      </c>
      <c r="G621" t="s">
        <v>22</v>
      </c>
      <c r="H621" t="s">
        <v>31</v>
      </c>
      <c r="I621" t="s">
        <v>64</v>
      </c>
      <c r="J621" t="s">
        <v>252</v>
      </c>
      <c r="K621">
        <v>1</v>
      </c>
      <c r="L621" s="2">
        <v>84.72</v>
      </c>
      <c r="M621" s="3">
        <v>0.1</v>
      </c>
      <c r="N621" s="2">
        <v>76.25</v>
      </c>
      <c r="O621" s="2">
        <v>57.15</v>
      </c>
      <c r="P621" s="2">
        <v>19.100000000000001</v>
      </c>
      <c r="Q621" t="s">
        <v>26</v>
      </c>
    </row>
    <row r="622" spans="1:17" x14ac:dyDescent="0.2">
      <c r="A622" t="s">
        <v>787</v>
      </c>
      <c r="B622" s="1">
        <v>45728</v>
      </c>
      <c r="C622" t="s">
        <v>36</v>
      </c>
      <c r="D622" t="s">
        <v>110</v>
      </c>
      <c r="E622" t="s">
        <v>115</v>
      </c>
      <c r="F622" t="s">
        <v>53</v>
      </c>
      <c r="G622" t="s">
        <v>75</v>
      </c>
      <c r="H622" t="s">
        <v>31</v>
      </c>
      <c r="I622" t="s">
        <v>40</v>
      </c>
      <c r="J622" t="s">
        <v>216</v>
      </c>
      <c r="K622">
        <v>8</v>
      </c>
      <c r="L622" s="2">
        <v>134.82</v>
      </c>
      <c r="M622" s="3">
        <v>0.05</v>
      </c>
      <c r="N622" s="2">
        <v>1024.6300000000001</v>
      </c>
      <c r="O622" s="2">
        <v>806.32</v>
      </c>
      <c r="P622" s="2">
        <v>218.31</v>
      </c>
      <c r="Q622" t="s">
        <v>34</v>
      </c>
    </row>
    <row r="623" spans="1:17" x14ac:dyDescent="0.2">
      <c r="A623" t="s">
        <v>788</v>
      </c>
      <c r="B623" s="1">
        <v>45728</v>
      </c>
      <c r="C623" t="s">
        <v>18</v>
      </c>
      <c r="D623" t="s">
        <v>86</v>
      </c>
      <c r="E623" t="s">
        <v>140</v>
      </c>
      <c r="F623" t="s">
        <v>71</v>
      </c>
      <c r="G623" t="s">
        <v>22</v>
      </c>
      <c r="H623" t="s">
        <v>47</v>
      </c>
      <c r="I623" t="s">
        <v>89</v>
      </c>
      <c r="J623" t="s">
        <v>240</v>
      </c>
      <c r="K623">
        <v>9</v>
      </c>
      <c r="L623" s="2">
        <v>485.76</v>
      </c>
      <c r="M623" s="3">
        <v>0</v>
      </c>
      <c r="N623" s="2">
        <v>4371.84</v>
      </c>
      <c r="O623" s="2">
        <v>2748.51</v>
      </c>
      <c r="P623" s="2">
        <v>1623.33</v>
      </c>
      <c r="Q623" t="s">
        <v>34</v>
      </c>
    </row>
    <row r="624" spans="1:17" x14ac:dyDescent="0.2">
      <c r="A624" t="s">
        <v>789</v>
      </c>
      <c r="B624" s="1">
        <v>45728</v>
      </c>
      <c r="C624" t="s">
        <v>36</v>
      </c>
      <c r="D624" t="s">
        <v>73</v>
      </c>
      <c r="E624" t="s">
        <v>212</v>
      </c>
      <c r="F624" t="s">
        <v>30</v>
      </c>
      <c r="G624" t="s">
        <v>22</v>
      </c>
      <c r="H624" t="s">
        <v>23</v>
      </c>
      <c r="I624" t="s">
        <v>79</v>
      </c>
      <c r="J624" t="s">
        <v>80</v>
      </c>
      <c r="K624">
        <v>8</v>
      </c>
      <c r="L624" s="2">
        <v>246.36</v>
      </c>
      <c r="M624" s="3">
        <v>0</v>
      </c>
      <c r="N624" s="2">
        <v>1970.88</v>
      </c>
      <c r="O624" s="2">
        <v>1563.2</v>
      </c>
      <c r="P624" s="2">
        <v>407.68</v>
      </c>
      <c r="Q624" t="s">
        <v>34</v>
      </c>
    </row>
    <row r="625" spans="1:17" x14ac:dyDescent="0.2">
      <c r="A625" t="s">
        <v>790</v>
      </c>
      <c r="B625" s="1">
        <v>45728</v>
      </c>
      <c r="C625" t="s">
        <v>43</v>
      </c>
      <c r="D625" t="s">
        <v>51</v>
      </c>
      <c r="E625" t="s">
        <v>59</v>
      </c>
      <c r="F625" t="s">
        <v>21</v>
      </c>
      <c r="G625" t="s">
        <v>22</v>
      </c>
      <c r="H625" t="s">
        <v>23</v>
      </c>
      <c r="I625" t="s">
        <v>24</v>
      </c>
      <c r="J625" t="s">
        <v>220</v>
      </c>
      <c r="K625">
        <v>4</v>
      </c>
      <c r="L625" s="2">
        <v>11.34</v>
      </c>
      <c r="M625" s="3">
        <v>0.2</v>
      </c>
      <c r="N625" s="2">
        <v>36.29</v>
      </c>
      <c r="O625" s="2">
        <v>29.5</v>
      </c>
      <c r="P625" s="2">
        <v>6.79</v>
      </c>
      <c r="Q625" t="s">
        <v>61</v>
      </c>
    </row>
    <row r="626" spans="1:17" x14ac:dyDescent="0.2">
      <c r="A626" t="s">
        <v>791</v>
      </c>
      <c r="B626" s="1">
        <v>45728</v>
      </c>
      <c r="C626" t="s">
        <v>36</v>
      </c>
      <c r="D626" t="s">
        <v>73</v>
      </c>
      <c r="E626" t="s">
        <v>247</v>
      </c>
      <c r="F626" t="s">
        <v>46</v>
      </c>
      <c r="G626" t="s">
        <v>22</v>
      </c>
      <c r="H626" t="s">
        <v>31</v>
      </c>
      <c r="I626" t="s">
        <v>32</v>
      </c>
      <c r="J626" t="s">
        <v>104</v>
      </c>
      <c r="K626">
        <v>7</v>
      </c>
      <c r="L626" s="2">
        <v>913</v>
      </c>
      <c r="M626" s="3">
        <v>0.05</v>
      </c>
      <c r="N626" s="2">
        <v>6071.45</v>
      </c>
      <c r="O626" s="2">
        <v>4460.46</v>
      </c>
      <c r="P626" s="2">
        <v>1610.99</v>
      </c>
      <c r="Q626" t="s">
        <v>57</v>
      </c>
    </row>
    <row r="627" spans="1:17" x14ac:dyDescent="0.2">
      <c r="A627" t="s">
        <v>792</v>
      </c>
      <c r="B627" s="1">
        <v>45728</v>
      </c>
      <c r="C627" t="s">
        <v>18</v>
      </c>
      <c r="D627" t="s">
        <v>152</v>
      </c>
      <c r="E627" t="s">
        <v>166</v>
      </c>
      <c r="F627" t="s">
        <v>30</v>
      </c>
      <c r="G627" t="s">
        <v>22</v>
      </c>
      <c r="H627" t="s">
        <v>23</v>
      </c>
      <c r="I627" t="s">
        <v>24</v>
      </c>
      <c r="J627" t="s">
        <v>220</v>
      </c>
      <c r="K627">
        <v>3</v>
      </c>
      <c r="L627" s="2">
        <v>15.05</v>
      </c>
      <c r="M627" s="3">
        <v>0.05</v>
      </c>
      <c r="N627" s="2">
        <v>42.89</v>
      </c>
      <c r="O627" s="2">
        <v>33.4</v>
      </c>
      <c r="P627" s="2">
        <v>9.49</v>
      </c>
      <c r="Q627" t="s">
        <v>61</v>
      </c>
    </row>
    <row r="628" spans="1:17" x14ac:dyDescent="0.2">
      <c r="A628" t="s">
        <v>793</v>
      </c>
      <c r="B628" s="1">
        <v>45728</v>
      </c>
      <c r="C628" t="s">
        <v>18</v>
      </c>
      <c r="D628" t="s">
        <v>28</v>
      </c>
      <c r="E628" t="s">
        <v>157</v>
      </c>
      <c r="F628" t="s">
        <v>30</v>
      </c>
      <c r="G628" t="s">
        <v>54</v>
      </c>
      <c r="H628" t="s">
        <v>23</v>
      </c>
      <c r="I628" t="s">
        <v>83</v>
      </c>
      <c r="J628" t="s">
        <v>120</v>
      </c>
      <c r="K628">
        <v>5</v>
      </c>
      <c r="L628" s="2">
        <v>17.920000000000002</v>
      </c>
      <c r="M628" s="3">
        <v>0.1</v>
      </c>
      <c r="N628" s="2">
        <v>80.64</v>
      </c>
      <c r="O628" s="2">
        <v>61.41</v>
      </c>
      <c r="P628" s="2">
        <v>19.23</v>
      </c>
      <c r="Q628" t="s">
        <v>61</v>
      </c>
    </row>
    <row r="629" spans="1:17" x14ac:dyDescent="0.2">
      <c r="A629" t="s">
        <v>794</v>
      </c>
      <c r="B629" s="1">
        <v>45728</v>
      </c>
      <c r="C629" t="s">
        <v>36</v>
      </c>
      <c r="D629" t="s">
        <v>144</v>
      </c>
      <c r="E629" t="s">
        <v>232</v>
      </c>
      <c r="F629" t="s">
        <v>30</v>
      </c>
      <c r="G629" t="s">
        <v>54</v>
      </c>
      <c r="H629" t="s">
        <v>23</v>
      </c>
      <c r="I629" t="s">
        <v>24</v>
      </c>
      <c r="J629" t="s">
        <v>220</v>
      </c>
      <c r="K629">
        <v>1</v>
      </c>
      <c r="L629" s="2">
        <v>9.06</v>
      </c>
      <c r="M629" s="3">
        <v>0</v>
      </c>
      <c r="N629" s="2">
        <v>9.06</v>
      </c>
      <c r="O629" s="2">
        <v>5.27</v>
      </c>
      <c r="P629" s="2">
        <v>3.79</v>
      </c>
      <c r="Q629" t="s">
        <v>34</v>
      </c>
    </row>
    <row r="630" spans="1:17" x14ac:dyDescent="0.2">
      <c r="A630" t="s">
        <v>795</v>
      </c>
      <c r="B630" s="1">
        <v>45728</v>
      </c>
      <c r="C630" t="s">
        <v>77</v>
      </c>
      <c r="D630" t="s">
        <v>78</v>
      </c>
      <c r="E630" t="s">
        <v>261</v>
      </c>
      <c r="F630" t="s">
        <v>60</v>
      </c>
      <c r="G630" t="s">
        <v>22</v>
      </c>
      <c r="H630" t="s">
        <v>31</v>
      </c>
      <c r="I630" t="s">
        <v>112</v>
      </c>
      <c r="J630" t="s">
        <v>136</v>
      </c>
      <c r="K630">
        <v>6</v>
      </c>
      <c r="L630" s="2">
        <v>687.99</v>
      </c>
      <c r="M630" s="3">
        <v>0.15</v>
      </c>
      <c r="N630" s="2">
        <v>3508.75</v>
      </c>
      <c r="O630" s="2">
        <v>2263.9499999999998</v>
      </c>
      <c r="P630" s="2">
        <v>1244.8</v>
      </c>
      <c r="Q630" t="s">
        <v>57</v>
      </c>
    </row>
    <row r="631" spans="1:17" x14ac:dyDescent="0.2">
      <c r="A631" t="s">
        <v>796</v>
      </c>
      <c r="B631" s="1">
        <v>45729</v>
      </c>
      <c r="C631" t="s">
        <v>36</v>
      </c>
      <c r="D631" t="s">
        <v>144</v>
      </c>
      <c r="E631" t="s">
        <v>145</v>
      </c>
      <c r="F631" t="s">
        <v>138</v>
      </c>
      <c r="G631" t="s">
        <v>54</v>
      </c>
      <c r="H631" t="s">
        <v>23</v>
      </c>
      <c r="I631" t="s">
        <v>83</v>
      </c>
      <c r="J631" t="s">
        <v>131</v>
      </c>
      <c r="K631">
        <v>8</v>
      </c>
      <c r="L631" s="2">
        <v>15.74</v>
      </c>
      <c r="M631" s="3">
        <v>0.05</v>
      </c>
      <c r="N631" s="2">
        <v>119.62</v>
      </c>
      <c r="O631" s="2">
        <v>98.06</v>
      </c>
      <c r="P631" s="2">
        <v>21.56</v>
      </c>
      <c r="Q631" t="s">
        <v>26</v>
      </c>
    </row>
    <row r="632" spans="1:17" x14ac:dyDescent="0.2">
      <c r="A632" t="s">
        <v>797</v>
      </c>
      <c r="B632" s="1">
        <v>45729</v>
      </c>
      <c r="C632" t="s">
        <v>77</v>
      </c>
      <c r="D632" t="s">
        <v>149</v>
      </c>
      <c r="E632" t="s">
        <v>206</v>
      </c>
      <c r="F632" t="s">
        <v>53</v>
      </c>
      <c r="G632" t="s">
        <v>22</v>
      </c>
      <c r="H632" t="s">
        <v>47</v>
      </c>
      <c r="I632" t="s">
        <v>141</v>
      </c>
      <c r="J632" t="s">
        <v>201</v>
      </c>
      <c r="K632">
        <v>5</v>
      </c>
      <c r="L632" s="2">
        <v>359.17</v>
      </c>
      <c r="M632" s="3">
        <v>0.05</v>
      </c>
      <c r="N632" s="2">
        <v>1706.06</v>
      </c>
      <c r="O632" s="2">
        <v>1326.62</v>
      </c>
      <c r="P632" s="2">
        <v>379.44</v>
      </c>
      <c r="Q632" t="s">
        <v>57</v>
      </c>
    </row>
    <row r="633" spans="1:17" x14ac:dyDescent="0.2">
      <c r="A633" t="s">
        <v>798</v>
      </c>
      <c r="B633" s="1">
        <v>45729</v>
      </c>
      <c r="C633" t="s">
        <v>36</v>
      </c>
      <c r="D633" t="s">
        <v>144</v>
      </c>
      <c r="E633" t="s">
        <v>145</v>
      </c>
      <c r="F633" t="s">
        <v>60</v>
      </c>
      <c r="G633" t="s">
        <v>54</v>
      </c>
      <c r="H633" t="s">
        <v>47</v>
      </c>
      <c r="I633" t="s">
        <v>141</v>
      </c>
      <c r="J633" t="s">
        <v>372</v>
      </c>
      <c r="K633">
        <v>8</v>
      </c>
      <c r="L633" s="2">
        <v>435.5</v>
      </c>
      <c r="M633" s="3">
        <v>0.05</v>
      </c>
      <c r="N633" s="2">
        <v>3309.8</v>
      </c>
      <c r="O633" s="2">
        <v>2647.17</v>
      </c>
      <c r="P633" s="2">
        <v>662.63</v>
      </c>
      <c r="Q633" t="s">
        <v>61</v>
      </c>
    </row>
    <row r="634" spans="1:17" x14ac:dyDescent="0.2">
      <c r="A634" t="s">
        <v>799</v>
      </c>
      <c r="B634" s="1">
        <v>45729</v>
      </c>
      <c r="C634" t="s">
        <v>43</v>
      </c>
      <c r="D634" t="s">
        <v>208</v>
      </c>
      <c r="E634" t="s">
        <v>230</v>
      </c>
      <c r="F634" t="s">
        <v>69</v>
      </c>
      <c r="G634" t="s">
        <v>22</v>
      </c>
      <c r="H634" t="s">
        <v>47</v>
      </c>
      <c r="I634" t="s">
        <v>141</v>
      </c>
      <c r="J634" t="s">
        <v>372</v>
      </c>
      <c r="K634">
        <v>4</v>
      </c>
      <c r="L634" s="2">
        <v>191.24</v>
      </c>
      <c r="M634" s="3">
        <v>0</v>
      </c>
      <c r="N634" s="2">
        <v>764.96</v>
      </c>
      <c r="O634" s="2">
        <v>604.58000000000004</v>
      </c>
      <c r="P634" s="2">
        <v>160.38</v>
      </c>
      <c r="Q634" t="s">
        <v>61</v>
      </c>
    </row>
    <row r="635" spans="1:17" x14ac:dyDescent="0.2">
      <c r="A635" t="s">
        <v>800</v>
      </c>
      <c r="B635" s="1">
        <v>45729</v>
      </c>
      <c r="C635" t="s">
        <v>18</v>
      </c>
      <c r="D635" t="s">
        <v>152</v>
      </c>
      <c r="E635" t="s">
        <v>166</v>
      </c>
      <c r="F635" t="s">
        <v>69</v>
      </c>
      <c r="G635" t="s">
        <v>54</v>
      </c>
      <c r="H635" t="s">
        <v>47</v>
      </c>
      <c r="I635" t="s">
        <v>97</v>
      </c>
      <c r="J635" t="s">
        <v>98</v>
      </c>
      <c r="K635">
        <v>5</v>
      </c>
      <c r="L635" s="2">
        <v>616.89</v>
      </c>
      <c r="M635" s="3">
        <v>0</v>
      </c>
      <c r="N635" s="2">
        <v>3084.45</v>
      </c>
      <c r="O635" s="2">
        <v>2241.46</v>
      </c>
      <c r="P635" s="2">
        <v>842.99</v>
      </c>
      <c r="Q635" t="s">
        <v>61</v>
      </c>
    </row>
    <row r="636" spans="1:17" x14ac:dyDescent="0.2">
      <c r="A636" t="s">
        <v>801</v>
      </c>
      <c r="B636" s="1">
        <v>45729</v>
      </c>
      <c r="C636" t="s">
        <v>77</v>
      </c>
      <c r="D636" t="s">
        <v>128</v>
      </c>
      <c r="E636" t="s">
        <v>129</v>
      </c>
      <c r="F636" t="s">
        <v>46</v>
      </c>
      <c r="G636" t="s">
        <v>22</v>
      </c>
      <c r="H636" t="s">
        <v>23</v>
      </c>
      <c r="I636" t="s">
        <v>83</v>
      </c>
      <c r="J636" t="s">
        <v>120</v>
      </c>
      <c r="K636">
        <v>6</v>
      </c>
      <c r="L636" s="2">
        <v>24.4</v>
      </c>
      <c r="M636" s="3">
        <v>0.1</v>
      </c>
      <c r="N636" s="2">
        <v>131.76</v>
      </c>
      <c r="O636" s="2">
        <v>92.11</v>
      </c>
      <c r="P636" s="2">
        <v>39.65</v>
      </c>
      <c r="Q636" t="s">
        <v>34</v>
      </c>
    </row>
    <row r="637" spans="1:17" x14ac:dyDescent="0.2">
      <c r="A637" t="s">
        <v>802</v>
      </c>
      <c r="B637" s="1">
        <v>45729</v>
      </c>
      <c r="C637" t="s">
        <v>43</v>
      </c>
      <c r="D637" t="s">
        <v>51</v>
      </c>
      <c r="E637" t="s">
        <v>52</v>
      </c>
      <c r="F637" t="s">
        <v>130</v>
      </c>
      <c r="G637" t="s">
        <v>22</v>
      </c>
      <c r="H637" t="s">
        <v>23</v>
      </c>
      <c r="I637" t="s">
        <v>24</v>
      </c>
      <c r="J637" t="s">
        <v>108</v>
      </c>
      <c r="K637">
        <v>1</v>
      </c>
      <c r="L637" s="2">
        <v>12.41</v>
      </c>
      <c r="M637" s="3">
        <v>0.1</v>
      </c>
      <c r="N637" s="2">
        <v>11.17</v>
      </c>
      <c r="O637" s="2">
        <v>7.34</v>
      </c>
      <c r="P637" s="2">
        <v>3.83</v>
      </c>
      <c r="Q637" t="s">
        <v>26</v>
      </c>
    </row>
    <row r="638" spans="1:17" x14ac:dyDescent="0.2">
      <c r="A638" t="s">
        <v>803</v>
      </c>
      <c r="B638" s="1">
        <v>45729</v>
      </c>
      <c r="C638" t="s">
        <v>77</v>
      </c>
      <c r="D638" t="s">
        <v>149</v>
      </c>
      <c r="E638" t="s">
        <v>309</v>
      </c>
      <c r="F638" t="s">
        <v>71</v>
      </c>
      <c r="G638" t="s">
        <v>75</v>
      </c>
      <c r="H638" t="s">
        <v>23</v>
      </c>
      <c r="I638" t="s">
        <v>55</v>
      </c>
      <c r="J638" t="s">
        <v>173</v>
      </c>
      <c r="K638">
        <v>5</v>
      </c>
      <c r="L638" s="2">
        <v>20.02</v>
      </c>
      <c r="M638" s="3">
        <v>0.1</v>
      </c>
      <c r="N638" s="2">
        <v>90.09</v>
      </c>
      <c r="O638" s="2">
        <v>70.27</v>
      </c>
      <c r="P638" s="2">
        <v>19.82</v>
      </c>
      <c r="Q638" t="s">
        <v>26</v>
      </c>
    </row>
    <row r="639" spans="1:17" x14ac:dyDescent="0.2">
      <c r="A639" t="s">
        <v>804</v>
      </c>
      <c r="B639" s="1">
        <v>45729</v>
      </c>
      <c r="C639" t="s">
        <v>43</v>
      </c>
      <c r="D639" t="s">
        <v>208</v>
      </c>
      <c r="E639" t="s">
        <v>287</v>
      </c>
      <c r="F639" t="s">
        <v>46</v>
      </c>
      <c r="G639" t="s">
        <v>54</v>
      </c>
      <c r="H639" t="s">
        <v>47</v>
      </c>
      <c r="I639" t="s">
        <v>97</v>
      </c>
      <c r="J639" t="s">
        <v>168</v>
      </c>
      <c r="K639">
        <v>2</v>
      </c>
      <c r="L639" s="2">
        <v>346.19</v>
      </c>
      <c r="M639" s="3">
        <v>0</v>
      </c>
      <c r="N639" s="2">
        <v>692.38</v>
      </c>
      <c r="O639" s="2">
        <v>463.43</v>
      </c>
      <c r="P639" s="2">
        <v>228.95</v>
      </c>
      <c r="Q639" t="s">
        <v>57</v>
      </c>
    </row>
    <row r="640" spans="1:17" x14ac:dyDescent="0.2">
      <c r="A640" t="s">
        <v>805</v>
      </c>
      <c r="B640" s="1">
        <v>45729</v>
      </c>
      <c r="C640" t="s">
        <v>18</v>
      </c>
      <c r="D640" t="s">
        <v>19</v>
      </c>
      <c r="E640" t="s">
        <v>118</v>
      </c>
      <c r="F640" t="s">
        <v>69</v>
      </c>
      <c r="G640" t="s">
        <v>22</v>
      </c>
      <c r="H640" t="s">
        <v>31</v>
      </c>
      <c r="I640" t="s">
        <v>32</v>
      </c>
      <c r="J640" t="s">
        <v>104</v>
      </c>
      <c r="K640">
        <v>4</v>
      </c>
      <c r="L640" s="2">
        <v>1262.24</v>
      </c>
      <c r="M640" s="3">
        <v>0.1</v>
      </c>
      <c r="N640" s="2">
        <v>4544.0600000000004</v>
      </c>
      <c r="O640" s="2">
        <v>3306.11</v>
      </c>
      <c r="P640" s="2">
        <v>1237.95</v>
      </c>
      <c r="Q640" t="s">
        <v>57</v>
      </c>
    </row>
    <row r="641" spans="1:17" x14ac:dyDescent="0.2">
      <c r="A641" t="s">
        <v>806</v>
      </c>
      <c r="B641" s="1">
        <v>45729</v>
      </c>
      <c r="C641" t="s">
        <v>36</v>
      </c>
      <c r="D641" t="s">
        <v>37</v>
      </c>
      <c r="E641" t="s">
        <v>38</v>
      </c>
      <c r="F641" t="s">
        <v>30</v>
      </c>
      <c r="G641" t="s">
        <v>75</v>
      </c>
      <c r="H641" t="s">
        <v>47</v>
      </c>
      <c r="I641" t="s">
        <v>89</v>
      </c>
      <c r="J641" t="s">
        <v>90</v>
      </c>
      <c r="K641">
        <v>1</v>
      </c>
      <c r="L641" s="2">
        <v>301.17</v>
      </c>
      <c r="M641" s="3">
        <v>0.05</v>
      </c>
      <c r="N641" s="2">
        <v>286.11</v>
      </c>
      <c r="O641" s="2">
        <v>221.32</v>
      </c>
      <c r="P641" s="2">
        <v>64.790000000000006</v>
      </c>
      <c r="Q641" t="s">
        <v>34</v>
      </c>
    </row>
    <row r="642" spans="1:17" x14ac:dyDescent="0.2">
      <c r="A642" t="s">
        <v>807</v>
      </c>
      <c r="B642" s="1">
        <v>45729</v>
      </c>
      <c r="C642" t="s">
        <v>77</v>
      </c>
      <c r="D642" t="s">
        <v>95</v>
      </c>
      <c r="E642" t="s">
        <v>96</v>
      </c>
      <c r="F642" t="s">
        <v>60</v>
      </c>
      <c r="G642" t="s">
        <v>75</v>
      </c>
      <c r="H642" t="s">
        <v>31</v>
      </c>
      <c r="I642" t="s">
        <v>112</v>
      </c>
      <c r="J642" t="s">
        <v>176</v>
      </c>
      <c r="K642">
        <v>2</v>
      </c>
      <c r="L642" s="2">
        <v>369.6</v>
      </c>
      <c r="M642" s="3">
        <v>0.05</v>
      </c>
      <c r="N642" s="2">
        <v>702.24</v>
      </c>
      <c r="O642" s="2">
        <v>523.64</v>
      </c>
      <c r="P642" s="2">
        <v>178.6</v>
      </c>
      <c r="Q642" t="s">
        <v>34</v>
      </c>
    </row>
    <row r="643" spans="1:17" x14ac:dyDescent="0.2">
      <c r="A643" t="s">
        <v>808</v>
      </c>
      <c r="B643" s="1">
        <v>45729</v>
      </c>
      <c r="C643" t="s">
        <v>43</v>
      </c>
      <c r="D643" t="s">
        <v>161</v>
      </c>
      <c r="E643" t="s">
        <v>172</v>
      </c>
      <c r="F643" t="s">
        <v>39</v>
      </c>
      <c r="G643" t="s">
        <v>54</v>
      </c>
      <c r="H643" t="s">
        <v>31</v>
      </c>
      <c r="I643" t="s">
        <v>40</v>
      </c>
      <c r="J643" t="s">
        <v>122</v>
      </c>
      <c r="K643">
        <v>7</v>
      </c>
      <c r="L643" s="2">
        <v>130.5</v>
      </c>
      <c r="M643" s="3">
        <v>0.05</v>
      </c>
      <c r="N643" s="2">
        <v>867.82</v>
      </c>
      <c r="O643" s="2">
        <v>655.61</v>
      </c>
      <c r="P643" s="2">
        <v>212.21</v>
      </c>
      <c r="Q643" t="s">
        <v>61</v>
      </c>
    </row>
    <row r="644" spans="1:17" x14ac:dyDescent="0.2">
      <c r="A644" t="s">
        <v>809</v>
      </c>
      <c r="B644" s="1">
        <v>45729</v>
      </c>
      <c r="C644" t="s">
        <v>36</v>
      </c>
      <c r="D644" t="s">
        <v>110</v>
      </c>
      <c r="E644" t="s">
        <v>203</v>
      </c>
      <c r="F644" t="s">
        <v>46</v>
      </c>
      <c r="G644" t="s">
        <v>54</v>
      </c>
      <c r="H644" t="s">
        <v>23</v>
      </c>
      <c r="I644" t="s">
        <v>55</v>
      </c>
      <c r="J644" t="s">
        <v>56</v>
      </c>
      <c r="K644">
        <v>6</v>
      </c>
      <c r="L644" s="2">
        <v>17.71</v>
      </c>
      <c r="M644" s="3">
        <v>0.1</v>
      </c>
      <c r="N644" s="2">
        <v>95.63</v>
      </c>
      <c r="O644" s="2">
        <v>57.46</v>
      </c>
      <c r="P644" s="2">
        <v>38.17</v>
      </c>
      <c r="Q644" t="s">
        <v>57</v>
      </c>
    </row>
    <row r="645" spans="1:17" x14ac:dyDescent="0.2">
      <c r="A645" t="s">
        <v>810</v>
      </c>
      <c r="B645" s="1">
        <v>45729</v>
      </c>
      <c r="C645" t="s">
        <v>77</v>
      </c>
      <c r="D645" t="s">
        <v>149</v>
      </c>
      <c r="E645" t="s">
        <v>309</v>
      </c>
      <c r="F645" t="s">
        <v>130</v>
      </c>
      <c r="G645" t="s">
        <v>22</v>
      </c>
      <c r="H645" t="s">
        <v>47</v>
      </c>
      <c r="I645" t="s">
        <v>97</v>
      </c>
      <c r="J645" t="s">
        <v>116</v>
      </c>
      <c r="K645">
        <v>6</v>
      </c>
      <c r="L645" s="2">
        <v>556.9</v>
      </c>
      <c r="M645" s="3">
        <v>0.2</v>
      </c>
      <c r="N645" s="2">
        <v>2673.12</v>
      </c>
      <c r="O645" s="2">
        <v>1987.7</v>
      </c>
      <c r="P645" s="2">
        <v>685.42</v>
      </c>
      <c r="Q645" t="s">
        <v>61</v>
      </c>
    </row>
    <row r="646" spans="1:17" x14ac:dyDescent="0.2">
      <c r="A646" t="s">
        <v>811</v>
      </c>
      <c r="B646" s="1">
        <v>45730</v>
      </c>
      <c r="C646" t="s">
        <v>43</v>
      </c>
      <c r="D646" t="s">
        <v>208</v>
      </c>
      <c r="E646" t="s">
        <v>287</v>
      </c>
      <c r="F646" t="s">
        <v>69</v>
      </c>
      <c r="G646" t="s">
        <v>22</v>
      </c>
      <c r="H646" t="s">
        <v>23</v>
      </c>
      <c r="I646" t="s">
        <v>24</v>
      </c>
      <c r="J646" t="s">
        <v>108</v>
      </c>
      <c r="K646">
        <v>2</v>
      </c>
      <c r="L646" s="2">
        <v>11.34</v>
      </c>
      <c r="M646" s="3">
        <v>0.05</v>
      </c>
      <c r="N646" s="2">
        <v>21.55</v>
      </c>
      <c r="O646" s="2">
        <v>14.86</v>
      </c>
      <c r="P646" s="2">
        <v>6.69</v>
      </c>
      <c r="Q646" t="s">
        <v>61</v>
      </c>
    </row>
    <row r="647" spans="1:17" x14ac:dyDescent="0.2">
      <c r="A647" t="s">
        <v>812</v>
      </c>
      <c r="B647" s="1">
        <v>45730</v>
      </c>
      <c r="C647" t="s">
        <v>36</v>
      </c>
      <c r="D647" t="s">
        <v>73</v>
      </c>
      <c r="E647" t="s">
        <v>247</v>
      </c>
      <c r="F647" t="s">
        <v>53</v>
      </c>
      <c r="G647" t="s">
        <v>75</v>
      </c>
      <c r="H647" t="s">
        <v>23</v>
      </c>
      <c r="I647" t="s">
        <v>79</v>
      </c>
      <c r="J647" t="s">
        <v>233</v>
      </c>
      <c r="K647">
        <v>8</v>
      </c>
      <c r="L647" s="2">
        <v>257.39</v>
      </c>
      <c r="M647" s="3">
        <v>0.1</v>
      </c>
      <c r="N647" s="2">
        <v>1853.21</v>
      </c>
      <c r="O647" s="2">
        <v>1426.54</v>
      </c>
      <c r="P647" s="2">
        <v>426.67</v>
      </c>
      <c r="Q647" t="s">
        <v>61</v>
      </c>
    </row>
    <row r="648" spans="1:17" x14ac:dyDescent="0.2">
      <c r="A648" t="s">
        <v>813</v>
      </c>
      <c r="B648" s="1">
        <v>45730</v>
      </c>
      <c r="C648" t="s">
        <v>77</v>
      </c>
      <c r="D648" t="s">
        <v>128</v>
      </c>
      <c r="E648" t="s">
        <v>129</v>
      </c>
      <c r="F648" t="s">
        <v>60</v>
      </c>
      <c r="G648" t="s">
        <v>22</v>
      </c>
      <c r="H648" t="s">
        <v>23</v>
      </c>
      <c r="I648" t="s">
        <v>55</v>
      </c>
      <c r="J648" t="s">
        <v>56</v>
      </c>
      <c r="K648">
        <v>8</v>
      </c>
      <c r="L648" s="2">
        <v>15.35</v>
      </c>
      <c r="M648" s="3">
        <v>0.05</v>
      </c>
      <c r="N648" s="2">
        <v>116.66</v>
      </c>
      <c r="O648" s="2">
        <v>75.25</v>
      </c>
      <c r="P648" s="2">
        <v>41.41</v>
      </c>
      <c r="Q648" t="s">
        <v>34</v>
      </c>
    </row>
    <row r="649" spans="1:17" x14ac:dyDescent="0.2">
      <c r="A649" t="s">
        <v>814</v>
      </c>
      <c r="B649" s="1">
        <v>45730</v>
      </c>
      <c r="C649" t="s">
        <v>18</v>
      </c>
      <c r="D649" t="s">
        <v>19</v>
      </c>
      <c r="E649" t="s">
        <v>20</v>
      </c>
      <c r="F649" t="s">
        <v>53</v>
      </c>
      <c r="G649" t="s">
        <v>22</v>
      </c>
      <c r="H649" t="s">
        <v>31</v>
      </c>
      <c r="I649" t="s">
        <v>40</v>
      </c>
      <c r="J649" t="s">
        <v>122</v>
      </c>
      <c r="K649">
        <v>5</v>
      </c>
      <c r="L649" s="2">
        <v>148.31</v>
      </c>
      <c r="M649" s="3">
        <v>0</v>
      </c>
      <c r="N649" s="2">
        <v>741.55</v>
      </c>
      <c r="O649" s="2">
        <v>411.54</v>
      </c>
      <c r="P649" s="2">
        <v>330.01</v>
      </c>
      <c r="Q649" t="s">
        <v>26</v>
      </c>
    </row>
    <row r="650" spans="1:17" x14ac:dyDescent="0.2">
      <c r="A650" t="s">
        <v>815</v>
      </c>
      <c r="B650" s="1">
        <v>45730</v>
      </c>
      <c r="C650" t="s">
        <v>18</v>
      </c>
      <c r="D650" t="s">
        <v>133</v>
      </c>
      <c r="E650" t="s">
        <v>197</v>
      </c>
      <c r="F650" t="s">
        <v>60</v>
      </c>
      <c r="G650" t="s">
        <v>22</v>
      </c>
      <c r="H650" t="s">
        <v>31</v>
      </c>
      <c r="I650" t="s">
        <v>32</v>
      </c>
      <c r="J650" t="s">
        <v>258</v>
      </c>
      <c r="K650">
        <v>5</v>
      </c>
      <c r="L650" s="2">
        <v>1432.03</v>
      </c>
      <c r="M650" s="3">
        <v>0</v>
      </c>
      <c r="N650" s="2">
        <v>7160.15</v>
      </c>
      <c r="O650" s="2">
        <v>4407.57</v>
      </c>
      <c r="P650" s="2">
        <v>2752.58</v>
      </c>
      <c r="Q650" t="s">
        <v>61</v>
      </c>
    </row>
    <row r="651" spans="1:17" x14ac:dyDescent="0.2">
      <c r="A651" t="s">
        <v>816</v>
      </c>
      <c r="B651" s="1">
        <v>45730</v>
      </c>
      <c r="C651" t="s">
        <v>36</v>
      </c>
      <c r="D651" t="s">
        <v>73</v>
      </c>
      <c r="E651" t="s">
        <v>212</v>
      </c>
      <c r="F651" t="s">
        <v>60</v>
      </c>
      <c r="G651" t="s">
        <v>22</v>
      </c>
      <c r="H651" t="s">
        <v>47</v>
      </c>
      <c r="I651" t="s">
        <v>97</v>
      </c>
      <c r="J651" t="s">
        <v>116</v>
      </c>
      <c r="K651">
        <v>7</v>
      </c>
      <c r="L651" s="2">
        <v>455.01</v>
      </c>
      <c r="M651" s="3">
        <v>0.2</v>
      </c>
      <c r="N651" s="2">
        <v>2548.06</v>
      </c>
      <c r="O651" s="2">
        <v>1765.88</v>
      </c>
      <c r="P651" s="2">
        <v>782.18</v>
      </c>
      <c r="Q651" t="s">
        <v>61</v>
      </c>
    </row>
    <row r="652" spans="1:17" x14ac:dyDescent="0.2">
      <c r="A652" t="s">
        <v>817</v>
      </c>
      <c r="B652" s="1">
        <v>45730</v>
      </c>
      <c r="C652" t="s">
        <v>43</v>
      </c>
      <c r="D652" t="s">
        <v>161</v>
      </c>
      <c r="E652" t="s">
        <v>172</v>
      </c>
      <c r="F652" t="s">
        <v>130</v>
      </c>
      <c r="G652" t="s">
        <v>22</v>
      </c>
      <c r="H652" t="s">
        <v>31</v>
      </c>
      <c r="I652" t="s">
        <v>64</v>
      </c>
      <c r="J652" t="s">
        <v>65</v>
      </c>
      <c r="K652">
        <v>2</v>
      </c>
      <c r="L652" s="2">
        <v>152.62</v>
      </c>
      <c r="M652" s="3">
        <v>0.1</v>
      </c>
      <c r="N652" s="2">
        <v>274.72000000000003</v>
      </c>
      <c r="O652" s="2">
        <v>202.25</v>
      </c>
      <c r="P652" s="2">
        <v>72.47</v>
      </c>
      <c r="Q652" t="s">
        <v>57</v>
      </c>
    </row>
    <row r="653" spans="1:17" x14ac:dyDescent="0.2">
      <c r="A653" t="s">
        <v>818</v>
      </c>
      <c r="B653" s="1">
        <v>45730</v>
      </c>
      <c r="C653" t="s">
        <v>77</v>
      </c>
      <c r="D653" t="s">
        <v>78</v>
      </c>
      <c r="E653" t="s">
        <v>52</v>
      </c>
      <c r="F653" t="s">
        <v>53</v>
      </c>
      <c r="G653" t="s">
        <v>54</v>
      </c>
      <c r="H653" t="s">
        <v>23</v>
      </c>
      <c r="I653" t="s">
        <v>24</v>
      </c>
      <c r="J653" t="s">
        <v>220</v>
      </c>
      <c r="K653">
        <v>2</v>
      </c>
      <c r="L653" s="2">
        <v>25.11</v>
      </c>
      <c r="M653" s="3">
        <v>0</v>
      </c>
      <c r="N653" s="2">
        <v>50.22</v>
      </c>
      <c r="O653" s="2">
        <v>31.95</v>
      </c>
      <c r="P653" s="2">
        <v>18.27</v>
      </c>
      <c r="Q653" t="s">
        <v>26</v>
      </c>
    </row>
    <row r="654" spans="1:17" x14ac:dyDescent="0.2">
      <c r="A654" t="s">
        <v>819</v>
      </c>
      <c r="B654" s="1">
        <v>45730</v>
      </c>
      <c r="C654" t="s">
        <v>43</v>
      </c>
      <c r="D654" t="s">
        <v>161</v>
      </c>
      <c r="E654" t="s">
        <v>418</v>
      </c>
      <c r="F654" t="s">
        <v>138</v>
      </c>
      <c r="G654" t="s">
        <v>75</v>
      </c>
      <c r="H654" t="s">
        <v>31</v>
      </c>
      <c r="I654" t="s">
        <v>40</v>
      </c>
      <c r="J654" t="s">
        <v>216</v>
      </c>
      <c r="K654">
        <v>2</v>
      </c>
      <c r="L654" s="2">
        <v>230.86</v>
      </c>
      <c r="M654" s="3">
        <v>0.1</v>
      </c>
      <c r="N654" s="2">
        <v>415.55</v>
      </c>
      <c r="O654" s="2">
        <v>279.35000000000002</v>
      </c>
      <c r="P654" s="2">
        <v>136.19999999999999</v>
      </c>
      <c r="Q654" t="s">
        <v>61</v>
      </c>
    </row>
    <row r="655" spans="1:17" x14ac:dyDescent="0.2">
      <c r="A655" t="s">
        <v>820</v>
      </c>
      <c r="B655" s="1">
        <v>45730</v>
      </c>
      <c r="C655" t="s">
        <v>43</v>
      </c>
      <c r="D655" t="s">
        <v>244</v>
      </c>
      <c r="E655" t="s">
        <v>245</v>
      </c>
      <c r="F655" t="s">
        <v>21</v>
      </c>
      <c r="G655" t="s">
        <v>22</v>
      </c>
      <c r="H655" t="s">
        <v>47</v>
      </c>
      <c r="I655" t="s">
        <v>97</v>
      </c>
      <c r="J655" t="s">
        <v>116</v>
      </c>
      <c r="K655">
        <v>2</v>
      </c>
      <c r="L655" s="2">
        <v>692.95</v>
      </c>
      <c r="M655" s="3">
        <v>0.05</v>
      </c>
      <c r="N655" s="2">
        <v>1316.6</v>
      </c>
      <c r="O655" s="2">
        <v>849.09</v>
      </c>
      <c r="P655" s="2">
        <v>467.51</v>
      </c>
      <c r="Q655" t="s">
        <v>57</v>
      </c>
    </row>
    <row r="656" spans="1:17" x14ac:dyDescent="0.2">
      <c r="A656" t="s">
        <v>821</v>
      </c>
      <c r="B656" s="1">
        <v>45730</v>
      </c>
      <c r="C656" t="s">
        <v>36</v>
      </c>
      <c r="D656" t="s">
        <v>144</v>
      </c>
      <c r="E656" t="s">
        <v>232</v>
      </c>
      <c r="F656" t="s">
        <v>30</v>
      </c>
      <c r="G656" t="s">
        <v>22</v>
      </c>
      <c r="H656" t="s">
        <v>23</v>
      </c>
      <c r="I656" t="s">
        <v>24</v>
      </c>
      <c r="J656" t="s">
        <v>108</v>
      </c>
      <c r="K656">
        <v>8</v>
      </c>
      <c r="L656" s="2">
        <v>17.63</v>
      </c>
      <c r="M656" s="3">
        <v>0</v>
      </c>
      <c r="N656" s="2">
        <v>141.04</v>
      </c>
      <c r="O656" s="2">
        <v>95.66</v>
      </c>
      <c r="P656" s="2">
        <v>45.38</v>
      </c>
      <c r="Q656" t="s">
        <v>61</v>
      </c>
    </row>
    <row r="657" spans="1:17" x14ac:dyDescent="0.2">
      <c r="A657" t="s">
        <v>822</v>
      </c>
      <c r="B657" s="1">
        <v>45731</v>
      </c>
      <c r="C657" t="s">
        <v>18</v>
      </c>
      <c r="D657" t="s">
        <v>152</v>
      </c>
      <c r="E657" t="s">
        <v>185</v>
      </c>
      <c r="F657" t="s">
        <v>138</v>
      </c>
      <c r="G657" t="s">
        <v>75</v>
      </c>
      <c r="H657" t="s">
        <v>31</v>
      </c>
      <c r="I657" t="s">
        <v>32</v>
      </c>
      <c r="J657" t="s">
        <v>258</v>
      </c>
      <c r="K657">
        <v>10</v>
      </c>
      <c r="L657" s="2">
        <v>1461.27</v>
      </c>
      <c r="M657" s="3">
        <v>0</v>
      </c>
      <c r="N657" s="2">
        <v>14612.7</v>
      </c>
      <c r="O657" s="2">
        <v>9788.74</v>
      </c>
      <c r="P657" s="2">
        <v>4823.96</v>
      </c>
      <c r="Q657" t="s">
        <v>34</v>
      </c>
    </row>
    <row r="658" spans="1:17" x14ac:dyDescent="0.2">
      <c r="A658" t="s">
        <v>823</v>
      </c>
      <c r="B658" s="1">
        <v>45731</v>
      </c>
      <c r="C658" t="s">
        <v>77</v>
      </c>
      <c r="D658" t="s">
        <v>128</v>
      </c>
      <c r="E658" t="s">
        <v>155</v>
      </c>
      <c r="F658" t="s">
        <v>21</v>
      </c>
      <c r="G658" t="s">
        <v>75</v>
      </c>
      <c r="H658" t="s">
        <v>47</v>
      </c>
      <c r="I658" t="s">
        <v>48</v>
      </c>
      <c r="J658" t="s">
        <v>164</v>
      </c>
      <c r="K658">
        <v>9</v>
      </c>
      <c r="L658" s="2">
        <v>346.41</v>
      </c>
      <c r="M658" s="3">
        <v>0.05</v>
      </c>
      <c r="N658" s="2">
        <v>2961.81</v>
      </c>
      <c r="O658" s="2">
        <v>1911.3</v>
      </c>
      <c r="P658" s="2">
        <v>1050.51</v>
      </c>
      <c r="Q658" t="s">
        <v>57</v>
      </c>
    </row>
    <row r="659" spans="1:17" x14ac:dyDescent="0.2">
      <c r="A659" t="s">
        <v>824</v>
      </c>
      <c r="B659" s="1">
        <v>45731</v>
      </c>
      <c r="C659" t="s">
        <v>43</v>
      </c>
      <c r="D659" t="s">
        <v>208</v>
      </c>
      <c r="E659" t="s">
        <v>287</v>
      </c>
      <c r="F659" t="s">
        <v>69</v>
      </c>
      <c r="G659" t="s">
        <v>75</v>
      </c>
      <c r="H659" t="s">
        <v>23</v>
      </c>
      <c r="I659" t="s">
        <v>79</v>
      </c>
      <c r="J659" t="s">
        <v>233</v>
      </c>
      <c r="K659">
        <v>1</v>
      </c>
      <c r="L659" s="2">
        <v>415.34</v>
      </c>
      <c r="M659" s="3">
        <v>0</v>
      </c>
      <c r="N659" s="2">
        <v>415.34</v>
      </c>
      <c r="O659" s="2">
        <v>318.88</v>
      </c>
      <c r="P659" s="2">
        <v>96.46</v>
      </c>
      <c r="Q659" t="s">
        <v>26</v>
      </c>
    </row>
    <row r="660" spans="1:17" x14ac:dyDescent="0.2">
      <c r="A660" t="s">
        <v>825</v>
      </c>
      <c r="B660" s="1">
        <v>45731</v>
      </c>
      <c r="C660" t="s">
        <v>77</v>
      </c>
      <c r="D660" t="s">
        <v>78</v>
      </c>
      <c r="E660" t="s">
        <v>261</v>
      </c>
      <c r="F660" t="s">
        <v>130</v>
      </c>
      <c r="G660" t="s">
        <v>54</v>
      </c>
      <c r="H660" t="s">
        <v>23</v>
      </c>
      <c r="I660" t="s">
        <v>79</v>
      </c>
      <c r="J660" t="s">
        <v>80</v>
      </c>
      <c r="K660">
        <v>7</v>
      </c>
      <c r="L660" s="2">
        <v>496.29</v>
      </c>
      <c r="M660" s="3">
        <v>0</v>
      </c>
      <c r="N660" s="2">
        <v>3474.03</v>
      </c>
      <c r="O660" s="2">
        <v>2097.7600000000002</v>
      </c>
      <c r="P660" s="2">
        <v>1376.27</v>
      </c>
      <c r="Q660" t="s">
        <v>57</v>
      </c>
    </row>
    <row r="661" spans="1:17" x14ac:dyDescent="0.2">
      <c r="A661" t="s">
        <v>826</v>
      </c>
      <c r="B661" s="1">
        <v>45731</v>
      </c>
      <c r="C661" t="s">
        <v>43</v>
      </c>
      <c r="D661" t="s">
        <v>244</v>
      </c>
      <c r="E661" t="s">
        <v>245</v>
      </c>
      <c r="F661" t="s">
        <v>30</v>
      </c>
      <c r="G661" t="s">
        <v>75</v>
      </c>
      <c r="H661" t="s">
        <v>47</v>
      </c>
      <c r="I661" t="s">
        <v>48</v>
      </c>
      <c r="J661" t="s">
        <v>93</v>
      </c>
      <c r="K661">
        <v>1</v>
      </c>
      <c r="L661" s="2">
        <v>707.36</v>
      </c>
      <c r="M661" s="3">
        <v>0.05</v>
      </c>
      <c r="N661" s="2">
        <v>671.99</v>
      </c>
      <c r="O661" s="2">
        <v>497.68</v>
      </c>
      <c r="P661" s="2">
        <v>174.31</v>
      </c>
      <c r="Q661" t="s">
        <v>57</v>
      </c>
    </row>
    <row r="662" spans="1:17" x14ac:dyDescent="0.2">
      <c r="A662" t="s">
        <v>827</v>
      </c>
      <c r="B662" s="1">
        <v>45731</v>
      </c>
      <c r="C662" t="s">
        <v>77</v>
      </c>
      <c r="D662" t="s">
        <v>95</v>
      </c>
      <c r="E662" t="s">
        <v>367</v>
      </c>
      <c r="F662" t="s">
        <v>39</v>
      </c>
      <c r="G662" t="s">
        <v>22</v>
      </c>
      <c r="H662" t="s">
        <v>23</v>
      </c>
      <c r="I662" t="s">
        <v>79</v>
      </c>
      <c r="J662" t="s">
        <v>80</v>
      </c>
      <c r="K662">
        <v>1</v>
      </c>
      <c r="L662" s="2">
        <v>524.14</v>
      </c>
      <c r="M662" s="3">
        <v>0.1</v>
      </c>
      <c r="N662" s="2">
        <v>471.73</v>
      </c>
      <c r="O662" s="2">
        <v>345.72</v>
      </c>
      <c r="P662" s="2">
        <v>126.01</v>
      </c>
      <c r="Q662" t="s">
        <v>61</v>
      </c>
    </row>
    <row r="663" spans="1:17" x14ac:dyDescent="0.2">
      <c r="A663" t="s">
        <v>828</v>
      </c>
      <c r="B663" s="1">
        <v>45731</v>
      </c>
      <c r="C663" t="s">
        <v>36</v>
      </c>
      <c r="D663" t="s">
        <v>73</v>
      </c>
      <c r="E663" t="s">
        <v>212</v>
      </c>
      <c r="F663" t="s">
        <v>130</v>
      </c>
      <c r="G663" t="s">
        <v>22</v>
      </c>
      <c r="H663" t="s">
        <v>23</v>
      </c>
      <c r="I663" t="s">
        <v>83</v>
      </c>
      <c r="J663" t="s">
        <v>120</v>
      </c>
      <c r="K663">
        <v>7</v>
      </c>
      <c r="L663" s="2">
        <v>25.22</v>
      </c>
      <c r="M663" s="3">
        <v>0.1</v>
      </c>
      <c r="N663" s="2">
        <v>158.88999999999999</v>
      </c>
      <c r="O663" s="2">
        <v>95.52</v>
      </c>
      <c r="P663" s="2">
        <v>63.37</v>
      </c>
      <c r="Q663" t="s">
        <v>34</v>
      </c>
    </row>
    <row r="664" spans="1:17" x14ac:dyDescent="0.2">
      <c r="A664" t="s">
        <v>829</v>
      </c>
      <c r="B664" s="1">
        <v>45731</v>
      </c>
      <c r="C664" t="s">
        <v>43</v>
      </c>
      <c r="D664" t="s">
        <v>244</v>
      </c>
      <c r="E664" t="s">
        <v>326</v>
      </c>
      <c r="F664" t="s">
        <v>130</v>
      </c>
      <c r="G664" t="s">
        <v>22</v>
      </c>
      <c r="H664" t="s">
        <v>23</v>
      </c>
      <c r="I664" t="s">
        <v>79</v>
      </c>
      <c r="J664" t="s">
        <v>179</v>
      </c>
      <c r="K664">
        <v>6</v>
      </c>
      <c r="L664" s="2">
        <v>328.53</v>
      </c>
      <c r="M664" s="3">
        <v>0</v>
      </c>
      <c r="N664" s="2">
        <v>1971.18</v>
      </c>
      <c r="O664" s="2">
        <v>1097.81</v>
      </c>
      <c r="P664" s="2">
        <v>873.37</v>
      </c>
      <c r="Q664" t="s">
        <v>61</v>
      </c>
    </row>
    <row r="665" spans="1:17" x14ac:dyDescent="0.2">
      <c r="A665" t="s">
        <v>830</v>
      </c>
      <c r="B665" s="1">
        <v>45731</v>
      </c>
      <c r="C665" t="s">
        <v>18</v>
      </c>
      <c r="D665" t="s">
        <v>86</v>
      </c>
      <c r="E665" t="s">
        <v>140</v>
      </c>
      <c r="F665" t="s">
        <v>60</v>
      </c>
      <c r="G665" t="s">
        <v>54</v>
      </c>
      <c r="H665" t="s">
        <v>31</v>
      </c>
      <c r="I665" t="s">
        <v>40</v>
      </c>
      <c r="J665" t="s">
        <v>41</v>
      </c>
      <c r="K665">
        <v>8</v>
      </c>
      <c r="L665" s="2">
        <v>170.91</v>
      </c>
      <c r="M665" s="3">
        <v>0</v>
      </c>
      <c r="N665" s="2">
        <v>1367.28</v>
      </c>
      <c r="O665" s="2">
        <v>954.17</v>
      </c>
      <c r="P665" s="2">
        <v>413.11</v>
      </c>
      <c r="Q665" t="s">
        <v>61</v>
      </c>
    </row>
    <row r="666" spans="1:17" x14ac:dyDescent="0.2">
      <c r="A666" t="s">
        <v>831</v>
      </c>
      <c r="B666" s="1">
        <v>45732</v>
      </c>
      <c r="C666" t="s">
        <v>43</v>
      </c>
      <c r="D666" t="s">
        <v>44</v>
      </c>
      <c r="E666" t="s">
        <v>45</v>
      </c>
      <c r="F666" t="s">
        <v>60</v>
      </c>
      <c r="G666" t="s">
        <v>54</v>
      </c>
      <c r="H666" t="s">
        <v>31</v>
      </c>
      <c r="I666" t="s">
        <v>112</v>
      </c>
      <c r="J666" t="s">
        <v>113</v>
      </c>
      <c r="K666">
        <v>1</v>
      </c>
      <c r="L666" s="2">
        <v>453.98</v>
      </c>
      <c r="M666" s="3">
        <v>0</v>
      </c>
      <c r="N666" s="2">
        <v>453.98</v>
      </c>
      <c r="O666" s="2">
        <v>326.26</v>
      </c>
      <c r="P666" s="2">
        <v>127.72</v>
      </c>
      <c r="Q666" t="s">
        <v>61</v>
      </c>
    </row>
    <row r="667" spans="1:17" x14ac:dyDescent="0.2">
      <c r="A667" t="s">
        <v>832</v>
      </c>
      <c r="B667" s="1">
        <v>45732</v>
      </c>
      <c r="C667" t="s">
        <v>18</v>
      </c>
      <c r="D667" t="s">
        <v>28</v>
      </c>
      <c r="E667" t="s">
        <v>157</v>
      </c>
      <c r="F667" t="s">
        <v>138</v>
      </c>
      <c r="G667" t="s">
        <v>22</v>
      </c>
      <c r="H667" t="s">
        <v>31</v>
      </c>
      <c r="I667" t="s">
        <v>64</v>
      </c>
      <c r="J667" t="s">
        <v>126</v>
      </c>
      <c r="K667">
        <v>9</v>
      </c>
      <c r="L667" s="2">
        <v>123.53</v>
      </c>
      <c r="M667" s="3">
        <v>0.1</v>
      </c>
      <c r="N667" s="2">
        <v>1000.59</v>
      </c>
      <c r="O667" s="2">
        <v>553.38</v>
      </c>
      <c r="P667" s="2">
        <v>447.21</v>
      </c>
      <c r="Q667" t="s">
        <v>61</v>
      </c>
    </row>
    <row r="668" spans="1:17" x14ac:dyDescent="0.2">
      <c r="A668" t="s">
        <v>833</v>
      </c>
      <c r="B668" s="1">
        <v>45732</v>
      </c>
      <c r="C668" t="s">
        <v>77</v>
      </c>
      <c r="D668" t="s">
        <v>95</v>
      </c>
      <c r="E668" t="s">
        <v>300</v>
      </c>
      <c r="F668" t="s">
        <v>21</v>
      </c>
      <c r="G668" t="s">
        <v>54</v>
      </c>
      <c r="H668" t="s">
        <v>31</v>
      </c>
      <c r="I668" t="s">
        <v>64</v>
      </c>
      <c r="J668" t="s">
        <v>126</v>
      </c>
      <c r="K668">
        <v>8</v>
      </c>
      <c r="L668" s="2">
        <v>82.03</v>
      </c>
      <c r="M668" s="3">
        <v>0.1</v>
      </c>
      <c r="N668" s="2">
        <v>590.62</v>
      </c>
      <c r="O668" s="2">
        <v>476.87</v>
      </c>
      <c r="P668" s="2">
        <v>113.75</v>
      </c>
      <c r="Q668" t="s">
        <v>26</v>
      </c>
    </row>
    <row r="669" spans="1:17" x14ac:dyDescent="0.2">
      <c r="A669" t="s">
        <v>834</v>
      </c>
      <c r="B669" s="1">
        <v>45732</v>
      </c>
      <c r="C669" t="s">
        <v>36</v>
      </c>
      <c r="D669" t="s">
        <v>67</v>
      </c>
      <c r="E669" t="s">
        <v>68</v>
      </c>
      <c r="F669" t="s">
        <v>39</v>
      </c>
      <c r="G669" t="s">
        <v>22</v>
      </c>
      <c r="H669" t="s">
        <v>31</v>
      </c>
      <c r="I669" t="s">
        <v>112</v>
      </c>
      <c r="J669" t="s">
        <v>113</v>
      </c>
      <c r="K669">
        <v>3</v>
      </c>
      <c r="L669" s="2">
        <v>250.38</v>
      </c>
      <c r="M669" s="3">
        <v>0.15</v>
      </c>
      <c r="N669" s="2">
        <v>638.47</v>
      </c>
      <c r="O669" s="2">
        <v>476.98</v>
      </c>
      <c r="P669" s="2">
        <v>161.49</v>
      </c>
      <c r="Q669" t="s">
        <v>57</v>
      </c>
    </row>
    <row r="670" spans="1:17" x14ac:dyDescent="0.2">
      <c r="A670" t="s">
        <v>835</v>
      </c>
      <c r="B670" s="1">
        <v>45732</v>
      </c>
      <c r="C670" t="s">
        <v>18</v>
      </c>
      <c r="D670" t="s">
        <v>133</v>
      </c>
      <c r="E670" t="s">
        <v>134</v>
      </c>
      <c r="F670" t="s">
        <v>21</v>
      </c>
      <c r="G670" t="s">
        <v>75</v>
      </c>
      <c r="H670" t="s">
        <v>31</v>
      </c>
      <c r="I670" t="s">
        <v>64</v>
      </c>
      <c r="J670" t="s">
        <v>126</v>
      </c>
      <c r="K670">
        <v>10</v>
      </c>
      <c r="L670" s="2">
        <v>97.03</v>
      </c>
      <c r="M670" s="3">
        <v>0.15</v>
      </c>
      <c r="N670" s="2">
        <v>824.76</v>
      </c>
      <c r="O670" s="2">
        <v>517.19000000000005</v>
      </c>
      <c r="P670" s="2">
        <v>307.57</v>
      </c>
      <c r="Q670" t="s">
        <v>57</v>
      </c>
    </row>
    <row r="671" spans="1:17" x14ac:dyDescent="0.2">
      <c r="A671" t="s">
        <v>836</v>
      </c>
      <c r="B671" s="1">
        <v>45733</v>
      </c>
      <c r="C671" t="s">
        <v>18</v>
      </c>
      <c r="D671" t="s">
        <v>28</v>
      </c>
      <c r="E671" t="s">
        <v>157</v>
      </c>
      <c r="F671" t="s">
        <v>46</v>
      </c>
      <c r="G671" t="s">
        <v>75</v>
      </c>
      <c r="H671" t="s">
        <v>31</v>
      </c>
      <c r="I671" t="s">
        <v>64</v>
      </c>
      <c r="J671" t="s">
        <v>65</v>
      </c>
      <c r="K671">
        <v>4</v>
      </c>
      <c r="L671" s="2">
        <v>43.14</v>
      </c>
      <c r="M671" s="3">
        <v>0.15</v>
      </c>
      <c r="N671" s="2">
        <v>146.68</v>
      </c>
      <c r="O671" s="2">
        <v>106.13</v>
      </c>
      <c r="P671" s="2">
        <v>40.549999999999997</v>
      </c>
      <c r="Q671" t="s">
        <v>61</v>
      </c>
    </row>
    <row r="672" spans="1:17" x14ac:dyDescent="0.2">
      <c r="A672" t="s">
        <v>837</v>
      </c>
      <c r="B672" s="1">
        <v>45733</v>
      </c>
      <c r="C672" t="s">
        <v>18</v>
      </c>
      <c r="D672" t="s">
        <v>86</v>
      </c>
      <c r="E672" t="s">
        <v>140</v>
      </c>
      <c r="F672" t="s">
        <v>46</v>
      </c>
      <c r="G672" t="s">
        <v>22</v>
      </c>
      <c r="H672" t="s">
        <v>23</v>
      </c>
      <c r="I672" t="s">
        <v>79</v>
      </c>
      <c r="J672" t="s">
        <v>179</v>
      </c>
      <c r="K672">
        <v>1</v>
      </c>
      <c r="L672" s="2">
        <v>561.9</v>
      </c>
      <c r="M672" s="3">
        <v>0.1</v>
      </c>
      <c r="N672" s="2">
        <v>505.71</v>
      </c>
      <c r="O672" s="2">
        <v>408.49</v>
      </c>
      <c r="P672" s="2">
        <v>97.22</v>
      </c>
      <c r="Q672" t="s">
        <v>61</v>
      </c>
    </row>
    <row r="673" spans="1:17" x14ac:dyDescent="0.2">
      <c r="A673" t="s">
        <v>838</v>
      </c>
      <c r="B673" s="1">
        <v>45733</v>
      </c>
      <c r="C673" t="s">
        <v>18</v>
      </c>
      <c r="D673" t="s">
        <v>86</v>
      </c>
      <c r="E673" t="s">
        <v>87</v>
      </c>
      <c r="F673" t="s">
        <v>71</v>
      </c>
      <c r="G673" t="s">
        <v>22</v>
      </c>
      <c r="H673" t="s">
        <v>31</v>
      </c>
      <c r="I673" t="s">
        <v>64</v>
      </c>
      <c r="J673" t="s">
        <v>252</v>
      </c>
      <c r="K673">
        <v>5</v>
      </c>
      <c r="L673" s="2">
        <v>66.05</v>
      </c>
      <c r="M673" s="3">
        <v>0.05</v>
      </c>
      <c r="N673" s="2">
        <v>313.74</v>
      </c>
      <c r="O673" s="2">
        <v>198.74</v>
      </c>
      <c r="P673" s="2">
        <v>115</v>
      </c>
      <c r="Q673" t="s">
        <v>61</v>
      </c>
    </row>
    <row r="674" spans="1:17" x14ac:dyDescent="0.2">
      <c r="A674" t="s">
        <v>839</v>
      </c>
      <c r="B674" s="1">
        <v>45733</v>
      </c>
      <c r="C674" t="s">
        <v>43</v>
      </c>
      <c r="D674" t="s">
        <v>208</v>
      </c>
      <c r="E674" t="s">
        <v>230</v>
      </c>
      <c r="F674" t="s">
        <v>46</v>
      </c>
      <c r="G674" t="s">
        <v>22</v>
      </c>
      <c r="H674" t="s">
        <v>23</v>
      </c>
      <c r="I674" t="s">
        <v>55</v>
      </c>
      <c r="J674" t="s">
        <v>173</v>
      </c>
      <c r="K674">
        <v>1</v>
      </c>
      <c r="L674" s="2">
        <v>16.600000000000001</v>
      </c>
      <c r="M674" s="3">
        <v>0</v>
      </c>
      <c r="N674" s="2">
        <v>16.600000000000001</v>
      </c>
      <c r="O674" s="2">
        <v>12.45</v>
      </c>
      <c r="P674" s="2">
        <v>4.1500000000000004</v>
      </c>
      <c r="Q674" t="s">
        <v>57</v>
      </c>
    </row>
    <row r="675" spans="1:17" x14ac:dyDescent="0.2">
      <c r="A675" t="s">
        <v>840</v>
      </c>
      <c r="B675" s="1">
        <v>45733</v>
      </c>
      <c r="C675" t="s">
        <v>43</v>
      </c>
      <c r="D675" t="s">
        <v>51</v>
      </c>
      <c r="E675" t="s">
        <v>52</v>
      </c>
      <c r="F675" t="s">
        <v>60</v>
      </c>
      <c r="G675" t="s">
        <v>75</v>
      </c>
      <c r="H675" t="s">
        <v>31</v>
      </c>
      <c r="I675" t="s">
        <v>64</v>
      </c>
      <c r="J675" t="s">
        <v>126</v>
      </c>
      <c r="K675">
        <v>5</v>
      </c>
      <c r="L675" s="2">
        <v>149.31</v>
      </c>
      <c r="M675" s="3">
        <v>0.05</v>
      </c>
      <c r="N675" s="2">
        <v>709.22</v>
      </c>
      <c r="O675" s="2">
        <v>406.38</v>
      </c>
      <c r="P675" s="2">
        <v>302.83999999999997</v>
      </c>
      <c r="Q675" t="s">
        <v>26</v>
      </c>
    </row>
    <row r="676" spans="1:17" x14ac:dyDescent="0.2">
      <c r="A676" t="s">
        <v>841</v>
      </c>
      <c r="B676" s="1">
        <v>45733</v>
      </c>
      <c r="C676" t="s">
        <v>43</v>
      </c>
      <c r="D676" t="s">
        <v>244</v>
      </c>
      <c r="E676" t="s">
        <v>326</v>
      </c>
      <c r="F676" t="s">
        <v>53</v>
      </c>
      <c r="G676" t="s">
        <v>75</v>
      </c>
      <c r="H676" t="s">
        <v>47</v>
      </c>
      <c r="I676" t="s">
        <v>89</v>
      </c>
      <c r="J676" t="s">
        <v>90</v>
      </c>
      <c r="K676">
        <v>9</v>
      </c>
      <c r="L676" s="2">
        <v>294.08999999999997</v>
      </c>
      <c r="M676" s="3">
        <v>0.1</v>
      </c>
      <c r="N676" s="2">
        <v>2382.13</v>
      </c>
      <c r="O676" s="2">
        <v>1824.29</v>
      </c>
      <c r="P676" s="2">
        <v>557.84</v>
      </c>
      <c r="Q676" t="s">
        <v>26</v>
      </c>
    </row>
    <row r="677" spans="1:17" x14ac:dyDescent="0.2">
      <c r="A677" t="s">
        <v>842</v>
      </c>
      <c r="B677" s="1">
        <v>45733</v>
      </c>
      <c r="C677" t="s">
        <v>77</v>
      </c>
      <c r="D677" t="s">
        <v>95</v>
      </c>
      <c r="E677" t="s">
        <v>300</v>
      </c>
      <c r="F677" t="s">
        <v>71</v>
      </c>
      <c r="G677" t="s">
        <v>75</v>
      </c>
      <c r="H677" t="s">
        <v>31</v>
      </c>
      <c r="I677" t="s">
        <v>64</v>
      </c>
      <c r="J677" t="s">
        <v>252</v>
      </c>
      <c r="K677">
        <v>2</v>
      </c>
      <c r="L677" s="2">
        <v>30.05</v>
      </c>
      <c r="M677" s="3">
        <v>0.1</v>
      </c>
      <c r="N677" s="2">
        <v>54.09</v>
      </c>
      <c r="O677" s="2">
        <v>34.630000000000003</v>
      </c>
      <c r="P677" s="2">
        <v>19.46</v>
      </c>
      <c r="Q677" t="s">
        <v>57</v>
      </c>
    </row>
    <row r="678" spans="1:17" x14ac:dyDescent="0.2">
      <c r="A678" t="s">
        <v>843</v>
      </c>
      <c r="B678" s="1">
        <v>45733</v>
      </c>
      <c r="C678" t="s">
        <v>36</v>
      </c>
      <c r="D678" t="s">
        <v>37</v>
      </c>
      <c r="E678" t="s">
        <v>187</v>
      </c>
      <c r="F678" t="s">
        <v>138</v>
      </c>
      <c r="G678" t="s">
        <v>22</v>
      </c>
      <c r="H678" t="s">
        <v>31</v>
      </c>
      <c r="I678" t="s">
        <v>32</v>
      </c>
      <c r="J678" t="s">
        <v>33</v>
      </c>
      <c r="K678">
        <v>8</v>
      </c>
      <c r="L678" s="2">
        <v>1064.47</v>
      </c>
      <c r="M678" s="3">
        <v>0</v>
      </c>
      <c r="N678" s="2">
        <v>8515.76</v>
      </c>
      <c r="O678" s="2">
        <v>6074.34</v>
      </c>
      <c r="P678" s="2">
        <v>2441.42</v>
      </c>
      <c r="Q678" t="s">
        <v>26</v>
      </c>
    </row>
    <row r="679" spans="1:17" x14ac:dyDescent="0.2">
      <c r="A679" t="s">
        <v>844</v>
      </c>
      <c r="B679" s="1">
        <v>45733</v>
      </c>
      <c r="C679" t="s">
        <v>77</v>
      </c>
      <c r="D679" t="s">
        <v>106</v>
      </c>
      <c r="E679" t="s">
        <v>107</v>
      </c>
      <c r="F679" t="s">
        <v>130</v>
      </c>
      <c r="G679" t="s">
        <v>22</v>
      </c>
      <c r="H679" t="s">
        <v>47</v>
      </c>
      <c r="I679" t="s">
        <v>141</v>
      </c>
      <c r="J679" t="s">
        <v>372</v>
      </c>
      <c r="K679">
        <v>4</v>
      </c>
      <c r="L679" s="2">
        <v>190.18</v>
      </c>
      <c r="M679" s="3">
        <v>0.05</v>
      </c>
      <c r="N679" s="2">
        <v>722.68</v>
      </c>
      <c r="O679" s="2">
        <v>495.66</v>
      </c>
      <c r="P679" s="2">
        <v>227.02</v>
      </c>
      <c r="Q679" t="s">
        <v>26</v>
      </c>
    </row>
    <row r="680" spans="1:17" x14ac:dyDescent="0.2">
      <c r="A680" t="s">
        <v>845</v>
      </c>
      <c r="B680" s="1">
        <v>45734</v>
      </c>
      <c r="C680" t="s">
        <v>43</v>
      </c>
      <c r="D680" t="s">
        <v>44</v>
      </c>
      <c r="E680" t="s">
        <v>147</v>
      </c>
      <c r="F680" t="s">
        <v>21</v>
      </c>
      <c r="G680" t="s">
        <v>75</v>
      </c>
      <c r="H680" t="s">
        <v>47</v>
      </c>
      <c r="I680" t="s">
        <v>141</v>
      </c>
      <c r="J680" t="s">
        <v>142</v>
      </c>
      <c r="K680">
        <v>8</v>
      </c>
      <c r="L680" s="2">
        <v>280.48</v>
      </c>
      <c r="M680" s="3">
        <v>0.15</v>
      </c>
      <c r="N680" s="2">
        <v>1907.26</v>
      </c>
      <c r="O680" s="2">
        <v>1209.22</v>
      </c>
      <c r="P680" s="2">
        <v>698.04</v>
      </c>
      <c r="Q680" t="s">
        <v>61</v>
      </c>
    </row>
    <row r="681" spans="1:17" x14ac:dyDescent="0.2">
      <c r="A681" t="s">
        <v>846</v>
      </c>
      <c r="B681" s="1">
        <v>45734</v>
      </c>
      <c r="C681" t="s">
        <v>36</v>
      </c>
      <c r="D681" t="s">
        <v>73</v>
      </c>
      <c r="E681" t="s">
        <v>74</v>
      </c>
      <c r="F681" t="s">
        <v>46</v>
      </c>
      <c r="G681" t="s">
        <v>22</v>
      </c>
      <c r="H681" t="s">
        <v>31</v>
      </c>
      <c r="I681" t="s">
        <v>32</v>
      </c>
      <c r="J681" t="s">
        <v>33</v>
      </c>
      <c r="K681">
        <v>1</v>
      </c>
      <c r="L681" s="2">
        <v>1381.61</v>
      </c>
      <c r="M681" s="3">
        <v>0.1</v>
      </c>
      <c r="N681" s="2">
        <v>1243.45</v>
      </c>
      <c r="O681" s="2">
        <v>861.51</v>
      </c>
      <c r="P681" s="2">
        <v>381.94</v>
      </c>
      <c r="Q681" t="s">
        <v>61</v>
      </c>
    </row>
    <row r="682" spans="1:17" x14ac:dyDescent="0.2">
      <c r="A682" t="s">
        <v>847</v>
      </c>
      <c r="B682" s="1">
        <v>45734</v>
      </c>
      <c r="C682" t="s">
        <v>43</v>
      </c>
      <c r="D682" t="s">
        <v>51</v>
      </c>
      <c r="E682" t="s">
        <v>59</v>
      </c>
      <c r="F682" t="s">
        <v>30</v>
      </c>
      <c r="G682" t="s">
        <v>54</v>
      </c>
      <c r="H682" t="s">
        <v>23</v>
      </c>
      <c r="I682" t="s">
        <v>24</v>
      </c>
      <c r="J682" t="s">
        <v>108</v>
      </c>
      <c r="K682">
        <v>3</v>
      </c>
      <c r="L682" s="2">
        <v>15.02</v>
      </c>
      <c r="M682" s="3">
        <v>0.05</v>
      </c>
      <c r="N682" s="2">
        <v>42.81</v>
      </c>
      <c r="O682" s="2">
        <v>31.31</v>
      </c>
      <c r="P682" s="2">
        <v>11.5</v>
      </c>
      <c r="Q682" t="s">
        <v>61</v>
      </c>
    </row>
    <row r="683" spans="1:17" x14ac:dyDescent="0.2">
      <c r="A683" t="s">
        <v>848</v>
      </c>
      <c r="B683" s="1">
        <v>45734</v>
      </c>
      <c r="C683" t="s">
        <v>36</v>
      </c>
      <c r="D683" t="s">
        <v>73</v>
      </c>
      <c r="E683" t="s">
        <v>74</v>
      </c>
      <c r="F683" t="s">
        <v>69</v>
      </c>
      <c r="G683" t="s">
        <v>22</v>
      </c>
      <c r="H683" t="s">
        <v>23</v>
      </c>
      <c r="I683" t="s">
        <v>24</v>
      </c>
      <c r="J683" t="s">
        <v>25</v>
      </c>
      <c r="K683">
        <v>5</v>
      </c>
      <c r="L683" s="2">
        <v>29.73</v>
      </c>
      <c r="M683" s="3">
        <v>0.1</v>
      </c>
      <c r="N683" s="2">
        <v>133.78</v>
      </c>
      <c r="O683" s="2">
        <v>90.71</v>
      </c>
      <c r="P683" s="2">
        <v>43.07</v>
      </c>
      <c r="Q683" t="s">
        <v>57</v>
      </c>
    </row>
    <row r="684" spans="1:17" x14ac:dyDescent="0.2">
      <c r="A684" t="s">
        <v>849</v>
      </c>
      <c r="B684" s="1">
        <v>45734</v>
      </c>
      <c r="C684" t="s">
        <v>77</v>
      </c>
      <c r="D684" t="s">
        <v>106</v>
      </c>
      <c r="E684" t="s">
        <v>236</v>
      </c>
      <c r="F684" t="s">
        <v>69</v>
      </c>
      <c r="G684" t="s">
        <v>75</v>
      </c>
      <c r="H684" t="s">
        <v>23</v>
      </c>
      <c r="I684" t="s">
        <v>83</v>
      </c>
      <c r="J684" t="s">
        <v>120</v>
      </c>
      <c r="K684">
        <v>7</v>
      </c>
      <c r="L684" s="2">
        <v>14.73</v>
      </c>
      <c r="M684" s="3">
        <v>0.1</v>
      </c>
      <c r="N684" s="2">
        <v>92.8</v>
      </c>
      <c r="O684" s="2">
        <v>57.98</v>
      </c>
      <c r="P684" s="2">
        <v>34.82</v>
      </c>
      <c r="Q684" t="s">
        <v>34</v>
      </c>
    </row>
    <row r="685" spans="1:17" x14ac:dyDescent="0.2">
      <c r="A685" t="s">
        <v>850</v>
      </c>
      <c r="B685" s="1">
        <v>45734</v>
      </c>
      <c r="C685" t="s">
        <v>36</v>
      </c>
      <c r="D685" t="s">
        <v>110</v>
      </c>
      <c r="E685" t="s">
        <v>111</v>
      </c>
      <c r="F685" t="s">
        <v>130</v>
      </c>
      <c r="G685" t="s">
        <v>54</v>
      </c>
      <c r="H685" t="s">
        <v>31</v>
      </c>
      <c r="I685" t="s">
        <v>32</v>
      </c>
      <c r="J685" t="s">
        <v>104</v>
      </c>
      <c r="K685">
        <v>8</v>
      </c>
      <c r="L685" s="2">
        <v>1331.54</v>
      </c>
      <c r="M685" s="3">
        <v>0.1</v>
      </c>
      <c r="N685" s="2">
        <v>9587.09</v>
      </c>
      <c r="O685" s="2">
        <v>6828.35</v>
      </c>
      <c r="P685" s="2">
        <v>2758.74</v>
      </c>
      <c r="Q685" t="s">
        <v>26</v>
      </c>
    </row>
    <row r="686" spans="1:17" x14ac:dyDescent="0.2">
      <c r="A686" t="s">
        <v>851</v>
      </c>
      <c r="B686" s="1">
        <v>45734</v>
      </c>
      <c r="C686" t="s">
        <v>18</v>
      </c>
      <c r="D686" t="s">
        <v>152</v>
      </c>
      <c r="E686" t="s">
        <v>185</v>
      </c>
      <c r="F686" t="s">
        <v>46</v>
      </c>
      <c r="G686" t="s">
        <v>54</v>
      </c>
      <c r="H686" t="s">
        <v>23</v>
      </c>
      <c r="I686" t="s">
        <v>55</v>
      </c>
      <c r="J686" t="s">
        <v>173</v>
      </c>
      <c r="K686">
        <v>1</v>
      </c>
      <c r="L686" s="2">
        <v>13.65</v>
      </c>
      <c r="M686" s="3">
        <v>0.15</v>
      </c>
      <c r="N686" s="2">
        <v>11.6</v>
      </c>
      <c r="O686" s="2">
        <v>6.48</v>
      </c>
      <c r="P686" s="2">
        <v>5.12</v>
      </c>
      <c r="Q686" t="s">
        <v>61</v>
      </c>
    </row>
    <row r="687" spans="1:17" x14ac:dyDescent="0.2">
      <c r="A687" t="s">
        <v>852</v>
      </c>
      <c r="B687" s="1">
        <v>45734</v>
      </c>
      <c r="C687" t="s">
        <v>77</v>
      </c>
      <c r="D687" t="s">
        <v>149</v>
      </c>
      <c r="E687" t="s">
        <v>150</v>
      </c>
      <c r="F687" t="s">
        <v>30</v>
      </c>
      <c r="G687" t="s">
        <v>75</v>
      </c>
      <c r="H687" t="s">
        <v>47</v>
      </c>
      <c r="I687" t="s">
        <v>97</v>
      </c>
      <c r="J687" t="s">
        <v>168</v>
      </c>
      <c r="K687">
        <v>8</v>
      </c>
      <c r="L687" s="2">
        <v>162.25</v>
      </c>
      <c r="M687" s="3">
        <v>0.15</v>
      </c>
      <c r="N687" s="2">
        <v>1103.3</v>
      </c>
      <c r="O687" s="2">
        <v>662.53</v>
      </c>
      <c r="P687" s="2">
        <v>440.77</v>
      </c>
      <c r="Q687" t="s">
        <v>57</v>
      </c>
    </row>
    <row r="688" spans="1:17" x14ac:dyDescent="0.2">
      <c r="A688" t="s">
        <v>853</v>
      </c>
      <c r="B688" s="1">
        <v>45734</v>
      </c>
      <c r="C688" t="s">
        <v>36</v>
      </c>
      <c r="D688" t="s">
        <v>67</v>
      </c>
      <c r="E688" t="s">
        <v>270</v>
      </c>
      <c r="F688" t="s">
        <v>138</v>
      </c>
      <c r="G688" t="s">
        <v>75</v>
      </c>
      <c r="H688" t="s">
        <v>47</v>
      </c>
      <c r="I688" t="s">
        <v>48</v>
      </c>
      <c r="J688" t="s">
        <v>49</v>
      </c>
      <c r="K688">
        <v>3</v>
      </c>
      <c r="L688" s="2">
        <v>268.77</v>
      </c>
      <c r="M688" s="3">
        <v>0.1</v>
      </c>
      <c r="N688" s="2">
        <v>725.68</v>
      </c>
      <c r="O688" s="2">
        <v>549.44000000000005</v>
      </c>
      <c r="P688" s="2">
        <v>176.24</v>
      </c>
      <c r="Q688" t="s">
        <v>26</v>
      </c>
    </row>
    <row r="689" spans="1:17" x14ac:dyDescent="0.2">
      <c r="A689" t="s">
        <v>854</v>
      </c>
      <c r="B689" s="1">
        <v>45734</v>
      </c>
      <c r="C689" t="s">
        <v>36</v>
      </c>
      <c r="D689" t="s">
        <v>67</v>
      </c>
      <c r="E689" t="s">
        <v>68</v>
      </c>
      <c r="F689" t="s">
        <v>130</v>
      </c>
      <c r="G689" t="s">
        <v>22</v>
      </c>
      <c r="H689" t="s">
        <v>47</v>
      </c>
      <c r="I689" t="s">
        <v>48</v>
      </c>
      <c r="J689" t="s">
        <v>164</v>
      </c>
      <c r="K689">
        <v>3</v>
      </c>
      <c r="L689" s="2">
        <v>712.06</v>
      </c>
      <c r="M689" s="3">
        <v>0.15</v>
      </c>
      <c r="N689" s="2">
        <v>1815.75</v>
      </c>
      <c r="O689" s="2">
        <v>1406.3</v>
      </c>
      <c r="P689" s="2">
        <v>409.45</v>
      </c>
      <c r="Q689" t="s">
        <v>34</v>
      </c>
    </row>
    <row r="690" spans="1:17" x14ac:dyDescent="0.2">
      <c r="A690" t="s">
        <v>855</v>
      </c>
      <c r="B690" s="1">
        <v>45735</v>
      </c>
      <c r="C690" t="s">
        <v>36</v>
      </c>
      <c r="D690" t="s">
        <v>37</v>
      </c>
      <c r="E690" t="s">
        <v>255</v>
      </c>
      <c r="F690" t="s">
        <v>130</v>
      </c>
      <c r="G690" t="s">
        <v>54</v>
      </c>
      <c r="H690" t="s">
        <v>31</v>
      </c>
      <c r="I690" t="s">
        <v>40</v>
      </c>
      <c r="J690" t="s">
        <v>122</v>
      </c>
      <c r="K690">
        <v>5</v>
      </c>
      <c r="L690" s="2">
        <v>182.32</v>
      </c>
      <c r="M690" s="3">
        <v>0</v>
      </c>
      <c r="N690" s="2">
        <v>911.6</v>
      </c>
      <c r="O690" s="2">
        <v>526.84</v>
      </c>
      <c r="P690" s="2">
        <v>384.76</v>
      </c>
      <c r="Q690" t="s">
        <v>26</v>
      </c>
    </row>
    <row r="691" spans="1:17" x14ac:dyDescent="0.2">
      <c r="A691" t="s">
        <v>856</v>
      </c>
      <c r="B691" s="1">
        <v>45735</v>
      </c>
      <c r="C691" t="s">
        <v>36</v>
      </c>
      <c r="D691" t="s">
        <v>73</v>
      </c>
      <c r="E691" t="s">
        <v>212</v>
      </c>
      <c r="F691" t="s">
        <v>53</v>
      </c>
      <c r="G691" t="s">
        <v>22</v>
      </c>
      <c r="H691" t="s">
        <v>31</v>
      </c>
      <c r="I691" t="s">
        <v>32</v>
      </c>
      <c r="J691" t="s">
        <v>258</v>
      </c>
      <c r="K691">
        <v>7</v>
      </c>
      <c r="L691" s="2">
        <v>1370.1</v>
      </c>
      <c r="M691" s="3">
        <v>0.15</v>
      </c>
      <c r="N691" s="2">
        <v>8152.09</v>
      </c>
      <c r="O691" s="2">
        <v>4650.84</v>
      </c>
      <c r="P691" s="2">
        <v>3501.25</v>
      </c>
      <c r="Q691" t="s">
        <v>26</v>
      </c>
    </row>
    <row r="692" spans="1:17" x14ac:dyDescent="0.2">
      <c r="A692" t="s">
        <v>857</v>
      </c>
      <c r="B692" s="1">
        <v>45735</v>
      </c>
      <c r="C692" t="s">
        <v>36</v>
      </c>
      <c r="D692" t="s">
        <v>144</v>
      </c>
      <c r="E692" t="s">
        <v>214</v>
      </c>
      <c r="F692" t="s">
        <v>71</v>
      </c>
      <c r="G692" t="s">
        <v>22</v>
      </c>
      <c r="H692" t="s">
        <v>23</v>
      </c>
      <c r="I692" t="s">
        <v>79</v>
      </c>
      <c r="J692" t="s">
        <v>233</v>
      </c>
      <c r="K692">
        <v>9</v>
      </c>
      <c r="L692" s="2">
        <v>279.7</v>
      </c>
      <c r="M692" s="3">
        <v>0.15</v>
      </c>
      <c r="N692" s="2">
        <v>2139.6999999999998</v>
      </c>
      <c r="O692" s="2">
        <v>1460.06</v>
      </c>
      <c r="P692" s="2">
        <v>679.64</v>
      </c>
      <c r="Q692" t="s">
        <v>26</v>
      </c>
    </row>
    <row r="693" spans="1:17" x14ac:dyDescent="0.2">
      <c r="A693" t="s">
        <v>858</v>
      </c>
      <c r="B693" s="1">
        <v>45735</v>
      </c>
      <c r="C693" t="s">
        <v>77</v>
      </c>
      <c r="D693" t="s">
        <v>78</v>
      </c>
      <c r="E693" t="s">
        <v>295</v>
      </c>
      <c r="F693" t="s">
        <v>71</v>
      </c>
      <c r="G693" t="s">
        <v>22</v>
      </c>
      <c r="H693" t="s">
        <v>23</v>
      </c>
      <c r="I693" t="s">
        <v>79</v>
      </c>
      <c r="J693" t="s">
        <v>179</v>
      </c>
      <c r="K693">
        <v>1</v>
      </c>
      <c r="L693" s="2">
        <v>121.28</v>
      </c>
      <c r="M693" s="3">
        <v>0.05</v>
      </c>
      <c r="N693" s="2">
        <v>115.22</v>
      </c>
      <c r="O693" s="2">
        <v>89.66</v>
      </c>
      <c r="P693" s="2">
        <v>25.56</v>
      </c>
      <c r="Q693" t="s">
        <v>34</v>
      </c>
    </row>
    <row r="694" spans="1:17" x14ac:dyDescent="0.2">
      <c r="A694" t="s">
        <v>859</v>
      </c>
      <c r="B694" s="1">
        <v>45735</v>
      </c>
      <c r="C694" t="s">
        <v>36</v>
      </c>
      <c r="D694" t="s">
        <v>110</v>
      </c>
      <c r="E694" t="s">
        <v>115</v>
      </c>
      <c r="F694" t="s">
        <v>30</v>
      </c>
      <c r="G694" t="s">
        <v>22</v>
      </c>
      <c r="H694" t="s">
        <v>31</v>
      </c>
      <c r="I694" t="s">
        <v>32</v>
      </c>
      <c r="J694" t="s">
        <v>258</v>
      </c>
      <c r="K694">
        <v>6</v>
      </c>
      <c r="L694" s="2">
        <v>657.48</v>
      </c>
      <c r="M694" s="3">
        <v>0.1</v>
      </c>
      <c r="N694" s="2">
        <v>3550.39</v>
      </c>
      <c r="O694" s="2">
        <v>2397.1999999999998</v>
      </c>
      <c r="P694" s="2">
        <v>1153.19</v>
      </c>
      <c r="Q694" t="s">
        <v>34</v>
      </c>
    </row>
    <row r="695" spans="1:17" x14ac:dyDescent="0.2">
      <c r="A695" t="s">
        <v>860</v>
      </c>
      <c r="B695" s="1">
        <v>45735</v>
      </c>
      <c r="C695" t="s">
        <v>18</v>
      </c>
      <c r="D695" t="s">
        <v>152</v>
      </c>
      <c r="E695" t="s">
        <v>185</v>
      </c>
      <c r="F695" t="s">
        <v>130</v>
      </c>
      <c r="G695" t="s">
        <v>22</v>
      </c>
      <c r="H695" t="s">
        <v>47</v>
      </c>
      <c r="I695" t="s">
        <v>141</v>
      </c>
      <c r="J695" t="s">
        <v>201</v>
      </c>
      <c r="K695">
        <v>9</v>
      </c>
      <c r="L695" s="2">
        <v>525.83000000000004</v>
      </c>
      <c r="M695" s="3">
        <v>0.05</v>
      </c>
      <c r="N695" s="2">
        <v>4495.8500000000004</v>
      </c>
      <c r="O695" s="2">
        <v>3522.66</v>
      </c>
      <c r="P695" s="2">
        <v>973.19</v>
      </c>
      <c r="Q695" t="s">
        <v>26</v>
      </c>
    </row>
    <row r="696" spans="1:17" x14ac:dyDescent="0.2">
      <c r="A696" t="s">
        <v>861</v>
      </c>
      <c r="B696" s="1">
        <v>45735</v>
      </c>
      <c r="C696" t="s">
        <v>36</v>
      </c>
      <c r="D696" t="s">
        <v>73</v>
      </c>
      <c r="E696" t="s">
        <v>74</v>
      </c>
      <c r="F696" t="s">
        <v>71</v>
      </c>
      <c r="G696" t="s">
        <v>54</v>
      </c>
      <c r="H696" t="s">
        <v>31</v>
      </c>
      <c r="I696" t="s">
        <v>64</v>
      </c>
      <c r="J696" t="s">
        <v>65</v>
      </c>
      <c r="K696">
        <v>1</v>
      </c>
      <c r="L696" s="2">
        <v>167.26</v>
      </c>
      <c r="M696" s="3">
        <v>0</v>
      </c>
      <c r="N696" s="2">
        <v>167.26</v>
      </c>
      <c r="O696" s="2">
        <v>93.38</v>
      </c>
      <c r="P696" s="2">
        <v>73.88</v>
      </c>
      <c r="Q696" t="s">
        <v>34</v>
      </c>
    </row>
    <row r="697" spans="1:17" x14ac:dyDescent="0.2">
      <c r="A697" t="s">
        <v>862</v>
      </c>
      <c r="B697" s="1">
        <v>45735</v>
      </c>
      <c r="C697" t="s">
        <v>77</v>
      </c>
      <c r="D697" t="s">
        <v>78</v>
      </c>
      <c r="E697" t="s">
        <v>295</v>
      </c>
      <c r="F697" t="s">
        <v>30</v>
      </c>
      <c r="G697" t="s">
        <v>75</v>
      </c>
      <c r="H697" t="s">
        <v>31</v>
      </c>
      <c r="I697" t="s">
        <v>64</v>
      </c>
      <c r="J697" t="s">
        <v>252</v>
      </c>
      <c r="K697">
        <v>5</v>
      </c>
      <c r="L697" s="2">
        <v>111.94</v>
      </c>
      <c r="M697" s="3">
        <v>0</v>
      </c>
      <c r="N697" s="2">
        <v>559.70000000000005</v>
      </c>
      <c r="O697" s="2">
        <v>433.96</v>
      </c>
      <c r="P697" s="2">
        <v>125.74</v>
      </c>
      <c r="Q697" t="s">
        <v>26</v>
      </c>
    </row>
    <row r="698" spans="1:17" x14ac:dyDescent="0.2">
      <c r="A698" t="s">
        <v>863</v>
      </c>
      <c r="B698" s="1">
        <v>45735</v>
      </c>
      <c r="C698" t="s">
        <v>77</v>
      </c>
      <c r="D698" t="s">
        <v>128</v>
      </c>
      <c r="E698" t="s">
        <v>159</v>
      </c>
      <c r="F698" t="s">
        <v>53</v>
      </c>
      <c r="G698" t="s">
        <v>75</v>
      </c>
      <c r="H698" t="s">
        <v>23</v>
      </c>
      <c r="I698" t="s">
        <v>55</v>
      </c>
      <c r="J698" t="s">
        <v>173</v>
      </c>
      <c r="K698">
        <v>1</v>
      </c>
      <c r="L698" s="2">
        <v>23.74</v>
      </c>
      <c r="M698" s="3">
        <v>0.15</v>
      </c>
      <c r="N698" s="2">
        <v>20.18</v>
      </c>
      <c r="O698" s="2">
        <v>12.12</v>
      </c>
      <c r="P698" s="2">
        <v>8.06</v>
      </c>
      <c r="Q698" t="s">
        <v>57</v>
      </c>
    </row>
    <row r="699" spans="1:17" x14ac:dyDescent="0.2">
      <c r="A699" t="s">
        <v>864</v>
      </c>
      <c r="B699" s="1">
        <v>45735</v>
      </c>
      <c r="C699" t="s">
        <v>18</v>
      </c>
      <c r="D699" t="s">
        <v>86</v>
      </c>
      <c r="E699" t="s">
        <v>140</v>
      </c>
      <c r="F699" t="s">
        <v>138</v>
      </c>
      <c r="G699" t="s">
        <v>22</v>
      </c>
      <c r="H699" t="s">
        <v>23</v>
      </c>
      <c r="I699" t="s">
        <v>24</v>
      </c>
      <c r="J699" t="s">
        <v>25</v>
      </c>
      <c r="K699">
        <v>5</v>
      </c>
      <c r="L699" s="2">
        <v>29.18</v>
      </c>
      <c r="M699" s="3">
        <v>0.1</v>
      </c>
      <c r="N699" s="2">
        <v>131.31</v>
      </c>
      <c r="O699" s="2">
        <v>80.17</v>
      </c>
      <c r="P699" s="2">
        <v>51.14</v>
      </c>
      <c r="Q699" t="s">
        <v>57</v>
      </c>
    </row>
    <row r="700" spans="1:17" x14ac:dyDescent="0.2">
      <c r="A700" t="s">
        <v>865</v>
      </c>
      <c r="B700" s="1">
        <v>45735</v>
      </c>
      <c r="C700" t="s">
        <v>43</v>
      </c>
      <c r="D700" t="s">
        <v>244</v>
      </c>
      <c r="E700" t="s">
        <v>300</v>
      </c>
      <c r="F700" t="s">
        <v>39</v>
      </c>
      <c r="G700" t="s">
        <v>22</v>
      </c>
      <c r="H700" t="s">
        <v>31</v>
      </c>
      <c r="I700" t="s">
        <v>112</v>
      </c>
      <c r="J700" t="s">
        <v>113</v>
      </c>
      <c r="K700">
        <v>9</v>
      </c>
      <c r="L700" s="2">
        <v>283.74</v>
      </c>
      <c r="M700" s="3">
        <v>0.1</v>
      </c>
      <c r="N700" s="2">
        <v>2298.29</v>
      </c>
      <c r="O700" s="2">
        <v>1769.65</v>
      </c>
      <c r="P700" s="2">
        <v>528.64</v>
      </c>
      <c r="Q700" t="s">
        <v>61</v>
      </c>
    </row>
    <row r="701" spans="1:17" x14ac:dyDescent="0.2">
      <c r="A701" t="s">
        <v>866</v>
      </c>
      <c r="B701" s="1">
        <v>45735</v>
      </c>
      <c r="C701" t="s">
        <v>18</v>
      </c>
      <c r="D701" t="s">
        <v>133</v>
      </c>
      <c r="E701" t="s">
        <v>197</v>
      </c>
      <c r="F701" t="s">
        <v>30</v>
      </c>
      <c r="G701" t="s">
        <v>22</v>
      </c>
      <c r="H701" t="s">
        <v>23</v>
      </c>
      <c r="I701" t="s">
        <v>55</v>
      </c>
      <c r="J701" t="s">
        <v>102</v>
      </c>
      <c r="K701">
        <v>6</v>
      </c>
      <c r="L701" s="2">
        <v>19.64</v>
      </c>
      <c r="M701" s="3">
        <v>0</v>
      </c>
      <c r="N701" s="2">
        <v>117.84</v>
      </c>
      <c r="O701" s="2">
        <v>92.14</v>
      </c>
      <c r="P701" s="2">
        <v>25.7</v>
      </c>
      <c r="Q701" t="s">
        <v>61</v>
      </c>
    </row>
    <row r="702" spans="1:17" x14ac:dyDescent="0.2">
      <c r="A702" t="s">
        <v>867</v>
      </c>
      <c r="B702" s="1">
        <v>45736</v>
      </c>
      <c r="C702" t="s">
        <v>36</v>
      </c>
      <c r="D702" t="s">
        <v>67</v>
      </c>
      <c r="E702" t="s">
        <v>323</v>
      </c>
      <c r="F702" t="s">
        <v>71</v>
      </c>
      <c r="G702" t="s">
        <v>54</v>
      </c>
      <c r="H702" t="s">
        <v>47</v>
      </c>
      <c r="I702" t="s">
        <v>48</v>
      </c>
      <c r="J702" t="s">
        <v>164</v>
      </c>
      <c r="K702">
        <v>8</v>
      </c>
      <c r="L702" s="2">
        <v>773.69</v>
      </c>
      <c r="M702" s="3">
        <v>0</v>
      </c>
      <c r="N702" s="2">
        <v>6189.52</v>
      </c>
      <c r="O702" s="2">
        <v>4053.94</v>
      </c>
      <c r="P702" s="2">
        <v>2135.58</v>
      </c>
      <c r="Q702" t="s">
        <v>57</v>
      </c>
    </row>
    <row r="703" spans="1:17" x14ac:dyDescent="0.2">
      <c r="A703" t="s">
        <v>868</v>
      </c>
      <c r="B703" s="1">
        <v>45736</v>
      </c>
      <c r="C703" t="s">
        <v>36</v>
      </c>
      <c r="D703" t="s">
        <v>110</v>
      </c>
      <c r="E703" t="s">
        <v>115</v>
      </c>
      <c r="F703" t="s">
        <v>39</v>
      </c>
      <c r="G703" t="s">
        <v>75</v>
      </c>
      <c r="H703" t="s">
        <v>47</v>
      </c>
      <c r="I703" t="s">
        <v>141</v>
      </c>
      <c r="J703" t="s">
        <v>142</v>
      </c>
      <c r="K703">
        <v>3</v>
      </c>
      <c r="L703" s="2">
        <v>658.19</v>
      </c>
      <c r="M703" s="3">
        <v>0.1</v>
      </c>
      <c r="N703" s="2">
        <v>1777.11</v>
      </c>
      <c r="O703" s="2">
        <v>1434.94</v>
      </c>
      <c r="P703" s="2">
        <v>342.17</v>
      </c>
      <c r="Q703" t="s">
        <v>57</v>
      </c>
    </row>
    <row r="704" spans="1:17" x14ac:dyDescent="0.2">
      <c r="A704" t="s">
        <v>869</v>
      </c>
      <c r="B704" s="1">
        <v>45736</v>
      </c>
      <c r="C704" t="s">
        <v>77</v>
      </c>
      <c r="D704" t="s">
        <v>128</v>
      </c>
      <c r="E704" t="s">
        <v>159</v>
      </c>
      <c r="F704" t="s">
        <v>69</v>
      </c>
      <c r="G704" t="s">
        <v>22</v>
      </c>
      <c r="H704" t="s">
        <v>23</v>
      </c>
      <c r="I704" t="s">
        <v>79</v>
      </c>
      <c r="J704" t="s">
        <v>179</v>
      </c>
      <c r="K704">
        <v>9</v>
      </c>
      <c r="L704" s="2">
        <v>153.09</v>
      </c>
      <c r="M704" s="3">
        <v>0</v>
      </c>
      <c r="N704" s="2">
        <v>1377.81</v>
      </c>
      <c r="O704" s="2">
        <v>835.63</v>
      </c>
      <c r="P704" s="2">
        <v>542.17999999999995</v>
      </c>
      <c r="Q704" t="s">
        <v>34</v>
      </c>
    </row>
    <row r="705" spans="1:17" x14ac:dyDescent="0.2">
      <c r="A705" t="s">
        <v>870</v>
      </c>
      <c r="B705" s="1">
        <v>45736</v>
      </c>
      <c r="C705" t="s">
        <v>36</v>
      </c>
      <c r="D705" t="s">
        <v>110</v>
      </c>
      <c r="E705" t="s">
        <v>111</v>
      </c>
      <c r="F705" t="s">
        <v>138</v>
      </c>
      <c r="G705" t="s">
        <v>54</v>
      </c>
      <c r="H705" t="s">
        <v>23</v>
      </c>
      <c r="I705" t="s">
        <v>83</v>
      </c>
      <c r="J705" t="s">
        <v>120</v>
      </c>
      <c r="K705">
        <v>9</v>
      </c>
      <c r="L705" s="2">
        <v>31.87</v>
      </c>
      <c r="M705" s="3">
        <v>0.1</v>
      </c>
      <c r="N705" s="2">
        <v>258.14999999999998</v>
      </c>
      <c r="O705" s="2">
        <v>195.07</v>
      </c>
      <c r="P705" s="2">
        <v>63.08</v>
      </c>
      <c r="Q705" t="s">
        <v>57</v>
      </c>
    </row>
    <row r="706" spans="1:17" x14ac:dyDescent="0.2">
      <c r="A706" t="s">
        <v>871</v>
      </c>
      <c r="B706" s="1">
        <v>45737</v>
      </c>
      <c r="C706" t="s">
        <v>77</v>
      </c>
      <c r="D706" t="s">
        <v>128</v>
      </c>
      <c r="E706" t="s">
        <v>155</v>
      </c>
      <c r="F706" t="s">
        <v>69</v>
      </c>
      <c r="G706" t="s">
        <v>22</v>
      </c>
      <c r="H706" t="s">
        <v>23</v>
      </c>
      <c r="I706" t="s">
        <v>83</v>
      </c>
      <c r="J706" t="s">
        <v>84</v>
      </c>
      <c r="K706">
        <v>1</v>
      </c>
      <c r="L706" s="2">
        <v>26.2</v>
      </c>
      <c r="M706" s="3">
        <v>0.2</v>
      </c>
      <c r="N706" s="2">
        <v>20.96</v>
      </c>
      <c r="O706" s="2">
        <v>13.07</v>
      </c>
      <c r="P706" s="2">
        <v>7.89</v>
      </c>
      <c r="Q706" t="s">
        <v>26</v>
      </c>
    </row>
    <row r="707" spans="1:17" x14ac:dyDescent="0.2">
      <c r="A707" t="s">
        <v>872</v>
      </c>
      <c r="B707" s="1">
        <v>45737</v>
      </c>
      <c r="C707" t="s">
        <v>18</v>
      </c>
      <c r="D707" t="s">
        <v>19</v>
      </c>
      <c r="E707" t="s">
        <v>20</v>
      </c>
      <c r="F707" t="s">
        <v>138</v>
      </c>
      <c r="G707" t="s">
        <v>75</v>
      </c>
      <c r="H707" t="s">
        <v>23</v>
      </c>
      <c r="I707" t="s">
        <v>83</v>
      </c>
      <c r="J707" t="s">
        <v>120</v>
      </c>
      <c r="K707">
        <v>8</v>
      </c>
      <c r="L707" s="2">
        <v>26.91</v>
      </c>
      <c r="M707" s="3">
        <v>0.1</v>
      </c>
      <c r="N707" s="2">
        <v>193.75</v>
      </c>
      <c r="O707" s="2">
        <v>114.77</v>
      </c>
      <c r="P707" s="2">
        <v>78.98</v>
      </c>
      <c r="Q707" t="s">
        <v>57</v>
      </c>
    </row>
    <row r="708" spans="1:17" x14ac:dyDescent="0.2">
      <c r="A708" t="s">
        <v>873</v>
      </c>
      <c r="B708" s="1">
        <v>45737</v>
      </c>
      <c r="C708" t="s">
        <v>77</v>
      </c>
      <c r="D708" t="s">
        <v>149</v>
      </c>
      <c r="E708" t="s">
        <v>150</v>
      </c>
      <c r="F708" t="s">
        <v>30</v>
      </c>
      <c r="G708" t="s">
        <v>75</v>
      </c>
      <c r="H708" t="s">
        <v>47</v>
      </c>
      <c r="I708" t="s">
        <v>89</v>
      </c>
      <c r="J708" t="s">
        <v>240</v>
      </c>
      <c r="K708">
        <v>4</v>
      </c>
      <c r="L708" s="2">
        <v>346.44</v>
      </c>
      <c r="M708" s="3">
        <v>0.1</v>
      </c>
      <c r="N708" s="2">
        <v>1247.18</v>
      </c>
      <c r="O708" s="2">
        <v>735.16</v>
      </c>
      <c r="P708" s="2">
        <v>512.02</v>
      </c>
      <c r="Q708" t="s">
        <v>61</v>
      </c>
    </row>
    <row r="709" spans="1:17" x14ac:dyDescent="0.2">
      <c r="A709" t="s">
        <v>874</v>
      </c>
      <c r="B709" s="1">
        <v>45737</v>
      </c>
      <c r="C709" t="s">
        <v>43</v>
      </c>
      <c r="D709" t="s">
        <v>208</v>
      </c>
      <c r="E709" t="s">
        <v>230</v>
      </c>
      <c r="F709" t="s">
        <v>30</v>
      </c>
      <c r="G709" t="s">
        <v>22</v>
      </c>
      <c r="H709" t="s">
        <v>31</v>
      </c>
      <c r="I709" t="s">
        <v>32</v>
      </c>
      <c r="J709" t="s">
        <v>258</v>
      </c>
      <c r="K709">
        <v>2</v>
      </c>
      <c r="L709" s="2">
        <v>1616.31</v>
      </c>
      <c r="M709" s="3">
        <v>0.1</v>
      </c>
      <c r="N709" s="2">
        <v>2909.36</v>
      </c>
      <c r="O709" s="2">
        <v>1733.21</v>
      </c>
      <c r="P709" s="2">
        <v>1176.1500000000001</v>
      </c>
      <c r="Q709" t="s">
        <v>34</v>
      </c>
    </row>
    <row r="710" spans="1:17" x14ac:dyDescent="0.2">
      <c r="A710" t="s">
        <v>875</v>
      </c>
      <c r="B710" s="1">
        <v>45737</v>
      </c>
      <c r="C710" t="s">
        <v>43</v>
      </c>
      <c r="D710" t="s">
        <v>51</v>
      </c>
      <c r="E710" t="s">
        <v>63</v>
      </c>
      <c r="F710" t="s">
        <v>21</v>
      </c>
      <c r="G710" t="s">
        <v>22</v>
      </c>
      <c r="H710" t="s">
        <v>23</v>
      </c>
      <c r="I710" t="s">
        <v>79</v>
      </c>
      <c r="J710" t="s">
        <v>233</v>
      </c>
      <c r="K710">
        <v>4</v>
      </c>
      <c r="L710" s="2">
        <v>389.46</v>
      </c>
      <c r="M710" s="3">
        <v>0.05</v>
      </c>
      <c r="N710" s="2">
        <v>1479.95</v>
      </c>
      <c r="O710" s="2">
        <v>964.73</v>
      </c>
      <c r="P710" s="2">
        <v>515.22</v>
      </c>
      <c r="Q710" t="s">
        <v>34</v>
      </c>
    </row>
    <row r="711" spans="1:17" x14ac:dyDescent="0.2">
      <c r="A711" t="s">
        <v>876</v>
      </c>
      <c r="B711" s="1">
        <v>45737</v>
      </c>
      <c r="C711" t="s">
        <v>43</v>
      </c>
      <c r="D711" t="s">
        <v>51</v>
      </c>
      <c r="E711" t="s">
        <v>59</v>
      </c>
      <c r="F711" t="s">
        <v>130</v>
      </c>
      <c r="G711" t="s">
        <v>75</v>
      </c>
      <c r="H711" t="s">
        <v>47</v>
      </c>
      <c r="I711" t="s">
        <v>89</v>
      </c>
      <c r="J711" t="s">
        <v>204</v>
      </c>
      <c r="K711">
        <v>6</v>
      </c>
      <c r="L711" s="2">
        <v>173.84</v>
      </c>
      <c r="M711" s="3">
        <v>0.1</v>
      </c>
      <c r="N711" s="2">
        <v>938.74</v>
      </c>
      <c r="O711" s="2">
        <v>662.83</v>
      </c>
      <c r="P711" s="2">
        <v>275.91000000000003</v>
      </c>
      <c r="Q711" t="s">
        <v>61</v>
      </c>
    </row>
    <row r="712" spans="1:17" x14ac:dyDescent="0.2">
      <c r="A712" t="s">
        <v>877</v>
      </c>
      <c r="B712" s="1">
        <v>45737</v>
      </c>
      <c r="C712" t="s">
        <v>77</v>
      </c>
      <c r="D712" t="s">
        <v>128</v>
      </c>
      <c r="E712" t="s">
        <v>155</v>
      </c>
      <c r="F712" t="s">
        <v>69</v>
      </c>
      <c r="G712" t="s">
        <v>22</v>
      </c>
      <c r="H712" t="s">
        <v>31</v>
      </c>
      <c r="I712" t="s">
        <v>64</v>
      </c>
      <c r="J712" t="s">
        <v>65</v>
      </c>
      <c r="K712">
        <v>5</v>
      </c>
      <c r="L712" s="2">
        <v>126.67</v>
      </c>
      <c r="M712" s="3">
        <v>0.05</v>
      </c>
      <c r="N712" s="2">
        <v>601.67999999999995</v>
      </c>
      <c r="O712" s="2">
        <v>425.97</v>
      </c>
      <c r="P712" s="2">
        <v>175.71</v>
      </c>
      <c r="Q712" t="s">
        <v>61</v>
      </c>
    </row>
    <row r="713" spans="1:17" x14ac:dyDescent="0.2">
      <c r="A713" t="s">
        <v>878</v>
      </c>
      <c r="B713" s="1">
        <v>45738</v>
      </c>
      <c r="C713" t="s">
        <v>77</v>
      </c>
      <c r="D713" t="s">
        <v>78</v>
      </c>
      <c r="E713" t="s">
        <v>295</v>
      </c>
      <c r="F713" t="s">
        <v>46</v>
      </c>
      <c r="G713" t="s">
        <v>22</v>
      </c>
      <c r="H713" t="s">
        <v>31</v>
      </c>
      <c r="I713" t="s">
        <v>112</v>
      </c>
      <c r="J713" t="s">
        <v>113</v>
      </c>
      <c r="K713">
        <v>1</v>
      </c>
      <c r="L713" s="2">
        <v>456.49</v>
      </c>
      <c r="M713" s="3">
        <v>0</v>
      </c>
      <c r="N713" s="2">
        <v>456.49</v>
      </c>
      <c r="O713" s="2">
        <v>343.9</v>
      </c>
      <c r="P713" s="2">
        <v>112.59</v>
      </c>
      <c r="Q713" t="s">
        <v>34</v>
      </c>
    </row>
    <row r="714" spans="1:17" x14ac:dyDescent="0.2">
      <c r="A714" t="s">
        <v>879</v>
      </c>
      <c r="B714" s="1">
        <v>45738</v>
      </c>
      <c r="C714" t="s">
        <v>18</v>
      </c>
      <c r="D714" t="s">
        <v>19</v>
      </c>
      <c r="E714" t="s">
        <v>100</v>
      </c>
      <c r="F714" t="s">
        <v>39</v>
      </c>
      <c r="G714" t="s">
        <v>22</v>
      </c>
      <c r="H714" t="s">
        <v>23</v>
      </c>
      <c r="I714" t="s">
        <v>79</v>
      </c>
      <c r="J714" t="s">
        <v>179</v>
      </c>
      <c r="K714">
        <v>9</v>
      </c>
      <c r="L714" s="2">
        <v>270.27</v>
      </c>
      <c r="M714" s="3">
        <v>0.15</v>
      </c>
      <c r="N714" s="2">
        <v>2067.5700000000002</v>
      </c>
      <c r="O714" s="2">
        <v>1277.28</v>
      </c>
      <c r="P714" s="2">
        <v>790.29</v>
      </c>
      <c r="Q714" t="s">
        <v>61</v>
      </c>
    </row>
    <row r="715" spans="1:17" x14ac:dyDescent="0.2">
      <c r="A715" t="s">
        <v>880</v>
      </c>
      <c r="B715" s="1">
        <v>45738</v>
      </c>
      <c r="C715" t="s">
        <v>18</v>
      </c>
      <c r="D715" t="s">
        <v>19</v>
      </c>
      <c r="E715" t="s">
        <v>20</v>
      </c>
      <c r="F715" t="s">
        <v>39</v>
      </c>
      <c r="G715" t="s">
        <v>22</v>
      </c>
      <c r="H715" t="s">
        <v>23</v>
      </c>
      <c r="I715" t="s">
        <v>55</v>
      </c>
      <c r="J715" t="s">
        <v>56</v>
      </c>
      <c r="K715">
        <v>2</v>
      </c>
      <c r="L715" s="2">
        <v>5.59</v>
      </c>
      <c r="M715" s="3">
        <v>0.15</v>
      </c>
      <c r="N715" s="2">
        <v>9.5</v>
      </c>
      <c r="O715" s="2">
        <v>6.8</v>
      </c>
      <c r="P715" s="2">
        <v>2.7</v>
      </c>
      <c r="Q715" t="s">
        <v>34</v>
      </c>
    </row>
    <row r="716" spans="1:17" x14ac:dyDescent="0.2">
      <c r="A716" t="s">
        <v>881</v>
      </c>
      <c r="B716" s="1">
        <v>45738</v>
      </c>
      <c r="C716" t="s">
        <v>36</v>
      </c>
      <c r="D716" t="s">
        <v>67</v>
      </c>
      <c r="E716" t="s">
        <v>270</v>
      </c>
      <c r="F716" t="s">
        <v>69</v>
      </c>
      <c r="G716" t="s">
        <v>75</v>
      </c>
      <c r="H716" t="s">
        <v>23</v>
      </c>
      <c r="I716" t="s">
        <v>83</v>
      </c>
      <c r="J716" t="s">
        <v>84</v>
      </c>
      <c r="K716">
        <v>5</v>
      </c>
      <c r="L716" s="2">
        <v>23.32</v>
      </c>
      <c r="M716" s="3">
        <v>0.2</v>
      </c>
      <c r="N716" s="2">
        <v>93.28</v>
      </c>
      <c r="O716" s="2">
        <v>69.98</v>
      </c>
      <c r="P716" s="2">
        <v>23.3</v>
      </c>
      <c r="Q716" t="s">
        <v>26</v>
      </c>
    </row>
    <row r="717" spans="1:17" x14ac:dyDescent="0.2">
      <c r="A717" t="s">
        <v>882</v>
      </c>
      <c r="B717" s="1">
        <v>45739</v>
      </c>
      <c r="C717" t="s">
        <v>43</v>
      </c>
      <c r="D717" t="s">
        <v>244</v>
      </c>
      <c r="E717" t="s">
        <v>245</v>
      </c>
      <c r="F717" t="s">
        <v>21</v>
      </c>
      <c r="G717" t="s">
        <v>75</v>
      </c>
      <c r="H717" t="s">
        <v>23</v>
      </c>
      <c r="I717" t="s">
        <v>83</v>
      </c>
      <c r="J717" t="s">
        <v>120</v>
      </c>
      <c r="K717">
        <v>4</v>
      </c>
      <c r="L717" s="2">
        <v>29.38</v>
      </c>
      <c r="M717" s="3">
        <v>0</v>
      </c>
      <c r="N717" s="2">
        <v>117.52</v>
      </c>
      <c r="O717" s="2">
        <v>67.040000000000006</v>
      </c>
      <c r="P717" s="2">
        <v>50.48</v>
      </c>
      <c r="Q717" t="s">
        <v>57</v>
      </c>
    </row>
    <row r="718" spans="1:17" x14ac:dyDescent="0.2">
      <c r="A718" t="s">
        <v>883</v>
      </c>
      <c r="B718" s="1">
        <v>45739</v>
      </c>
      <c r="C718" t="s">
        <v>36</v>
      </c>
      <c r="D718" t="s">
        <v>37</v>
      </c>
      <c r="E718" t="s">
        <v>255</v>
      </c>
      <c r="F718" t="s">
        <v>71</v>
      </c>
      <c r="G718" t="s">
        <v>22</v>
      </c>
      <c r="H718" t="s">
        <v>47</v>
      </c>
      <c r="I718" t="s">
        <v>97</v>
      </c>
      <c r="J718" t="s">
        <v>116</v>
      </c>
      <c r="K718">
        <v>7</v>
      </c>
      <c r="L718" s="2">
        <v>474.91</v>
      </c>
      <c r="M718" s="3">
        <v>0.05</v>
      </c>
      <c r="N718" s="2">
        <v>3158.15</v>
      </c>
      <c r="O718" s="2">
        <v>2080.87</v>
      </c>
      <c r="P718" s="2">
        <v>1077.28</v>
      </c>
      <c r="Q718" t="s">
        <v>61</v>
      </c>
    </row>
    <row r="719" spans="1:17" x14ac:dyDescent="0.2">
      <c r="A719" t="s">
        <v>884</v>
      </c>
      <c r="B719" s="1">
        <v>45739</v>
      </c>
      <c r="C719" t="s">
        <v>77</v>
      </c>
      <c r="D719" t="s">
        <v>106</v>
      </c>
      <c r="E719" t="s">
        <v>303</v>
      </c>
      <c r="F719" t="s">
        <v>30</v>
      </c>
      <c r="G719" t="s">
        <v>22</v>
      </c>
      <c r="H719" t="s">
        <v>31</v>
      </c>
      <c r="I719" t="s">
        <v>32</v>
      </c>
      <c r="J719" t="s">
        <v>33</v>
      </c>
      <c r="K719">
        <v>2</v>
      </c>
      <c r="L719" s="2">
        <v>1510.75</v>
      </c>
      <c r="M719" s="3">
        <v>0</v>
      </c>
      <c r="N719" s="2">
        <v>3021.5</v>
      </c>
      <c r="O719" s="2">
        <v>2304.33</v>
      </c>
      <c r="P719" s="2">
        <v>717.17</v>
      </c>
      <c r="Q719" t="s">
        <v>61</v>
      </c>
    </row>
    <row r="720" spans="1:17" x14ac:dyDescent="0.2">
      <c r="A720" t="s">
        <v>885</v>
      </c>
      <c r="B720" s="1">
        <v>45739</v>
      </c>
      <c r="C720" t="s">
        <v>43</v>
      </c>
      <c r="D720" t="s">
        <v>44</v>
      </c>
      <c r="E720" t="s">
        <v>147</v>
      </c>
      <c r="F720" t="s">
        <v>53</v>
      </c>
      <c r="G720" t="s">
        <v>22</v>
      </c>
      <c r="H720" t="s">
        <v>47</v>
      </c>
      <c r="I720" t="s">
        <v>97</v>
      </c>
      <c r="J720" t="s">
        <v>168</v>
      </c>
      <c r="K720">
        <v>2</v>
      </c>
      <c r="L720" s="2">
        <v>556.01</v>
      </c>
      <c r="M720" s="3">
        <v>0.05</v>
      </c>
      <c r="N720" s="2">
        <v>1056.42</v>
      </c>
      <c r="O720" s="2">
        <v>855.71</v>
      </c>
      <c r="P720" s="2">
        <v>200.71</v>
      </c>
      <c r="Q720" t="s">
        <v>61</v>
      </c>
    </row>
    <row r="721" spans="1:17" x14ac:dyDescent="0.2">
      <c r="A721" t="s">
        <v>886</v>
      </c>
      <c r="B721" s="1">
        <v>45739</v>
      </c>
      <c r="C721" t="s">
        <v>36</v>
      </c>
      <c r="D721" t="s">
        <v>73</v>
      </c>
      <c r="E721" t="s">
        <v>212</v>
      </c>
      <c r="F721" t="s">
        <v>30</v>
      </c>
      <c r="G721" t="s">
        <v>22</v>
      </c>
      <c r="H721" t="s">
        <v>31</v>
      </c>
      <c r="I721" t="s">
        <v>64</v>
      </c>
      <c r="J721" t="s">
        <v>65</v>
      </c>
      <c r="K721">
        <v>3</v>
      </c>
      <c r="L721" s="2">
        <v>179.78</v>
      </c>
      <c r="M721" s="3">
        <v>0.1</v>
      </c>
      <c r="N721" s="2">
        <v>485.41</v>
      </c>
      <c r="O721" s="2">
        <v>282.27999999999997</v>
      </c>
      <c r="P721" s="2">
        <v>203.13</v>
      </c>
      <c r="Q721" t="s">
        <v>34</v>
      </c>
    </row>
    <row r="722" spans="1:17" x14ac:dyDescent="0.2">
      <c r="A722" t="s">
        <v>887</v>
      </c>
      <c r="B722" s="1">
        <v>45739</v>
      </c>
      <c r="C722" t="s">
        <v>18</v>
      </c>
      <c r="D722" t="s">
        <v>133</v>
      </c>
      <c r="E722" t="s">
        <v>226</v>
      </c>
      <c r="F722" t="s">
        <v>69</v>
      </c>
      <c r="G722" t="s">
        <v>75</v>
      </c>
      <c r="H722" t="s">
        <v>31</v>
      </c>
      <c r="I722" t="s">
        <v>32</v>
      </c>
      <c r="J722" t="s">
        <v>104</v>
      </c>
      <c r="K722">
        <v>9</v>
      </c>
      <c r="L722" s="2">
        <v>1795.29</v>
      </c>
      <c r="M722" s="3">
        <v>0.1</v>
      </c>
      <c r="N722" s="2">
        <v>14541.85</v>
      </c>
      <c r="O722" s="2">
        <v>8284.58</v>
      </c>
      <c r="P722" s="2">
        <v>6257.27</v>
      </c>
      <c r="Q722" t="s">
        <v>34</v>
      </c>
    </row>
    <row r="723" spans="1:17" x14ac:dyDescent="0.2">
      <c r="A723" t="s">
        <v>888</v>
      </c>
      <c r="B723" s="1">
        <v>45739</v>
      </c>
      <c r="C723" t="s">
        <v>36</v>
      </c>
      <c r="D723" t="s">
        <v>67</v>
      </c>
      <c r="E723" t="s">
        <v>323</v>
      </c>
      <c r="F723" t="s">
        <v>39</v>
      </c>
      <c r="G723" t="s">
        <v>75</v>
      </c>
      <c r="H723" t="s">
        <v>47</v>
      </c>
      <c r="I723" t="s">
        <v>89</v>
      </c>
      <c r="J723" t="s">
        <v>204</v>
      </c>
      <c r="K723">
        <v>3</v>
      </c>
      <c r="L723" s="2">
        <v>426.72</v>
      </c>
      <c r="M723" s="3">
        <v>0.15</v>
      </c>
      <c r="N723" s="2">
        <v>1088.1400000000001</v>
      </c>
      <c r="O723" s="2">
        <v>840.94</v>
      </c>
      <c r="P723" s="2">
        <v>247.2</v>
      </c>
      <c r="Q723" t="s">
        <v>26</v>
      </c>
    </row>
    <row r="724" spans="1:17" x14ac:dyDescent="0.2">
      <c r="A724" t="s">
        <v>889</v>
      </c>
      <c r="B724" s="1">
        <v>45739</v>
      </c>
      <c r="C724" t="s">
        <v>36</v>
      </c>
      <c r="D724" t="s">
        <v>73</v>
      </c>
      <c r="E724" t="s">
        <v>212</v>
      </c>
      <c r="F724" t="s">
        <v>21</v>
      </c>
      <c r="G724" t="s">
        <v>54</v>
      </c>
      <c r="H724" t="s">
        <v>23</v>
      </c>
      <c r="I724" t="s">
        <v>79</v>
      </c>
      <c r="J724" t="s">
        <v>80</v>
      </c>
      <c r="K724">
        <v>8</v>
      </c>
      <c r="L724" s="2">
        <v>216.17</v>
      </c>
      <c r="M724" s="3">
        <v>0.1</v>
      </c>
      <c r="N724" s="2">
        <v>1556.42</v>
      </c>
      <c r="O724" s="2">
        <v>1107.6199999999999</v>
      </c>
      <c r="P724" s="2">
        <v>448.8</v>
      </c>
      <c r="Q724" t="s">
        <v>26</v>
      </c>
    </row>
    <row r="725" spans="1:17" x14ac:dyDescent="0.2">
      <c r="A725" t="s">
        <v>890</v>
      </c>
      <c r="B725" s="1">
        <v>45739</v>
      </c>
      <c r="C725" t="s">
        <v>18</v>
      </c>
      <c r="D725" t="s">
        <v>19</v>
      </c>
      <c r="E725" t="s">
        <v>20</v>
      </c>
      <c r="F725" t="s">
        <v>71</v>
      </c>
      <c r="G725" t="s">
        <v>22</v>
      </c>
      <c r="H725" t="s">
        <v>23</v>
      </c>
      <c r="I725" t="s">
        <v>79</v>
      </c>
      <c r="J725" t="s">
        <v>179</v>
      </c>
      <c r="K725">
        <v>8</v>
      </c>
      <c r="L725" s="2">
        <v>593.03</v>
      </c>
      <c r="M725" s="3">
        <v>0.05</v>
      </c>
      <c r="N725" s="2">
        <v>4507.03</v>
      </c>
      <c r="O725" s="2">
        <v>2591.02</v>
      </c>
      <c r="P725" s="2">
        <v>1916.01</v>
      </c>
      <c r="Q725" t="s">
        <v>26</v>
      </c>
    </row>
    <row r="726" spans="1:17" x14ac:dyDescent="0.2">
      <c r="A726" t="s">
        <v>891</v>
      </c>
      <c r="B726" s="1">
        <v>45739</v>
      </c>
      <c r="C726" t="s">
        <v>18</v>
      </c>
      <c r="D726" t="s">
        <v>152</v>
      </c>
      <c r="E726" t="s">
        <v>166</v>
      </c>
      <c r="F726" t="s">
        <v>71</v>
      </c>
      <c r="G726" t="s">
        <v>22</v>
      </c>
      <c r="H726" t="s">
        <v>31</v>
      </c>
      <c r="I726" t="s">
        <v>32</v>
      </c>
      <c r="J726" t="s">
        <v>104</v>
      </c>
      <c r="K726">
        <v>10</v>
      </c>
      <c r="L726" s="2">
        <v>1158.4100000000001</v>
      </c>
      <c r="M726" s="3">
        <v>0.15</v>
      </c>
      <c r="N726" s="2">
        <v>9846.48</v>
      </c>
      <c r="O726" s="2">
        <v>8071.79</v>
      </c>
      <c r="P726" s="2">
        <v>1774.69</v>
      </c>
      <c r="Q726" t="s">
        <v>57</v>
      </c>
    </row>
    <row r="727" spans="1:17" x14ac:dyDescent="0.2">
      <c r="A727" t="s">
        <v>892</v>
      </c>
      <c r="B727" s="1">
        <v>45739</v>
      </c>
      <c r="C727" t="s">
        <v>36</v>
      </c>
      <c r="D727" t="s">
        <v>67</v>
      </c>
      <c r="E727" t="s">
        <v>270</v>
      </c>
      <c r="F727" t="s">
        <v>130</v>
      </c>
      <c r="G727" t="s">
        <v>22</v>
      </c>
      <c r="H727" t="s">
        <v>23</v>
      </c>
      <c r="I727" t="s">
        <v>24</v>
      </c>
      <c r="J727" t="s">
        <v>108</v>
      </c>
      <c r="K727">
        <v>9</v>
      </c>
      <c r="L727" s="2">
        <v>17.079999999999998</v>
      </c>
      <c r="M727" s="3">
        <v>0.1</v>
      </c>
      <c r="N727" s="2">
        <v>138.35</v>
      </c>
      <c r="O727" s="2">
        <v>91.24</v>
      </c>
      <c r="P727" s="2">
        <v>47.11</v>
      </c>
      <c r="Q727" t="s">
        <v>34</v>
      </c>
    </row>
    <row r="728" spans="1:17" x14ac:dyDescent="0.2">
      <c r="A728" t="s">
        <v>893</v>
      </c>
      <c r="B728" s="1">
        <v>45739</v>
      </c>
      <c r="C728" t="s">
        <v>43</v>
      </c>
      <c r="D728" t="s">
        <v>44</v>
      </c>
      <c r="E728" t="s">
        <v>82</v>
      </c>
      <c r="F728" t="s">
        <v>60</v>
      </c>
      <c r="G728" t="s">
        <v>54</v>
      </c>
      <c r="H728" t="s">
        <v>31</v>
      </c>
      <c r="I728" t="s">
        <v>40</v>
      </c>
      <c r="J728" t="s">
        <v>122</v>
      </c>
      <c r="K728">
        <v>6</v>
      </c>
      <c r="L728" s="2">
        <v>174.32</v>
      </c>
      <c r="M728" s="3">
        <v>0.15</v>
      </c>
      <c r="N728" s="2">
        <v>889.03</v>
      </c>
      <c r="O728" s="2">
        <v>716.03</v>
      </c>
      <c r="P728" s="2">
        <v>173</v>
      </c>
      <c r="Q728" t="s">
        <v>34</v>
      </c>
    </row>
    <row r="729" spans="1:17" x14ac:dyDescent="0.2">
      <c r="A729" t="s">
        <v>894</v>
      </c>
      <c r="B729" s="1">
        <v>45739</v>
      </c>
      <c r="C729" t="s">
        <v>43</v>
      </c>
      <c r="D729" t="s">
        <v>44</v>
      </c>
      <c r="E729" t="s">
        <v>45</v>
      </c>
      <c r="F729" t="s">
        <v>39</v>
      </c>
      <c r="G729" t="s">
        <v>22</v>
      </c>
      <c r="H729" t="s">
        <v>23</v>
      </c>
      <c r="I729" t="s">
        <v>79</v>
      </c>
      <c r="J729" t="s">
        <v>179</v>
      </c>
      <c r="K729">
        <v>8</v>
      </c>
      <c r="L729" s="2">
        <v>422.65</v>
      </c>
      <c r="M729" s="3">
        <v>0.1</v>
      </c>
      <c r="N729" s="2">
        <v>3043.08</v>
      </c>
      <c r="O729" s="2">
        <v>1784.05</v>
      </c>
      <c r="P729" s="2">
        <v>1259.03</v>
      </c>
      <c r="Q729" t="s">
        <v>34</v>
      </c>
    </row>
    <row r="730" spans="1:17" x14ac:dyDescent="0.2">
      <c r="A730" t="s">
        <v>895</v>
      </c>
      <c r="B730" s="1">
        <v>45739</v>
      </c>
      <c r="C730" t="s">
        <v>18</v>
      </c>
      <c r="D730" t="s">
        <v>133</v>
      </c>
      <c r="E730" t="s">
        <v>134</v>
      </c>
      <c r="F730" t="s">
        <v>69</v>
      </c>
      <c r="G730" t="s">
        <v>75</v>
      </c>
      <c r="H730" t="s">
        <v>23</v>
      </c>
      <c r="I730" t="s">
        <v>79</v>
      </c>
      <c r="J730" t="s">
        <v>80</v>
      </c>
      <c r="K730">
        <v>2</v>
      </c>
      <c r="L730" s="2">
        <v>149.22</v>
      </c>
      <c r="M730" s="3">
        <v>0</v>
      </c>
      <c r="N730" s="2">
        <v>298.44</v>
      </c>
      <c r="O730" s="2">
        <v>203.05</v>
      </c>
      <c r="P730" s="2">
        <v>95.39</v>
      </c>
      <c r="Q730" t="s">
        <v>61</v>
      </c>
    </row>
    <row r="731" spans="1:17" x14ac:dyDescent="0.2">
      <c r="A731" t="s">
        <v>896</v>
      </c>
      <c r="B731" s="1">
        <v>45740</v>
      </c>
      <c r="C731" t="s">
        <v>36</v>
      </c>
      <c r="D731" t="s">
        <v>110</v>
      </c>
      <c r="E731" t="s">
        <v>115</v>
      </c>
      <c r="F731" t="s">
        <v>138</v>
      </c>
      <c r="G731" t="s">
        <v>54</v>
      </c>
      <c r="H731" t="s">
        <v>31</v>
      </c>
      <c r="I731" t="s">
        <v>40</v>
      </c>
      <c r="J731" t="s">
        <v>122</v>
      </c>
      <c r="K731">
        <v>9</v>
      </c>
      <c r="L731" s="2">
        <v>81.010000000000005</v>
      </c>
      <c r="M731" s="3">
        <v>0.1</v>
      </c>
      <c r="N731" s="2">
        <v>656.18</v>
      </c>
      <c r="O731" s="2">
        <v>376.75</v>
      </c>
      <c r="P731" s="2">
        <v>279.43</v>
      </c>
      <c r="Q731" t="s">
        <v>57</v>
      </c>
    </row>
    <row r="732" spans="1:17" x14ac:dyDescent="0.2">
      <c r="A732" t="s">
        <v>897</v>
      </c>
      <c r="B732" s="1">
        <v>45740</v>
      </c>
      <c r="C732" t="s">
        <v>36</v>
      </c>
      <c r="D732" t="s">
        <v>144</v>
      </c>
      <c r="E732" t="s">
        <v>145</v>
      </c>
      <c r="F732" t="s">
        <v>30</v>
      </c>
      <c r="G732" t="s">
        <v>22</v>
      </c>
      <c r="H732" t="s">
        <v>23</v>
      </c>
      <c r="I732" t="s">
        <v>24</v>
      </c>
      <c r="J732" t="s">
        <v>220</v>
      </c>
      <c r="K732">
        <v>7</v>
      </c>
      <c r="L732" s="2">
        <v>15.71</v>
      </c>
      <c r="M732" s="3">
        <v>0.1</v>
      </c>
      <c r="N732" s="2">
        <v>98.97</v>
      </c>
      <c r="O732" s="2">
        <v>74.349999999999994</v>
      </c>
      <c r="P732" s="2">
        <v>24.62</v>
      </c>
      <c r="Q732" t="s">
        <v>34</v>
      </c>
    </row>
    <row r="733" spans="1:17" x14ac:dyDescent="0.2">
      <c r="A733" t="s">
        <v>898</v>
      </c>
      <c r="B733" s="1">
        <v>45740</v>
      </c>
      <c r="C733" t="s">
        <v>43</v>
      </c>
      <c r="D733" t="s">
        <v>244</v>
      </c>
      <c r="E733" t="s">
        <v>326</v>
      </c>
      <c r="F733" t="s">
        <v>30</v>
      </c>
      <c r="G733" t="s">
        <v>22</v>
      </c>
      <c r="H733" t="s">
        <v>23</v>
      </c>
      <c r="I733" t="s">
        <v>83</v>
      </c>
      <c r="J733" t="s">
        <v>131</v>
      </c>
      <c r="K733">
        <v>2</v>
      </c>
      <c r="L733" s="2">
        <v>25.54</v>
      </c>
      <c r="M733" s="3">
        <v>0</v>
      </c>
      <c r="N733" s="2">
        <v>51.08</v>
      </c>
      <c r="O733" s="2">
        <v>30.31</v>
      </c>
      <c r="P733" s="2">
        <v>20.77</v>
      </c>
      <c r="Q733" t="s">
        <v>26</v>
      </c>
    </row>
    <row r="734" spans="1:17" x14ac:dyDescent="0.2">
      <c r="A734" t="s">
        <v>899</v>
      </c>
      <c r="B734" s="1">
        <v>45740</v>
      </c>
      <c r="C734" t="s">
        <v>43</v>
      </c>
      <c r="D734" t="s">
        <v>244</v>
      </c>
      <c r="E734" t="s">
        <v>326</v>
      </c>
      <c r="F734" t="s">
        <v>130</v>
      </c>
      <c r="G734" t="s">
        <v>22</v>
      </c>
      <c r="H734" t="s">
        <v>31</v>
      </c>
      <c r="I734" t="s">
        <v>40</v>
      </c>
      <c r="J734" t="s">
        <v>122</v>
      </c>
      <c r="K734">
        <v>7</v>
      </c>
      <c r="L734" s="2">
        <v>102.5</v>
      </c>
      <c r="M734" s="3">
        <v>0.1</v>
      </c>
      <c r="N734" s="2">
        <v>645.75</v>
      </c>
      <c r="O734" s="2">
        <v>358.47</v>
      </c>
      <c r="P734" s="2">
        <v>287.27999999999997</v>
      </c>
      <c r="Q734" t="s">
        <v>34</v>
      </c>
    </row>
    <row r="735" spans="1:17" x14ac:dyDescent="0.2">
      <c r="A735" t="s">
        <v>900</v>
      </c>
      <c r="B735" s="1">
        <v>45740</v>
      </c>
      <c r="C735" t="s">
        <v>43</v>
      </c>
      <c r="D735" t="s">
        <v>44</v>
      </c>
      <c r="E735" t="s">
        <v>45</v>
      </c>
      <c r="F735" t="s">
        <v>69</v>
      </c>
      <c r="G735" t="s">
        <v>75</v>
      </c>
      <c r="H735" t="s">
        <v>31</v>
      </c>
      <c r="I735" t="s">
        <v>64</v>
      </c>
      <c r="J735" t="s">
        <v>126</v>
      </c>
      <c r="K735">
        <v>9</v>
      </c>
      <c r="L735" s="2">
        <v>85.74</v>
      </c>
      <c r="M735" s="3">
        <v>0.1</v>
      </c>
      <c r="N735" s="2">
        <v>694.49</v>
      </c>
      <c r="O735" s="2">
        <v>484.41</v>
      </c>
      <c r="P735" s="2">
        <v>210.08</v>
      </c>
      <c r="Q735" t="s">
        <v>26</v>
      </c>
    </row>
    <row r="736" spans="1:17" x14ac:dyDescent="0.2">
      <c r="A736" t="s">
        <v>901</v>
      </c>
      <c r="B736" s="1">
        <v>45740</v>
      </c>
      <c r="C736" t="s">
        <v>77</v>
      </c>
      <c r="D736" t="s">
        <v>95</v>
      </c>
      <c r="E736" t="s">
        <v>300</v>
      </c>
      <c r="F736" t="s">
        <v>138</v>
      </c>
      <c r="G736" t="s">
        <v>54</v>
      </c>
      <c r="H736" t="s">
        <v>31</v>
      </c>
      <c r="I736" t="s">
        <v>40</v>
      </c>
      <c r="J736" t="s">
        <v>216</v>
      </c>
      <c r="K736">
        <v>7</v>
      </c>
      <c r="L736" s="2">
        <v>130.96</v>
      </c>
      <c r="M736" s="3">
        <v>0.1</v>
      </c>
      <c r="N736" s="2">
        <v>825.05</v>
      </c>
      <c r="O736" s="2">
        <v>489.23</v>
      </c>
      <c r="P736" s="2">
        <v>335.82</v>
      </c>
      <c r="Q736" t="s">
        <v>57</v>
      </c>
    </row>
    <row r="737" spans="1:17" x14ac:dyDescent="0.2">
      <c r="A737" t="s">
        <v>902</v>
      </c>
      <c r="B737" s="1">
        <v>45740</v>
      </c>
      <c r="C737" t="s">
        <v>43</v>
      </c>
      <c r="D737" t="s">
        <v>161</v>
      </c>
      <c r="E737" t="s">
        <v>418</v>
      </c>
      <c r="F737" t="s">
        <v>69</v>
      </c>
      <c r="G737" t="s">
        <v>22</v>
      </c>
      <c r="H737" t="s">
        <v>47</v>
      </c>
      <c r="I737" t="s">
        <v>97</v>
      </c>
      <c r="J737" t="s">
        <v>116</v>
      </c>
      <c r="K737">
        <v>1</v>
      </c>
      <c r="L737" s="2">
        <v>143.22</v>
      </c>
      <c r="M737" s="3">
        <v>0</v>
      </c>
      <c r="N737" s="2">
        <v>143.22</v>
      </c>
      <c r="O737" s="2">
        <v>111.65</v>
      </c>
      <c r="P737" s="2">
        <v>31.57</v>
      </c>
      <c r="Q737" t="s">
        <v>57</v>
      </c>
    </row>
    <row r="738" spans="1:17" x14ac:dyDescent="0.2">
      <c r="A738" t="s">
        <v>903</v>
      </c>
      <c r="B738" s="1">
        <v>45740</v>
      </c>
      <c r="C738" t="s">
        <v>77</v>
      </c>
      <c r="D738" t="s">
        <v>128</v>
      </c>
      <c r="E738" t="s">
        <v>159</v>
      </c>
      <c r="F738" t="s">
        <v>130</v>
      </c>
      <c r="G738" t="s">
        <v>75</v>
      </c>
      <c r="H738" t="s">
        <v>23</v>
      </c>
      <c r="I738" t="s">
        <v>55</v>
      </c>
      <c r="J738" t="s">
        <v>102</v>
      </c>
      <c r="K738">
        <v>6</v>
      </c>
      <c r="L738" s="2">
        <v>14.78</v>
      </c>
      <c r="M738" s="3">
        <v>0.1</v>
      </c>
      <c r="N738" s="2">
        <v>79.81</v>
      </c>
      <c r="O738" s="2">
        <v>56.7</v>
      </c>
      <c r="P738" s="2">
        <v>23.11</v>
      </c>
      <c r="Q738" t="s">
        <v>61</v>
      </c>
    </row>
    <row r="739" spans="1:17" x14ac:dyDescent="0.2">
      <c r="A739" t="s">
        <v>904</v>
      </c>
      <c r="B739" s="1">
        <v>45740</v>
      </c>
      <c r="C739" t="s">
        <v>36</v>
      </c>
      <c r="D739" t="s">
        <v>110</v>
      </c>
      <c r="E739" t="s">
        <v>115</v>
      </c>
      <c r="F739" t="s">
        <v>39</v>
      </c>
      <c r="G739" t="s">
        <v>75</v>
      </c>
      <c r="H739" t="s">
        <v>31</v>
      </c>
      <c r="I739" t="s">
        <v>40</v>
      </c>
      <c r="J739" t="s">
        <v>41</v>
      </c>
      <c r="K739">
        <v>9</v>
      </c>
      <c r="L739" s="2">
        <v>142.47</v>
      </c>
      <c r="M739" s="3">
        <v>0.1</v>
      </c>
      <c r="N739" s="2">
        <v>1154.01</v>
      </c>
      <c r="O739" s="2">
        <v>930.28</v>
      </c>
      <c r="P739" s="2">
        <v>223.73</v>
      </c>
      <c r="Q739" t="s">
        <v>57</v>
      </c>
    </row>
    <row r="740" spans="1:17" x14ac:dyDescent="0.2">
      <c r="A740" t="s">
        <v>905</v>
      </c>
      <c r="B740" s="1">
        <v>45740</v>
      </c>
      <c r="C740" t="s">
        <v>36</v>
      </c>
      <c r="D740" t="s">
        <v>144</v>
      </c>
      <c r="E740" t="s">
        <v>232</v>
      </c>
      <c r="F740" t="s">
        <v>30</v>
      </c>
      <c r="G740" t="s">
        <v>75</v>
      </c>
      <c r="H740" t="s">
        <v>47</v>
      </c>
      <c r="I740" t="s">
        <v>48</v>
      </c>
      <c r="J740" t="s">
        <v>93</v>
      </c>
      <c r="K740">
        <v>4</v>
      </c>
      <c r="L740" s="2">
        <v>293.36</v>
      </c>
      <c r="M740" s="3">
        <v>0.1</v>
      </c>
      <c r="N740" s="2">
        <v>1056.0999999999999</v>
      </c>
      <c r="O740" s="2">
        <v>621.41999999999996</v>
      </c>
      <c r="P740" s="2">
        <v>434.68</v>
      </c>
      <c r="Q740" t="s">
        <v>61</v>
      </c>
    </row>
    <row r="741" spans="1:17" x14ac:dyDescent="0.2">
      <c r="A741" t="s">
        <v>906</v>
      </c>
      <c r="B741" s="1">
        <v>45740</v>
      </c>
      <c r="C741" t="s">
        <v>77</v>
      </c>
      <c r="D741" t="s">
        <v>106</v>
      </c>
      <c r="E741" t="s">
        <v>236</v>
      </c>
      <c r="F741" t="s">
        <v>130</v>
      </c>
      <c r="G741" t="s">
        <v>22</v>
      </c>
      <c r="H741" t="s">
        <v>31</v>
      </c>
      <c r="I741" t="s">
        <v>32</v>
      </c>
      <c r="J741" t="s">
        <v>104</v>
      </c>
      <c r="K741">
        <v>1</v>
      </c>
      <c r="L741" s="2">
        <v>1016.16</v>
      </c>
      <c r="M741" s="3">
        <v>0</v>
      </c>
      <c r="N741" s="2">
        <v>1016.16</v>
      </c>
      <c r="O741" s="2">
        <v>646.94000000000005</v>
      </c>
      <c r="P741" s="2">
        <v>369.22</v>
      </c>
      <c r="Q741" t="s">
        <v>57</v>
      </c>
    </row>
    <row r="742" spans="1:17" x14ac:dyDescent="0.2">
      <c r="A742" t="s">
        <v>907</v>
      </c>
      <c r="B742" s="1">
        <v>45740</v>
      </c>
      <c r="C742" t="s">
        <v>36</v>
      </c>
      <c r="D742" t="s">
        <v>110</v>
      </c>
      <c r="E742" t="s">
        <v>111</v>
      </c>
      <c r="F742" t="s">
        <v>39</v>
      </c>
      <c r="G742" t="s">
        <v>22</v>
      </c>
      <c r="H742" t="s">
        <v>47</v>
      </c>
      <c r="I742" t="s">
        <v>97</v>
      </c>
      <c r="J742" t="s">
        <v>116</v>
      </c>
      <c r="K742">
        <v>3</v>
      </c>
      <c r="L742" s="2">
        <v>375.95</v>
      </c>
      <c r="M742" s="3">
        <v>0.05</v>
      </c>
      <c r="N742" s="2">
        <v>1071.46</v>
      </c>
      <c r="O742" s="2">
        <v>804.51</v>
      </c>
      <c r="P742" s="2">
        <v>266.95</v>
      </c>
      <c r="Q742" t="s">
        <v>34</v>
      </c>
    </row>
    <row r="743" spans="1:17" x14ac:dyDescent="0.2">
      <c r="A743" t="s">
        <v>908</v>
      </c>
      <c r="B743" s="1">
        <v>45740</v>
      </c>
      <c r="C743" t="s">
        <v>18</v>
      </c>
      <c r="D743" t="s">
        <v>19</v>
      </c>
      <c r="E743" t="s">
        <v>118</v>
      </c>
      <c r="F743" t="s">
        <v>69</v>
      </c>
      <c r="G743" t="s">
        <v>22</v>
      </c>
      <c r="H743" t="s">
        <v>47</v>
      </c>
      <c r="I743" t="s">
        <v>89</v>
      </c>
      <c r="J743" t="s">
        <v>240</v>
      </c>
      <c r="K743">
        <v>1</v>
      </c>
      <c r="L743" s="2">
        <v>259.81</v>
      </c>
      <c r="M743" s="3">
        <v>0.05</v>
      </c>
      <c r="N743" s="2">
        <v>246.82</v>
      </c>
      <c r="O743" s="2">
        <v>138.41999999999999</v>
      </c>
      <c r="P743" s="2">
        <v>108.4</v>
      </c>
      <c r="Q743" t="s">
        <v>34</v>
      </c>
    </row>
    <row r="744" spans="1:17" x14ac:dyDescent="0.2">
      <c r="A744" t="s">
        <v>909</v>
      </c>
      <c r="B744" s="1">
        <v>45741</v>
      </c>
      <c r="C744" t="s">
        <v>43</v>
      </c>
      <c r="D744" t="s">
        <v>44</v>
      </c>
      <c r="E744" t="s">
        <v>82</v>
      </c>
      <c r="F744" t="s">
        <v>138</v>
      </c>
      <c r="G744" t="s">
        <v>54</v>
      </c>
      <c r="H744" t="s">
        <v>47</v>
      </c>
      <c r="I744" t="s">
        <v>97</v>
      </c>
      <c r="J744" t="s">
        <v>168</v>
      </c>
      <c r="K744">
        <v>7</v>
      </c>
      <c r="L744" s="2">
        <v>198.89</v>
      </c>
      <c r="M744" s="3">
        <v>0.1</v>
      </c>
      <c r="N744" s="2">
        <v>1253.01</v>
      </c>
      <c r="O744" s="2">
        <v>973.11</v>
      </c>
      <c r="P744" s="2">
        <v>279.89999999999998</v>
      </c>
      <c r="Q744" t="s">
        <v>34</v>
      </c>
    </row>
    <row r="745" spans="1:17" x14ac:dyDescent="0.2">
      <c r="A745" t="s">
        <v>910</v>
      </c>
      <c r="B745" s="1">
        <v>45741</v>
      </c>
      <c r="C745" t="s">
        <v>36</v>
      </c>
      <c r="D745" t="s">
        <v>110</v>
      </c>
      <c r="E745" t="s">
        <v>203</v>
      </c>
      <c r="F745" t="s">
        <v>30</v>
      </c>
      <c r="G745" t="s">
        <v>22</v>
      </c>
      <c r="H745" t="s">
        <v>31</v>
      </c>
      <c r="I745" t="s">
        <v>32</v>
      </c>
      <c r="J745" t="s">
        <v>104</v>
      </c>
      <c r="K745">
        <v>1</v>
      </c>
      <c r="L745" s="2">
        <v>1756.82</v>
      </c>
      <c r="M745" s="3">
        <v>0.1</v>
      </c>
      <c r="N745" s="2">
        <v>1581.14</v>
      </c>
      <c r="O745" s="2">
        <v>1295.99</v>
      </c>
      <c r="P745" s="2">
        <v>285.14999999999998</v>
      </c>
      <c r="Q745" t="s">
        <v>26</v>
      </c>
    </row>
    <row r="746" spans="1:17" x14ac:dyDescent="0.2">
      <c r="A746" t="s">
        <v>911</v>
      </c>
      <c r="B746" s="1">
        <v>45741</v>
      </c>
      <c r="C746" t="s">
        <v>18</v>
      </c>
      <c r="D746" t="s">
        <v>19</v>
      </c>
      <c r="E746" t="s">
        <v>118</v>
      </c>
      <c r="F746" t="s">
        <v>71</v>
      </c>
      <c r="G746" t="s">
        <v>22</v>
      </c>
      <c r="H746" t="s">
        <v>31</v>
      </c>
      <c r="I746" t="s">
        <v>40</v>
      </c>
      <c r="J746" t="s">
        <v>216</v>
      </c>
      <c r="K746">
        <v>9</v>
      </c>
      <c r="L746" s="2">
        <v>69.680000000000007</v>
      </c>
      <c r="M746" s="3">
        <v>0</v>
      </c>
      <c r="N746" s="2">
        <v>627.12</v>
      </c>
      <c r="O746" s="2">
        <v>400.58</v>
      </c>
      <c r="P746" s="2">
        <v>226.54</v>
      </c>
      <c r="Q746" t="s">
        <v>26</v>
      </c>
    </row>
    <row r="747" spans="1:17" x14ac:dyDescent="0.2">
      <c r="A747" t="s">
        <v>912</v>
      </c>
      <c r="B747" s="1">
        <v>45741</v>
      </c>
      <c r="C747" t="s">
        <v>36</v>
      </c>
      <c r="D747" t="s">
        <v>144</v>
      </c>
      <c r="E747" t="s">
        <v>232</v>
      </c>
      <c r="F747" t="s">
        <v>138</v>
      </c>
      <c r="G747" t="s">
        <v>22</v>
      </c>
      <c r="H747" t="s">
        <v>31</v>
      </c>
      <c r="I747" t="s">
        <v>40</v>
      </c>
      <c r="J747" t="s">
        <v>41</v>
      </c>
      <c r="K747">
        <v>7</v>
      </c>
      <c r="L747" s="2">
        <v>161.19</v>
      </c>
      <c r="M747" s="3">
        <v>0</v>
      </c>
      <c r="N747" s="2">
        <v>1128.33</v>
      </c>
      <c r="O747" s="2">
        <v>735.17</v>
      </c>
      <c r="P747" s="2">
        <v>393.16</v>
      </c>
      <c r="Q747" t="s">
        <v>61</v>
      </c>
    </row>
    <row r="748" spans="1:17" x14ac:dyDescent="0.2">
      <c r="A748" t="s">
        <v>913</v>
      </c>
      <c r="B748" s="1">
        <v>45741</v>
      </c>
      <c r="C748" t="s">
        <v>77</v>
      </c>
      <c r="D748" t="s">
        <v>78</v>
      </c>
      <c r="E748" t="s">
        <v>295</v>
      </c>
      <c r="F748" t="s">
        <v>21</v>
      </c>
      <c r="G748" t="s">
        <v>22</v>
      </c>
      <c r="H748" t="s">
        <v>23</v>
      </c>
      <c r="I748" t="s">
        <v>24</v>
      </c>
      <c r="J748" t="s">
        <v>108</v>
      </c>
      <c r="K748">
        <v>2</v>
      </c>
      <c r="L748" s="2">
        <v>16.41</v>
      </c>
      <c r="M748" s="3">
        <v>0.15</v>
      </c>
      <c r="N748" s="2">
        <v>27.9</v>
      </c>
      <c r="O748" s="2">
        <v>17.170000000000002</v>
      </c>
      <c r="P748" s="2">
        <v>10.73</v>
      </c>
      <c r="Q748" t="s">
        <v>34</v>
      </c>
    </row>
    <row r="749" spans="1:17" x14ac:dyDescent="0.2">
      <c r="A749" t="s">
        <v>914</v>
      </c>
      <c r="B749" s="1">
        <v>45741</v>
      </c>
      <c r="C749" t="s">
        <v>18</v>
      </c>
      <c r="D749" t="s">
        <v>152</v>
      </c>
      <c r="E749" t="s">
        <v>153</v>
      </c>
      <c r="F749" t="s">
        <v>60</v>
      </c>
      <c r="G749" t="s">
        <v>75</v>
      </c>
      <c r="H749" t="s">
        <v>23</v>
      </c>
      <c r="I749" t="s">
        <v>79</v>
      </c>
      <c r="J749" t="s">
        <v>233</v>
      </c>
      <c r="K749">
        <v>10</v>
      </c>
      <c r="L749" s="2">
        <v>352.83</v>
      </c>
      <c r="M749" s="3">
        <v>0</v>
      </c>
      <c r="N749" s="2">
        <v>3528.3</v>
      </c>
      <c r="O749" s="2">
        <v>2260.69</v>
      </c>
      <c r="P749" s="2">
        <v>1267.6099999999999</v>
      </c>
      <c r="Q749" t="s">
        <v>61</v>
      </c>
    </row>
    <row r="750" spans="1:17" x14ac:dyDescent="0.2">
      <c r="A750" t="s">
        <v>915</v>
      </c>
      <c r="B750" s="1">
        <v>45741</v>
      </c>
      <c r="C750" t="s">
        <v>77</v>
      </c>
      <c r="D750" t="s">
        <v>78</v>
      </c>
      <c r="E750" t="s">
        <v>52</v>
      </c>
      <c r="F750" t="s">
        <v>30</v>
      </c>
      <c r="G750" t="s">
        <v>75</v>
      </c>
      <c r="H750" t="s">
        <v>23</v>
      </c>
      <c r="I750" t="s">
        <v>83</v>
      </c>
      <c r="J750" t="s">
        <v>131</v>
      </c>
      <c r="K750">
        <v>10</v>
      </c>
      <c r="L750" s="2">
        <v>27.05</v>
      </c>
      <c r="M750" s="3">
        <v>0.15</v>
      </c>
      <c r="N750" s="2">
        <v>229.92</v>
      </c>
      <c r="O750" s="2">
        <v>146.94</v>
      </c>
      <c r="P750" s="2">
        <v>82.98</v>
      </c>
      <c r="Q750" t="s">
        <v>26</v>
      </c>
    </row>
    <row r="751" spans="1:17" x14ac:dyDescent="0.2">
      <c r="A751" t="s">
        <v>916</v>
      </c>
      <c r="B751" s="1">
        <v>45742</v>
      </c>
      <c r="C751" t="s">
        <v>18</v>
      </c>
      <c r="D751" t="s">
        <v>133</v>
      </c>
      <c r="E751" t="s">
        <v>226</v>
      </c>
      <c r="F751" t="s">
        <v>53</v>
      </c>
      <c r="G751" t="s">
        <v>75</v>
      </c>
      <c r="H751" t="s">
        <v>31</v>
      </c>
      <c r="I751" t="s">
        <v>40</v>
      </c>
      <c r="J751" t="s">
        <v>41</v>
      </c>
      <c r="K751">
        <v>10</v>
      </c>
      <c r="L751" s="2">
        <v>189.5</v>
      </c>
      <c r="M751" s="3">
        <v>0.1</v>
      </c>
      <c r="N751" s="2">
        <v>1705.5</v>
      </c>
      <c r="O751" s="2">
        <v>1180.3800000000001</v>
      </c>
      <c r="P751" s="2">
        <v>525.12</v>
      </c>
      <c r="Q751" t="s">
        <v>57</v>
      </c>
    </row>
    <row r="752" spans="1:17" x14ac:dyDescent="0.2">
      <c r="A752" t="s">
        <v>917</v>
      </c>
      <c r="B752" s="1">
        <v>45742</v>
      </c>
      <c r="C752" t="s">
        <v>43</v>
      </c>
      <c r="D752" t="s">
        <v>161</v>
      </c>
      <c r="E752" t="s">
        <v>162</v>
      </c>
      <c r="F752" t="s">
        <v>138</v>
      </c>
      <c r="G752" t="s">
        <v>75</v>
      </c>
      <c r="H752" t="s">
        <v>31</v>
      </c>
      <c r="I752" t="s">
        <v>32</v>
      </c>
      <c r="J752" t="s">
        <v>33</v>
      </c>
      <c r="K752">
        <v>10</v>
      </c>
      <c r="L752" s="2">
        <v>715.15</v>
      </c>
      <c r="M752" s="3">
        <v>0.15</v>
      </c>
      <c r="N752" s="2">
        <v>6078.78</v>
      </c>
      <c r="O752" s="2">
        <v>3424.3</v>
      </c>
      <c r="P752" s="2">
        <v>2654.48</v>
      </c>
      <c r="Q752" t="s">
        <v>57</v>
      </c>
    </row>
    <row r="753" spans="1:17" x14ac:dyDescent="0.2">
      <c r="A753" t="s">
        <v>918</v>
      </c>
      <c r="B753" s="1">
        <v>45742</v>
      </c>
      <c r="C753" t="s">
        <v>77</v>
      </c>
      <c r="D753" t="s">
        <v>128</v>
      </c>
      <c r="E753" t="s">
        <v>155</v>
      </c>
      <c r="F753" t="s">
        <v>53</v>
      </c>
      <c r="G753" t="s">
        <v>54</v>
      </c>
      <c r="H753" t="s">
        <v>31</v>
      </c>
      <c r="I753" t="s">
        <v>40</v>
      </c>
      <c r="J753" t="s">
        <v>216</v>
      </c>
      <c r="K753">
        <v>9</v>
      </c>
      <c r="L753" s="2">
        <v>45.51</v>
      </c>
      <c r="M753" s="3">
        <v>0</v>
      </c>
      <c r="N753" s="2">
        <v>409.59</v>
      </c>
      <c r="O753" s="2">
        <v>311.49</v>
      </c>
      <c r="P753" s="2">
        <v>98.1</v>
      </c>
      <c r="Q753" t="s">
        <v>61</v>
      </c>
    </row>
    <row r="754" spans="1:17" x14ac:dyDescent="0.2">
      <c r="A754" t="s">
        <v>919</v>
      </c>
      <c r="B754" s="1">
        <v>45742</v>
      </c>
      <c r="C754" t="s">
        <v>77</v>
      </c>
      <c r="D754" t="s">
        <v>149</v>
      </c>
      <c r="E754" t="s">
        <v>206</v>
      </c>
      <c r="F754" t="s">
        <v>138</v>
      </c>
      <c r="G754" t="s">
        <v>75</v>
      </c>
      <c r="H754" t="s">
        <v>23</v>
      </c>
      <c r="I754" t="s">
        <v>24</v>
      </c>
      <c r="J754" t="s">
        <v>108</v>
      </c>
      <c r="K754">
        <v>10</v>
      </c>
      <c r="L754" s="2">
        <v>22.14</v>
      </c>
      <c r="M754" s="3">
        <v>0.15</v>
      </c>
      <c r="N754" s="2">
        <v>188.19</v>
      </c>
      <c r="O754" s="2">
        <v>123.81</v>
      </c>
      <c r="P754" s="2">
        <v>64.38</v>
      </c>
      <c r="Q754" t="s">
        <v>61</v>
      </c>
    </row>
    <row r="755" spans="1:17" x14ac:dyDescent="0.2">
      <c r="A755" t="s">
        <v>920</v>
      </c>
      <c r="B755" s="1">
        <v>45742</v>
      </c>
      <c r="C755" t="s">
        <v>77</v>
      </c>
      <c r="D755" t="s">
        <v>78</v>
      </c>
      <c r="E755" t="s">
        <v>295</v>
      </c>
      <c r="F755" t="s">
        <v>60</v>
      </c>
      <c r="G755" t="s">
        <v>22</v>
      </c>
      <c r="H755" t="s">
        <v>47</v>
      </c>
      <c r="I755" t="s">
        <v>48</v>
      </c>
      <c r="J755" t="s">
        <v>164</v>
      </c>
      <c r="K755">
        <v>9</v>
      </c>
      <c r="L755" s="2">
        <v>577.54999999999995</v>
      </c>
      <c r="M755" s="3">
        <v>0.05</v>
      </c>
      <c r="N755" s="2">
        <v>4938.05</v>
      </c>
      <c r="O755" s="2">
        <v>3122.94</v>
      </c>
      <c r="P755" s="2">
        <v>1815.11</v>
      </c>
      <c r="Q755" t="s">
        <v>61</v>
      </c>
    </row>
    <row r="756" spans="1:17" x14ac:dyDescent="0.2">
      <c r="A756" t="s">
        <v>921</v>
      </c>
      <c r="B756" s="1">
        <v>45742</v>
      </c>
      <c r="C756" t="s">
        <v>77</v>
      </c>
      <c r="D756" t="s">
        <v>106</v>
      </c>
      <c r="E756" t="s">
        <v>303</v>
      </c>
      <c r="F756" t="s">
        <v>21</v>
      </c>
      <c r="G756" t="s">
        <v>75</v>
      </c>
      <c r="H756" t="s">
        <v>31</v>
      </c>
      <c r="I756" t="s">
        <v>40</v>
      </c>
      <c r="J756" t="s">
        <v>41</v>
      </c>
      <c r="K756">
        <v>9</v>
      </c>
      <c r="L756" s="2">
        <v>69.849999999999994</v>
      </c>
      <c r="M756" s="3">
        <v>0.1</v>
      </c>
      <c r="N756" s="2">
        <v>565.78</v>
      </c>
      <c r="O756" s="2">
        <v>458.21</v>
      </c>
      <c r="P756" s="2">
        <v>107.57</v>
      </c>
      <c r="Q756" t="s">
        <v>57</v>
      </c>
    </row>
    <row r="757" spans="1:17" x14ac:dyDescent="0.2">
      <c r="A757" t="s">
        <v>922</v>
      </c>
      <c r="B757" s="1">
        <v>45742</v>
      </c>
      <c r="C757" t="s">
        <v>36</v>
      </c>
      <c r="D757" t="s">
        <v>144</v>
      </c>
      <c r="E757" t="s">
        <v>232</v>
      </c>
      <c r="F757" t="s">
        <v>30</v>
      </c>
      <c r="G757" t="s">
        <v>22</v>
      </c>
      <c r="H757" t="s">
        <v>23</v>
      </c>
      <c r="I757" t="s">
        <v>83</v>
      </c>
      <c r="J757" t="s">
        <v>120</v>
      </c>
      <c r="K757">
        <v>6</v>
      </c>
      <c r="L757" s="2">
        <v>14.93</v>
      </c>
      <c r="M757" s="3">
        <v>0</v>
      </c>
      <c r="N757" s="2">
        <v>89.58</v>
      </c>
      <c r="O757" s="2">
        <v>72.64</v>
      </c>
      <c r="P757" s="2">
        <v>16.940000000000001</v>
      </c>
      <c r="Q757" t="s">
        <v>26</v>
      </c>
    </row>
    <row r="758" spans="1:17" x14ac:dyDescent="0.2">
      <c r="A758" t="s">
        <v>923</v>
      </c>
      <c r="B758" s="1">
        <v>45742</v>
      </c>
      <c r="C758" t="s">
        <v>43</v>
      </c>
      <c r="D758" t="s">
        <v>51</v>
      </c>
      <c r="E758" t="s">
        <v>59</v>
      </c>
      <c r="F758" t="s">
        <v>53</v>
      </c>
      <c r="G758" t="s">
        <v>22</v>
      </c>
      <c r="H758" t="s">
        <v>23</v>
      </c>
      <c r="I758" t="s">
        <v>79</v>
      </c>
      <c r="J758" t="s">
        <v>179</v>
      </c>
      <c r="K758">
        <v>6</v>
      </c>
      <c r="L758" s="2">
        <v>301.64999999999998</v>
      </c>
      <c r="M758" s="3">
        <v>0</v>
      </c>
      <c r="N758" s="2">
        <v>1809.9</v>
      </c>
      <c r="O758" s="2">
        <v>1373.77</v>
      </c>
      <c r="P758" s="2">
        <v>436.13</v>
      </c>
      <c r="Q758" t="s">
        <v>61</v>
      </c>
    </row>
    <row r="759" spans="1:17" x14ac:dyDescent="0.2">
      <c r="A759" t="s">
        <v>924</v>
      </c>
      <c r="B759" s="1">
        <v>45742</v>
      </c>
      <c r="C759" t="s">
        <v>18</v>
      </c>
      <c r="D759" t="s">
        <v>19</v>
      </c>
      <c r="E759" t="s">
        <v>100</v>
      </c>
      <c r="F759" t="s">
        <v>60</v>
      </c>
      <c r="G759" t="s">
        <v>54</v>
      </c>
      <c r="H759" t="s">
        <v>23</v>
      </c>
      <c r="I759" t="s">
        <v>24</v>
      </c>
      <c r="J759" t="s">
        <v>108</v>
      </c>
      <c r="K759">
        <v>8</v>
      </c>
      <c r="L759" s="2">
        <v>7.6</v>
      </c>
      <c r="M759" s="3">
        <v>0</v>
      </c>
      <c r="N759" s="2">
        <v>60.8</v>
      </c>
      <c r="O759" s="2">
        <v>47.9</v>
      </c>
      <c r="P759" s="2">
        <v>12.9</v>
      </c>
      <c r="Q759" t="s">
        <v>26</v>
      </c>
    </row>
    <row r="760" spans="1:17" x14ac:dyDescent="0.2">
      <c r="A760" t="s">
        <v>925</v>
      </c>
      <c r="B760" s="1">
        <v>45742</v>
      </c>
      <c r="C760" t="s">
        <v>43</v>
      </c>
      <c r="D760" t="s">
        <v>51</v>
      </c>
      <c r="E760" t="s">
        <v>59</v>
      </c>
      <c r="F760" t="s">
        <v>53</v>
      </c>
      <c r="G760" t="s">
        <v>22</v>
      </c>
      <c r="H760" t="s">
        <v>31</v>
      </c>
      <c r="I760" t="s">
        <v>32</v>
      </c>
      <c r="J760" t="s">
        <v>104</v>
      </c>
      <c r="K760">
        <v>7</v>
      </c>
      <c r="L760" s="2">
        <v>1725.59</v>
      </c>
      <c r="M760" s="3">
        <v>0.1</v>
      </c>
      <c r="N760" s="2">
        <v>10871.22</v>
      </c>
      <c r="O760" s="2">
        <v>6814.41</v>
      </c>
      <c r="P760" s="2">
        <v>4056.81</v>
      </c>
      <c r="Q760" t="s">
        <v>61</v>
      </c>
    </row>
    <row r="761" spans="1:17" x14ac:dyDescent="0.2">
      <c r="A761" t="s">
        <v>926</v>
      </c>
      <c r="B761" s="1">
        <v>45743</v>
      </c>
      <c r="C761" t="s">
        <v>77</v>
      </c>
      <c r="D761" t="s">
        <v>106</v>
      </c>
      <c r="E761" t="s">
        <v>236</v>
      </c>
      <c r="F761" t="s">
        <v>130</v>
      </c>
      <c r="G761" t="s">
        <v>75</v>
      </c>
      <c r="H761" t="s">
        <v>23</v>
      </c>
      <c r="I761" t="s">
        <v>24</v>
      </c>
      <c r="J761" t="s">
        <v>220</v>
      </c>
      <c r="K761">
        <v>9</v>
      </c>
      <c r="L761" s="2">
        <v>20.329999999999998</v>
      </c>
      <c r="M761" s="3">
        <v>0.1</v>
      </c>
      <c r="N761" s="2">
        <v>164.67</v>
      </c>
      <c r="O761" s="2">
        <v>133.66999999999999</v>
      </c>
      <c r="P761" s="2">
        <v>31</v>
      </c>
      <c r="Q761" t="s">
        <v>61</v>
      </c>
    </row>
    <row r="762" spans="1:17" x14ac:dyDescent="0.2">
      <c r="A762" t="s">
        <v>927</v>
      </c>
      <c r="B762" s="1">
        <v>45743</v>
      </c>
      <c r="C762" t="s">
        <v>77</v>
      </c>
      <c r="D762" t="s">
        <v>78</v>
      </c>
      <c r="E762" t="s">
        <v>295</v>
      </c>
      <c r="F762" t="s">
        <v>60</v>
      </c>
      <c r="G762" t="s">
        <v>54</v>
      </c>
      <c r="H762" t="s">
        <v>47</v>
      </c>
      <c r="I762" t="s">
        <v>89</v>
      </c>
      <c r="J762" t="s">
        <v>204</v>
      </c>
      <c r="K762">
        <v>10</v>
      </c>
      <c r="L762" s="2">
        <v>215.18</v>
      </c>
      <c r="M762" s="3">
        <v>0.05</v>
      </c>
      <c r="N762" s="2">
        <v>2044.21</v>
      </c>
      <c r="O762" s="2">
        <v>1302.69</v>
      </c>
      <c r="P762" s="2">
        <v>741.52</v>
      </c>
      <c r="Q762" t="s">
        <v>34</v>
      </c>
    </row>
    <row r="763" spans="1:17" x14ac:dyDescent="0.2">
      <c r="A763" t="s">
        <v>928</v>
      </c>
      <c r="B763" s="1">
        <v>45743</v>
      </c>
      <c r="C763" t="s">
        <v>36</v>
      </c>
      <c r="D763" t="s">
        <v>37</v>
      </c>
      <c r="E763" t="s">
        <v>255</v>
      </c>
      <c r="F763" t="s">
        <v>130</v>
      </c>
      <c r="G763" t="s">
        <v>75</v>
      </c>
      <c r="H763" t="s">
        <v>23</v>
      </c>
      <c r="I763" t="s">
        <v>83</v>
      </c>
      <c r="J763" t="s">
        <v>131</v>
      </c>
      <c r="K763">
        <v>4</v>
      </c>
      <c r="L763" s="2">
        <v>26.38</v>
      </c>
      <c r="M763" s="3">
        <v>0</v>
      </c>
      <c r="N763" s="2">
        <v>105.52</v>
      </c>
      <c r="O763" s="2">
        <v>85.9</v>
      </c>
      <c r="P763" s="2">
        <v>19.62</v>
      </c>
      <c r="Q763" t="s">
        <v>26</v>
      </c>
    </row>
    <row r="764" spans="1:17" x14ac:dyDescent="0.2">
      <c r="A764" t="s">
        <v>929</v>
      </c>
      <c r="B764" s="1">
        <v>45744</v>
      </c>
      <c r="C764" t="s">
        <v>18</v>
      </c>
      <c r="D764" t="s">
        <v>152</v>
      </c>
      <c r="E764" t="s">
        <v>166</v>
      </c>
      <c r="F764" t="s">
        <v>130</v>
      </c>
      <c r="G764" t="s">
        <v>54</v>
      </c>
      <c r="H764" t="s">
        <v>47</v>
      </c>
      <c r="I764" t="s">
        <v>48</v>
      </c>
      <c r="J764" t="s">
        <v>164</v>
      </c>
      <c r="K764">
        <v>3</v>
      </c>
      <c r="L764" s="2">
        <v>847.19</v>
      </c>
      <c r="M764" s="3">
        <v>0</v>
      </c>
      <c r="N764" s="2">
        <v>2541.5700000000002</v>
      </c>
      <c r="O764" s="2">
        <v>1665.34</v>
      </c>
      <c r="P764" s="2">
        <v>876.23</v>
      </c>
      <c r="Q764" t="s">
        <v>61</v>
      </c>
    </row>
    <row r="765" spans="1:17" x14ac:dyDescent="0.2">
      <c r="A765" t="s">
        <v>930</v>
      </c>
      <c r="B765" s="1">
        <v>45744</v>
      </c>
      <c r="C765" t="s">
        <v>36</v>
      </c>
      <c r="D765" t="s">
        <v>73</v>
      </c>
      <c r="E765" t="s">
        <v>74</v>
      </c>
      <c r="F765" t="s">
        <v>30</v>
      </c>
      <c r="G765" t="s">
        <v>22</v>
      </c>
      <c r="H765" t="s">
        <v>31</v>
      </c>
      <c r="I765" t="s">
        <v>112</v>
      </c>
      <c r="J765" t="s">
        <v>113</v>
      </c>
      <c r="K765">
        <v>4</v>
      </c>
      <c r="L765" s="2">
        <v>173.4</v>
      </c>
      <c r="M765" s="3">
        <v>0.05</v>
      </c>
      <c r="N765" s="2">
        <v>658.92</v>
      </c>
      <c r="O765" s="2">
        <v>453.21</v>
      </c>
      <c r="P765" s="2">
        <v>205.71</v>
      </c>
      <c r="Q765" t="s">
        <v>57</v>
      </c>
    </row>
    <row r="766" spans="1:17" x14ac:dyDescent="0.2">
      <c r="A766" t="s">
        <v>931</v>
      </c>
      <c r="B766" s="1">
        <v>45744</v>
      </c>
      <c r="C766" t="s">
        <v>77</v>
      </c>
      <c r="D766" t="s">
        <v>95</v>
      </c>
      <c r="E766" t="s">
        <v>367</v>
      </c>
      <c r="F766" t="s">
        <v>71</v>
      </c>
      <c r="G766" t="s">
        <v>22</v>
      </c>
      <c r="H766" t="s">
        <v>31</v>
      </c>
      <c r="I766" t="s">
        <v>64</v>
      </c>
      <c r="J766" t="s">
        <v>252</v>
      </c>
      <c r="K766">
        <v>8</v>
      </c>
      <c r="L766" s="2">
        <v>43.03</v>
      </c>
      <c r="M766" s="3">
        <v>0.1</v>
      </c>
      <c r="N766" s="2">
        <v>309.82</v>
      </c>
      <c r="O766" s="2">
        <v>210.61</v>
      </c>
      <c r="P766" s="2">
        <v>99.21</v>
      </c>
      <c r="Q766" t="s">
        <v>34</v>
      </c>
    </row>
    <row r="767" spans="1:17" x14ac:dyDescent="0.2">
      <c r="A767" t="s">
        <v>932</v>
      </c>
      <c r="B767" s="1">
        <v>45744</v>
      </c>
      <c r="C767" t="s">
        <v>18</v>
      </c>
      <c r="D767" t="s">
        <v>152</v>
      </c>
      <c r="E767" t="s">
        <v>185</v>
      </c>
      <c r="F767" t="s">
        <v>138</v>
      </c>
      <c r="G767" t="s">
        <v>75</v>
      </c>
      <c r="H767" t="s">
        <v>47</v>
      </c>
      <c r="I767" t="s">
        <v>89</v>
      </c>
      <c r="J767" t="s">
        <v>240</v>
      </c>
      <c r="K767">
        <v>4</v>
      </c>
      <c r="L767" s="2">
        <v>163.82</v>
      </c>
      <c r="M767" s="3">
        <v>0.1</v>
      </c>
      <c r="N767" s="2">
        <v>589.75</v>
      </c>
      <c r="O767" s="2">
        <v>419.6</v>
      </c>
      <c r="P767" s="2">
        <v>170.15</v>
      </c>
      <c r="Q767" t="s">
        <v>34</v>
      </c>
    </row>
    <row r="768" spans="1:17" x14ac:dyDescent="0.2">
      <c r="A768" t="s">
        <v>933</v>
      </c>
      <c r="B768" s="1">
        <v>45744</v>
      </c>
      <c r="C768" t="s">
        <v>77</v>
      </c>
      <c r="D768" t="s">
        <v>78</v>
      </c>
      <c r="E768" t="s">
        <v>295</v>
      </c>
      <c r="F768" t="s">
        <v>130</v>
      </c>
      <c r="G768" t="s">
        <v>22</v>
      </c>
      <c r="H768" t="s">
        <v>23</v>
      </c>
      <c r="I768" t="s">
        <v>83</v>
      </c>
      <c r="J768" t="s">
        <v>84</v>
      </c>
      <c r="K768">
        <v>10</v>
      </c>
      <c r="L768" s="2">
        <v>16.21</v>
      </c>
      <c r="M768" s="3">
        <v>0</v>
      </c>
      <c r="N768" s="2">
        <v>162.1</v>
      </c>
      <c r="O768" s="2">
        <v>125.89</v>
      </c>
      <c r="P768" s="2">
        <v>36.21</v>
      </c>
      <c r="Q768" t="s">
        <v>26</v>
      </c>
    </row>
    <row r="769" spans="1:17" x14ac:dyDescent="0.2">
      <c r="A769" t="s">
        <v>934</v>
      </c>
      <c r="B769" s="1">
        <v>45744</v>
      </c>
      <c r="C769" t="s">
        <v>77</v>
      </c>
      <c r="D769" t="s">
        <v>95</v>
      </c>
      <c r="E769" t="s">
        <v>367</v>
      </c>
      <c r="F769" t="s">
        <v>69</v>
      </c>
      <c r="G769" t="s">
        <v>22</v>
      </c>
      <c r="H769" t="s">
        <v>23</v>
      </c>
      <c r="I769" t="s">
        <v>83</v>
      </c>
      <c r="J769" t="s">
        <v>120</v>
      </c>
      <c r="K769">
        <v>7</v>
      </c>
      <c r="L769" s="2">
        <v>19.59</v>
      </c>
      <c r="M769" s="3">
        <v>0.05</v>
      </c>
      <c r="N769" s="2">
        <v>130.27000000000001</v>
      </c>
      <c r="O769" s="2">
        <v>95.08</v>
      </c>
      <c r="P769" s="2">
        <v>35.19</v>
      </c>
      <c r="Q769" t="s">
        <v>57</v>
      </c>
    </row>
    <row r="770" spans="1:17" x14ac:dyDescent="0.2">
      <c r="A770" t="s">
        <v>935</v>
      </c>
      <c r="B770" s="1">
        <v>45744</v>
      </c>
      <c r="C770" t="s">
        <v>43</v>
      </c>
      <c r="D770" t="s">
        <v>244</v>
      </c>
      <c r="E770" t="s">
        <v>245</v>
      </c>
      <c r="F770" t="s">
        <v>71</v>
      </c>
      <c r="G770" t="s">
        <v>75</v>
      </c>
      <c r="H770" t="s">
        <v>31</v>
      </c>
      <c r="I770" t="s">
        <v>64</v>
      </c>
      <c r="J770" t="s">
        <v>126</v>
      </c>
      <c r="K770">
        <v>7</v>
      </c>
      <c r="L770" s="2">
        <v>179.03</v>
      </c>
      <c r="M770" s="3">
        <v>0.05</v>
      </c>
      <c r="N770" s="2">
        <v>1190.55</v>
      </c>
      <c r="O770" s="2">
        <v>785.58</v>
      </c>
      <c r="P770" s="2">
        <v>404.97</v>
      </c>
      <c r="Q770" t="s">
        <v>34</v>
      </c>
    </row>
    <row r="771" spans="1:17" x14ac:dyDescent="0.2">
      <c r="A771" t="s">
        <v>936</v>
      </c>
      <c r="B771" s="1">
        <v>45744</v>
      </c>
      <c r="C771" t="s">
        <v>36</v>
      </c>
      <c r="D771" t="s">
        <v>67</v>
      </c>
      <c r="E771" t="s">
        <v>270</v>
      </c>
      <c r="F771" t="s">
        <v>71</v>
      </c>
      <c r="G771" t="s">
        <v>54</v>
      </c>
      <c r="H771" t="s">
        <v>47</v>
      </c>
      <c r="I771" t="s">
        <v>89</v>
      </c>
      <c r="J771" t="s">
        <v>240</v>
      </c>
      <c r="K771">
        <v>9</v>
      </c>
      <c r="L771" s="2">
        <v>374.84</v>
      </c>
      <c r="M771" s="3">
        <v>0</v>
      </c>
      <c r="N771" s="2">
        <v>3373.56</v>
      </c>
      <c r="O771" s="2">
        <v>2449.7600000000002</v>
      </c>
      <c r="P771" s="2">
        <v>923.8</v>
      </c>
      <c r="Q771" t="s">
        <v>26</v>
      </c>
    </row>
    <row r="772" spans="1:17" x14ac:dyDescent="0.2">
      <c r="A772" t="s">
        <v>937</v>
      </c>
      <c r="B772" s="1">
        <v>45744</v>
      </c>
      <c r="C772" t="s">
        <v>77</v>
      </c>
      <c r="D772" t="s">
        <v>128</v>
      </c>
      <c r="E772" t="s">
        <v>155</v>
      </c>
      <c r="F772" t="s">
        <v>69</v>
      </c>
      <c r="G772" t="s">
        <v>22</v>
      </c>
      <c r="H772" t="s">
        <v>23</v>
      </c>
      <c r="I772" t="s">
        <v>83</v>
      </c>
      <c r="J772" t="s">
        <v>131</v>
      </c>
      <c r="K772">
        <v>3</v>
      </c>
      <c r="L772" s="2">
        <v>23.21</v>
      </c>
      <c r="M772" s="3">
        <v>0.1</v>
      </c>
      <c r="N772" s="2">
        <v>62.67</v>
      </c>
      <c r="O772" s="2">
        <v>40.08</v>
      </c>
      <c r="P772" s="2">
        <v>22.59</v>
      </c>
      <c r="Q772" t="s">
        <v>57</v>
      </c>
    </row>
    <row r="773" spans="1:17" x14ac:dyDescent="0.2">
      <c r="A773" t="s">
        <v>938</v>
      </c>
      <c r="B773" s="1">
        <v>45744</v>
      </c>
      <c r="C773" t="s">
        <v>77</v>
      </c>
      <c r="D773" t="s">
        <v>106</v>
      </c>
      <c r="E773" t="s">
        <v>236</v>
      </c>
      <c r="F773" t="s">
        <v>30</v>
      </c>
      <c r="G773" t="s">
        <v>22</v>
      </c>
      <c r="H773" t="s">
        <v>23</v>
      </c>
      <c r="I773" t="s">
        <v>55</v>
      </c>
      <c r="J773" t="s">
        <v>56</v>
      </c>
      <c r="K773">
        <v>4</v>
      </c>
      <c r="L773" s="2">
        <v>10.43</v>
      </c>
      <c r="M773" s="3">
        <v>0.05</v>
      </c>
      <c r="N773" s="2">
        <v>39.630000000000003</v>
      </c>
      <c r="O773" s="2">
        <v>26.27</v>
      </c>
      <c r="P773" s="2">
        <v>13.36</v>
      </c>
      <c r="Q773" t="s">
        <v>57</v>
      </c>
    </row>
    <row r="774" spans="1:17" x14ac:dyDescent="0.2">
      <c r="A774" t="s">
        <v>939</v>
      </c>
      <c r="B774" s="1">
        <v>45744</v>
      </c>
      <c r="C774" t="s">
        <v>77</v>
      </c>
      <c r="D774" t="s">
        <v>95</v>
      </c>
      <c r="E774" t="s">
        <v>367</v>
      </c>
      <c r="F774" t="s">
        <v>46</v>
      </c>
      <c r="G774" t="s">
        <v>22</v>
      </c>
      <c r="H774" t="s">
        <v>47</v>
      </c>
      <c r="I774" t="s">
        <v>48</v>
      </c>
      <c r="J774" t="s">
        <v>93</v>
      </c>
      <c r="K774">
        <v>7</v>
      </c>
      <c r="L774" s="2">
        <v>419.49</v>
      </c>
      <c r="M774" s="3">
        <v>0.05</v>
      </c>
      <c r="N774" s="2">
        <v>2789.61</v>
      </c>
      <c r="O774" s="2">
        <v>1838.95</v>
      </c>
      <c r="P774" s="2">
        <v>950.66</v>
      </c>
      <c r="Q774" t="s">
        <v>26</v>
      </c>
    </row>
    <row r="775" spans="1:17" x14ac:dyDescent="0.2">
      <c r="A775" t="s">
        <v>940</v>
      </c>
      <c r="B775" s="1">
        <v>45744</v>
      </c>
      <c r="C775" t="s">
        <v>18</v>
      </c>
      <c r="D775" t="s">
        <v>86</v>
      </c>
      <c r="E775" t="s">
        <v>87</v>
      </c>
      <c r="F775" t="s">
        <v>71</v>
      </c>
      <c r="G775" t="s">
        <v>54</v>
      </c>
      <c r="H775" t="s">
        <v>23</v>
      </c>
      <c r="I775" t="s">
        <v>83</v>
      </c>
      <c r="J775" t="s">
        <v>84</v>
      </c>
      <c r="K775">
        <v>2</v>
      </c>
      <c r="L775" s="2">
        <v>32.64</v>
      </c>
      <c r="M775" s="3">
        <v>0.15</v>
      </c>
      <c r="N775" s="2">
        <v>55.49</v>
      </c>
      <c r="O775" s="2">
        <v>31</v>
      </c>
      <c r="P775" s="2">
        <v>24.49</v>
      </c>
      <c r="Q775" t="s">
        <v>57</v>
      </c>
    </row>
    <row r="776" spans="1:17" x14ac:dyDescent="0.2">
      <c r="A776" t="s">
        <v>941</v>
      </c>
      <c r="B776" s="1">
        <v>45744</v>
      </c>
      <c r="C776" t="s">
        <v>77</v>
      </c>
      <c r="D776" t="s">
        <v>149</v>
      </c>
      <c r="E776" t="s">
        <v>206</v>
      </c>
      <c r="F776" t="s">
        <v>39</v>
      </c>
      <c r="G776" t="s">
        <v>75</v>
      </c>
      <c r="H776" t="s">
        <v>23</v>
      </c>
      <c r="I776" t="s">
        <v>24</v>
      </c>
      <c r="J776" t="s">
        <v>25</v>
      </c>
      <c r="K776">
        <v>1</v>
      </c>
      <c r="L776" s="2">
        <v>11.17</v>
      </c>
      <c r="M776" s="3">
        <v>0.2</v>
      </c>
      <c r="N776" s="2">
        <v>8.94</v>
      </c>
      <c r="O776" s="2">
        <v>7.22</v>
      </c>
      <c r="P776" s="2">
        <v>1.72</v>
      </c>
      <c r="Q776" t="s">
        <v>57</v>
      </c>
    </row>
    <row r="777" spans="1:17" x14ac:dyDescent="0.2">
      <c r="A777" t="s">
        <v>942</v>
      </c>
      <c r="B777" s="1">
        <v>45745</v>
      </c>
      <c r="C777" t="s">
        <v>43</v>
      </c>
      <c r="D777" t="s">
        <v>244</v>
      </c>
      <c r="E777" t="s">
        <v>300</v>
      </c>
      <c r="F777" t="s">
        <v>53</v>
      </c>
      <c r="G777" t="s">
        <v>75</v>
      </c>
      <c r="H777" t="s">
        <v>23</v>
      </c>
      <c r="I777" t="s">
        <v>55</v>
      </c>
      <c r="J777" t="s">
        <v>56</v>
      </c>
      <c r="K777">
        <v>7</v>
      </c>
      <c r="L777" s="2">
        <v>14.72</v>
      </c>
      <c r="M777" s="3">
        <v>0</v>
      </c>
      <c r="N777" s="2">
        <v>103.04</v>
      </c>
      <c r="O777" s="2">
        <v>82.5</v>
      </c>
      <c r="P777" s="2">
        <v>20.54</v>
      </c>
      <c r="Q777" t="s">
        <v>57</v>
      </c>
    </row>
    <row r="778" spans="1:17" x14ac:dyDescent="0.2">
      <c r="A778" t="s">
        <v>943</v>
      </c>
      <c r="B778" s="1">
        <v>45745</v>
      </c>
      <c r="C778" t="s">
        <v>43</v>
      </c>
      <c r="D778" t="s">
        <v>44</v>
      </c>
      <c r="E778" t="s">
        <v>147</v>
      </c>
      <c r="F778" t="s">
        <v>69</v>
      </c>
      <c r="G778" t="s">
        <v>54</v>
      </c>
      <c r="H778" t="s">
        <v>23</v>
      </c>
      <c r="I778" t="s">
        <v>83</v>
      </c>
      <c r="J778" t="s">
        <v>131</v>
      </c>
      <c r="K778">
        <v>8</v>
      </c>
      <c r="L778" s="2">
        <v>34.44</v>
      </c>
      <c r="M778" s="3">
        <v>0.1</v>
      </c>
      <c r="N778" s="2">
        <v>247.97</v>
      </c>
      <c r="O778" s="2">
        <v>179.94</v>
      </c>
      <c r="P778" s="2">
        <v>68.03</v>
      </c>
      <c r="Q778" t="s">
        <v>34</v>
      </c>
    </row>
    <row r="779" spans="1:17" x14ac:dyDescent="0.2">
      <c r="A779" t="s">
        <v>944</v>
      </c>
      <c r="B779" s="1">
        <v>45745</v>
      </c>
      <c r="C779" t="s">
        <v>77</v>
      </c>
      <c r="D779" t="s">
        <v>95</v>
      </c>
      <c r="E779" t="s">
        <v>96</v>
      </c>
      <c r="F779" t="s">
        <v>71</v>
      </c>
      <c r="G779" t="s">
        <v>22</v>
      </c>
      <c r="H779" t="s">
        <v>31</v>
      </c>
      <c r="I779" t="s">
        <v>40</v>
      </c>
      <c r="J779" t="s">
        <v>216</v>
      </c>
      <c r="K779">
        <v>2</v>
      </c>
      <c r="L779" s="2">
        <v>78.23</v>
      </c>
      <c r="M779" s="3">
        <v>0.1</v>
      </c>
      <c r="N779" s="2">
        <v>140.81</v>
      </c>
      <c r="O779" s="2">
        <v>95.63</v>
      </c>
      <c r="P779" s="2">
        <v>45.18</v>
      </c>
      <c r="Q779" t="s">
        <v>26</v>
      </c>
    </row>
    <row r="780" spans="1:17" x14ac:dyDescent="0.2">
      <c r="A780" t="s">
        <v>945</v>
      </c>
      <c r="B780" s="1">
        <v>45745</v>
      </c>
      <c r="C780" t="s">
        <v>18</v>
      </c>
      <c r="D780" t="s">
        <v>19</v>
      </c>
      <c r="E780" t="s">
        <v>118</v>
      </c>
      <c r="F780" t="s">
        <v>21</v>
      </c>
      <c r="G780" t="s">
        <v>75</v>
      </c>
      <c r="H780" t="s">
        <v>23</v>
      </c>
      <c r="I780" t="s">
        <v>24</v>
      </c>
      <c r="J780" t="s">
        <v>25</v>
      </c>
      <c r="K780">
        <v>5</v>
      </c>
      <c r="L780" s="2">
        <v>6.54</v>
      </c>
      <c r="M780" s="3">
        <v>0</v>
      </c>
      <c r="N780" s="2">
        <v>32.700000000000003</v>
      </c>
      <c r="O780" s="2">
        <v>21.46</v>
      </c>
      <c r="P780" s="2">
        <v>11.24</v>
      </c>
      <c r="Q780" t="s">
        <v>61</v>
      </c>
    </row>
    <row r="781" spans="1:17" x14ac:dyDescent="0.2">
      <c r="A781" t="s">
        <v>946</v>
      </c>
      <c r="B781" s="1">
        <v>45746</v>
      </c>
      <c r="C781" t="s">
        <v>43</v>
      </c>
      <c r="D781" t="s">
        <v>244</v>
      </c>
      <c r="E781" t="s">
        <v>245</v>
      </c>
      <c r="F781" t="s">
        <v>21</v>
      </c>
      <c r="G781" t="s">
        <v>54</v>
      </c>
      <c r="H781" t="s">
        <v>47</v>
      </c>
      <c r="I781" t="s">
        <v>141</v>
      </c>
      <c r="J781" t="s">
        <v>201</v>
      </c>
      <c r="K781">
        <v>2</v>
      </c>
      <c r="L781" s="2">
        <v>697.6</v>
      </c>
      <c r="M781" s="3">
        <v>0.1</v>
      </c>
      <c r="N781" s="2">
        <v>1255.68</v>
      </c>
      <c r="O781" s="2">
        <v>899.5</v>
      </c>
      <c r="P781" s="2">
        <v>356.18</v>
      </c>
      <c r="Q781" t="s">
        <v>34</v>
      </c>
    </row>
    <row r="782" spans="1:17" x14ac:dyDescent="0.2">
      <c r="A782" t="s">
        <v>947</v>
      </c>
      <c r="B782" s="1">
        <v>45746</v>
      </c>
      <c r="C782" t="s">
        <v>18</v>
      </c>
      <c r="D782" t="s">
        <v>133</v>
      </c>
      <c r="E782" t="s">
        <v>134</v>
      </c>
      <c r="F782" t="s">
        <v>30</v>
      </c>
      <c r="G782" t="s">
        <v>75</v>
      </c>
      <c r="H782" t="s">
        <v>31</v>
      </c>
      <c r="I782" t="s">
        <v>32</v>
      </c>
      <c r="J782" t="s">
        <v>258</v>
      </c>
      <c r="K782">
        <v>3</v>
      </c>
      <c r="L782" s="2">
        <v>989.75</v>
      </c>
      <c r="M782" s="3">
        <v>0.1</v>
      </c>
      <c r="N782" s="2">
        <v>2672.32</v>
      </c>
      <c r="O782" s="2">
        <v>1705.95</v>
      </c>
      <c r="P782" s="2">
        <v>966.37</v>
      </c>
      <c r="Q782" t="s">
        <v>26</v>
      </c>
    </row>
    <row r="783" spans="1:17" x14ac:dyDescent="0.2">
      <c r="A783" t="s">
        <v>948</v>
      </c>
      <c r="B783" s="1">
        <v>45746</v>
      </c>
      <c r="C783" t="s">
        <v>43</v>
      </c>
      <c r="D783" t="s">
        <v>208</v>
      </c>
      <c r="E783" t="s">
        <v>287</v>
      </c>
      <c r="F783" t="s">
        <v>46</v>
      </c>
      <c r="G783" t="s">
        <v>22</v>
      </c>
      <c r="H783" t="s">
        <v>47</v>
      </c>
      <c r="I783" t="s">
        <v>141</v>
      </c>
      <c r="J783" t="s">
        <v>372</v>
      </c>
      <c r="K783">
        <v>1</v>
      </c>
      <c r="L783" s="2">
        <v>251.36</v>
      </c>
      <c r="M783" s="3">
        <v>0.15</v>
      </c>
      <c r="N783" s="2">
        <v>213.66</v>
      </c>
      <c r="O783" s="2">
        <v>143.49</v>
      </c>
      <c r="P783" s="2">
        <v>70.17</v>
      </c>
      <c r="Q783" t="s">
        <v>57</v>
      </c>
    </row>
    <row r="784" spans="1:17" x14ac:dyDescent="0.2">
      <c r="A784" t="s">
        <v>949</v>
      </c>
      <c r="B784" s="1">
        <v>45746</v>
      </c>
      <c r="C784" t="s">
        <v>18</v>
      </c>
      <c r="D784" t="s">
        <v>86</v>
      </c>
      <c r="E784" t="s">
        <v>140</v>
      </c>
      <c r="F784" t="s">
        <v>53</v>
      </c>
      <c r="G784" t="s">
        <v>22</v>
      </c>
      <c r="H784" t="s">
        <v>23</v>
      </c>
      <c r="I784" t="s">
        <v>79</v>
      </c>
      <c r="J784" t="s">
        <v>233</v>
      </c>
      <c r="K784">
        <v>5</v>
      </c>
      <c r="L784" s="2">
        <v>434.29</v>
      </c>
      <c r="M784" s="3">
        <v>0.1</v>
      </c>
      <c r="N784" s="2">
        <v>1954.31</v>
      </c>
      <c r="O784" s="2">
        <v>1229.6500000000001</v>
      </c>
      <c r="P784" s="2">
        <v>724.66</v>
      </c>
      <c r="Q784" t="s">
        <v>57</v>
      </c>
    </row>
    <row r="785" spans="1:17" x14ac:dyDescent="0.2">
      <c r="A785" t="s">
        <v>950</v>
      </c>
      <c r="B785" s="1">
        <v>45746</v>
      </c>
      <c r="C785" t="s">
        <v>18</v>
      </c>
      <c r="D785" t="s">
        <v>86</v>
      </c>
      <c r="E785" t="s">
        <v>87</v>
      </c>
      <c r="F785" t="s">
        <v>53</v>
      </c>
      <c r="G785" t="s">
        <v>75</v>
      </c>
      <c r="H785" t="s">
        <v>47</v>
      </c>
      <c r="I785" t="s">
        <v>97</v>
      </c>
      <c r="J785" t="s">
        <v>168</v>
      </c>
      <c r="K785">
        <v>5</v>
      </c>
      <c r="L785" s="2">
        <v>265.94</v>
      </c>
      <c r="M785" s="3">
        <v>0.05</v>
      </c>
      <c r="N785" s="2">
        <v>1263.21</v>
      </c>
      <c r="O785" s="2">
        <v>832.62</v>
      </c>
      <c r="P785" s="2">
        <v>430.59</v>
      </c>
      <c r="Q785" t="s">
        <v>61</v>
      </c>
    </row>
    <row r="786" spans="1:17" x14ac:dyDescent="0.2">
      <c r="A786" t="s">
        <v>951</v>
      </c>
      <c r="B786" s="1">
        <v>45746</v>
      </c>
      <c r="C786" t="s">
        <v>77</v>
      </c>
      <c r="D786" t="s">
        <v>95</v>
      </c>
      <c r="E786" t="s">
        <v>96</v>
      </c>
      <c r="F786" t="s">
        <v>71</v>
      </c>
      <c r="G786" t="s">
        <v>22</v>
      </c>
      <c r="H786" t="s">
        <v>31</v>
      </c>
      <c r="I786" t="s">
        <v>40</v>
      </c>
      <c r="J786" t="s">
        <v>216</v>
      </c>
      <c r="K786">
        <v>5</v>
      </c>
      <c r="L786" s="2">
        <v>130.83000000000001</v>
      </c>
      <c r="M786" s="3">
        <v>0.1</v>
      </c>
      <c r="N786" s="2">
        <v>588.74</v>
      </c>
      <c r="O786" s="2">
        <v>405.69</v>
      </c>
      <c r="P786" s="2">
        <v>183.05</v>
      </c>
      <c r="Q786" t="s">
        <v>26</v>
      </c>
    </row>
    <row r="787" spans="1:17" x14ac:dyDescent="0.2">
      <c r="A787" t="s">
        <v>952</v>
      </c>
      <c r="B787" s="1">
        <v>45746</v>
      </c>
      <c r="C787" t="s">
        <v>18</v>
      </c>
      <c r="D787" t="s">
        <v>152</v>
      </c>
      <c r="E787" t="s">
        <v>166</v>
      </c>
      <c r="F787" t="s">
        <v>138</v>
      </c>
      <c r="G787" t="s">
        <v>22</v>
      </c>
      <c r="H787" t="s">
        <v>47</v>
      </c>
      <c r="I787" t="s">
        <v>48</v>
      </c>
      <c r="J787" t="s">
        <v>49</v>
      </c>
      <c r="K787">
        <v>10</v>
      </c>
      <c r="L787" s="2">
        <v>680.17</v>
      </c>
      <c r="M787" s="3">
        <v>0</v>
      </c>
      <c r="N787" s="2">
        <v>6801.7</v>
      </c>
      <c r="O787" s="2">
        <v>5202.51</v>
      </c>
      <c r="P787" s="2">
        <v>1599.19</v>
      </c>
      <c r="Q787" t="s">
        <v>26</v>
      </c>
    </row>
    <row r="788" spans="1:17" x14ac:dyDescent="0.2">
      <c r="A788" t="s">
        <v>953</v>
      </c>
      <c r="B788" s="1">
        <v>45747</v>
      </c>
      <c r="C788" t="s">
        <v>18</v>
      </c>
      <c r="D788" t="s">
        <v>28</v>
      </c>
      <c r="E788" t="s">
        <v>29</v>
      </c>
      <c r="F788" t="s">
        <v>53</v>
      </c>
      <c r="G788" t="s">
        <v>22</v>
      </c>
      <c r="H788" t="s">
        <v>23</v>
      </c>
      <c r="I788" t="s">
        <v>24</v>
      </c>
      <c r="J788" t="s">
        <v>25</v>
      </c>
      <c r="K788">
        <v>1</v>
      </c>
      <c r="L788" s="2">
        <v>11.13</v>
      </c>
      <c r="M788" s="3">
        <v>0.2</v>
      </c>
      <c r="N788" s="2">
        <v>8.9</v>
      </c>
      <c r="O788" s="2">
        <v>6.62</v>
      </c>
      <c r="P788" s="2">
        <v>2.2799999999999998</v>
      </c>
      <c r="Q788" t="s">
        <v>26</v>
      </c>
    </row>
    <row r="789" spans="1:17" x14ac:dyDescent="0.2">
      <c r="A789" t="s">
        <v>954</v>
      </c>
      <c r="B789" s="1">
        <v>45747</v>
      </c>
      <c r="C789" t="s">
        <v>77</v>
      </c>
      <c r="D789" t="s">
        <v>149</v>
      </c>
      <c r="E789" t="s">
        <v>206</v>
      </c>
      <c r="F789" t="s">
        <v>46</v>
      </c>
      <c r="G789" t="s">
        <v>54</v>
      </c>
      <c r="H789" t="s">
        <v>47</v>
      </c>
      <c r="I789" t="s">
        <v>97</v>
      </c>
      <c r="J789" t="s">
        <v>98</v>
      </c>
      <c r="K789">
        <v>10</v>
      </c>
      <c r="L789" s="2">
        <v>620.21</v>
      </c>
      <c r="M789" s="3">
        <v>0.2</v>
      </c>
      <c r="N789" s="2">
        <v>4961.68</v>
      </c>
      <c r="O789" s="2">
        <v>3658.55</v>
      </c>
      <c r="P789" s="2">
        <v>1303.1300000000001</v>
      </c>
      <c r="Q789" t="s">
        <v>57</v>
      </c>
    </row>
    <row r="790" spans="1:17" x14ac:dyDescent="0.2">
      <c r="A790" t="s">
        <v>955</v>
      </c>
      <c r="B790" s="1">
        <v>45747</v>
      </c>
      <c r="C790" t="s">
        <v>43</v>
      </c>
      <c r="D790" t="s">
        <v>244</v>
      </c>
      <c r="E790" t="s">
        <v>245</v>
      </c>
      <c r="F790" t="s">
        <v>130</v>
      </c>
      <c r="G790" t="s">
        <v>22</v>
      </c>
      <c r="H790" t="s">
        <v>31</v>
      </c>
      <c r="I790" t="s">
        <v>40</v>
      </c>
      <c r="J790" t="s">
        <v>216</v>
      </c>
      <c r="K790">
        <v>7</v>
      </c>
      <c r="L790" s="2">
        <v>180.79</v>
      </c>
      <c r="M790" s="3">
        <v>0.1</v>
      </c>
      <c r="N790" s="2">
        <v>1138.98</v>
      </c>
      <c r="O790" s="2">
        <v>781.38</v>
      </c>
      <c r="P790" s="2">
        <v>357.6</v>
      </c>
      <c r="Q790" t="s">
        <v>61</v>
      </c>
    </row>
    <row r="791" spans="1:17" x14ac:dyDescent="0.2">
      <c r="A791" t="s">
        <v>956</v>
      </c>
      <c r="B791" s="1">
        <v>45747</v>
      </c>
      <c r="C791" t="s">
        <v>36</v>
      </c>
      <c r="D791" t="s">
        <v>144</v>
      </c>
      <c r="E791" t="s">
        <v>145</v>
      </c>
      <c r="F791" t="s">
        <v>130</v>
      </c>
      <c r="G791" t="s">
        <v>22</v>
      </c>
      <c r="H791" t="s">
        <v>31</v>
      </c>
      <c r="I791" t="s">
        <v>112</v>
      </c>
      <c r="J791" t="s">
        <v>113</v>
      </c>
      <c r="K791">
        <v>7</v>
      </c>
      <c r="L791" s="2">
        <v>257.73</v>
      </c>
      <c r="M791" s="3">
        <v>0.1</v>
      </c>
      <c r="N791" s="2">
        <v>1623.7</v>
      </c>
      <c r="O791" s="2">
        <v>1076.45</v>
      </c>
      <c r="P791" s="2">
        <v>547.25</v>
      </c>
      <c r="Q791" t="s">
        <v>26</v>
      </c>
    </row>
    <row r="792" spans="1:17" x14ac:dyDescent="0.2">
      <c r="A792" t="s">
        <v>957</v>
      </c>
      <c r="B792" s="1">
        <v>45747</v>
      </c>
      <c r="C792" t="s">
        <v>18</v>
      </c>
      <c r="D792" t="s">
        <v>28</v>
      </c>
      <c r="E792" t="s">
        <v>157</v>
      </c>
      <c r="F792" t="s">
        <v>53</v>
      </c>
      <c r="G792" t="s">
        <v>54</v>
      </c>
      <c r="H792" t="s">
        <v>23</v>
      </c>
      <c r="I792" t="s">
        <v>24</v>
      </c>
      <c r="J792" t="s">
        <v>108</v>
      </c>
      <c r="K792">
        <v>6</v>
      </c>
      <c r="L792" s="2">
        <v>7.04</v>
      </c>
      <c r="M792" s="3">
        <v>0.15</v>
      </c>
      <c r="N792" s="2">
        <v>35.9</v>
      </c>
      <c r="O792" s="2">
        <v>19.850000000000001</v>
      </c>
      <c r="P792" s="2">
        <v>16.05</v>
      </c>
      <c r="Q792" t="s">
        <v>61</v>
      </c>
    </row>
    <row r="793" spans="1:17" x14ac:dyDescent="0.2">
      <c r="A793" t="s">
        <v>958</v>
      </c>
      <c r="B793" s="1">
        <v>45747</v>
      </c>
      <c r="C793" t="s">
        <v>43</v>
      </c>
      <c r="D793" t="s">
        <v>51</v>
      </c>
      <c r="E793" t="s">
        <v>63</v>
      </c>
      <c r="F793" t="s">
        <v>60</v>
      </c>
      <c r="G793" t="s">
        <v>75</v>
      </c>
      <c r="H793" t="s">
        <v>31</v>
      </c>
      <c r="I793" t="s">
        <v>64</v>
      </c>
      <c r="J793" t="s">
        <v>65</v>
      </c>
      <c r="K793">
        <v>3</v>
      </c>
      <c r="L793" s="2">
        <v>153.01</v>
      </c>
      <c r="M793" s="3">
        <v>0</v>
      </c>
      <c r="N793" s="2">
        <v>459.03</v>
      </c>
      <c r="O793" s="2">
        <v>311.95</v>
      </c>
      <c r="P793" s="2">
        <v>147.08000000000001</v>
      </c>
      <c r="Q793" t="s">
        <v>26</v>
      </c>
    </row>
    <row r="794" spans="1:17" x14ac:dyDescent="0.2">
      <c r="A794" t="s">
        <v>959</v>
      </c>
      <c r="B794" s="1">
        <v>45747</v>
      </c>
      <c r="C794" t="s">
        <v>77</v>
      </c>
      <c r="D794" t="s">
        <v>78</v>
      </c>
      <c r="E794" t="s">
        <v>52</v>
      </c>
      <c r="F794" t="s">
        <v>46</v>
      </c>
      <c r="G794" t="s">
        <v>22</v>
      </c>
      <c r="H794" t="s">
        <v>23</v>
      </c>
      <c r="I794" t="s">
        <v>55</v>
      </c>
      <c r="J794" t="s">
        <v>173</v>
      </c>
      <c r="K794">
        <v>6</v>
      </c>
      <c r="L794" s="2">
        <v>19.34</v>
      </c>
      <c r="M794" s="3">
        <v>0.2</v>
      </c>
      <c r="N794" s="2">
        <v>92.83</v>
      </c>
      <c r="O794" s="2">
        <v>57.52</v>
      </c>
      <c r="P794" s="2">
        <v>35.31</v>
      </c>
      <c r="Q794" t="s">
        <v>34</v>
      </c>
    </row>
    <row r="795" spans="1:17" x14ac:dyDescent="0.2">
      <c r="A795" t="s">
        <v>960</v>
      </c>
      <c r="B795" s="1">
        <v>45747</v>
      </c>
      <c r="C795" t="s">
        <v>77</v>
      </c>
      <c r="D795" t="s">
        <v>149</v>
      </c>
      <c r="E795" t="s">
        <v>309</v>
      </c>
      <c r="F795" t="s">
        <v>130</v>
      </c>
      <c r="G795" t="s">
        <v>22</v>
      </c>
      <c r="H795" t="s">
        <v>47</v>
      </c>
      <c r="I795" t="s">
        <v>89</v>
      </c>
      <c r="J795" t="s">
        <v>204</v>
      </c>
      <c r="K795">
        <v>4</v>
      </c>
      <c r="L795" s="2">
        <v>127.6</v>
      </c>
      <c r="M795" s="3">
        <v>0.05</v>
      </c>
      <c r="N795" s="2">
        <v>484.88</v>
      </c>
      <c r="O795" s="2">
        <v>369.71</v>
      </c>
      <c r="P795" s="2">
        <v>115.17</v>
      </c>
      <c r="Q795" t="s">
        <v>34</v>
      </c>
    </row>
    <row r="796" spans="1:17" x14ac:dyDescent="0.2">
      <c r="A796" t="s">
        <v>961</v>
      </c>
      <c r="B796" s="1">
        <v>45748</v>
      </c>
      <c r="C796" t="s">
        <v>77</v>
      </c>
      <c r="D796" t="s">
        <v>149</v>
      </c>
      <c r="E796" t="s">
        <v>206</v>
      </c>
      <c r="F796" t="s">
        <v>71</v>
      </c>
      <c r="G796" t="s">
        <v>54</v>
      </c>
      <c r="H796" t="s">
        <v>31</v>
      </c>
      <c r="I796" t="s">
        <v>40</v>
      </c>
      <c r="J796" t="s">
        <v>41</v>
      </c>
      <c r="K796">
        <v>5</v>
      </c>
      <c r="L796" s="2">
        <v>148.11000000000001</v>
      </c>
      <c r="M796" s="3">
        <v>0.15</v>
      </c>
      <c r="N796" s="2">
        <v>629.47</v>
      </c>
      <c r="O796" s="2">
        <v>410.14</v>
      </c>
      <c r="P796" s="2">
        <v>219.33</v>
      </c>
      <c r="Q796" t="s">
        <v>26</v>
      </c>
    </row>
    <row r="797" spans="1:17" x14ac:dyDescent="0.2">
      <c r="A797" t="s">
        <v>962</v>
      </c>
      <c r="B797" s="1">
        <v>45748</v>
      </c>
      <c r="C797" t="s">
        <v>18</v>
      </c>
      <c r="D797" t="s">
        <v>86</v>
      </c>
      <c r="E797" t="s">
        <v>92</v>
      </c>
      <c r="F797" t="s">
        <v>53</v>
      </c>
      <c r="G797" t="s">
        <v>54</v>
      </c>
      <c r="H797" t="s">
        <v>47</v>
      </c>
      <c r="I797" t="s">
        <v>97</v>
      </c>
      <c r="J797" t="s">
        <v>98</v>
      </c>
      <c r="K797">
        <v>4</v>
      </c>
      <c r="L797" s="2">
        <v>271.67</v>
      </c>
      <c r="M797" s="3">
        <v>0.15</v>
      </c>
      <c r="N797" s="2">
        <v>923.68</v>
      </c>
      <c r="O797" s="2">
        <v>610.71</v>
      </c>
      <c r="P797" s="2">
        <v>312.97000000000003</v>
      </c>
      <c r="Q797" t="s">
        <v>26</v>
      </c>
    </row>
    <row r="798" spans="1:17" x14ac:dyDescent="0.2">
      <c r="A798" t="s">
        <v>963</v>
      </c>
      <c r="B798" s="1">
        <v>45748</v>
      </c>
      <c r="C798" t="s">
        <v>18</v>
      </c>
      <c r="D798" t="s">
        <v>133</v>
      </c>
      <c r="E798" t="s">
        <v>197</v>
      </c>
      <c r="F798" t="s">
        <v>60</v>
      </c>
      <c r="G798" t="s">
        <v>75</v>
      </c>
      <c r="H798" t="s">
        <v>23</v>
      </c>
      <c r="I798" t="s">
        <v>83</v>
      </c>
      <c r="J798" t="s">
        <v>84</v>
      </c>
      <c r="K798">
        <v>10</v>
      </c>
      <c r="L798" s="2">
        <v>31.16</v>
      </c>
      <c r="M798" s="3">
        <v>0.05</v>
      </c>
      <c r="N798" s="2">
        <v>296.02</v>
      </c>
      <c r="O798" s="2">
        <v>242.19</v>
      </c>
      <c r="P798" s="2">
        <v>53.83</v>
      </c>
      <c r="Q798" t="s">
        <v>34</v>
      </c>
    </row>
    <row r="799" spans="1:17" x14ac:dyDescent="0.2">
      <c r="A799" t="s">
        <v>964</v>
      </c>
      <c r="B799" s="1">
        <v>45748</v>
      </c>
      <c r="C799" t="s">
        <v>77</v>
      </c>
      <c r="D799" t="s">
        <v>78</v>
      </c>
      <c r="E799" t="s">
        <v>52</v>
      </c>
      <c r="F799" t="s">
        <v>138</v>
      </c>
      <c r="G799" t="s">
        <v>75</v>
      </c>
      <c r="H799" t="s">
        <v>31</v>
      </c>
      <c r="I799" t="s">
        <v>112</v>
      </c>
      <c r="J799" t="s">
        <v>136</v>
      </c>
      <c r="K799">
        <v>2</v>
      </c>
      <c r="L799" s="2">
        <v>621.1</v>
      </c>
      <c r="M799" s="3">
        <v>0.05</v>
      </c>
      <c r="N799" s="2">
        <v>1180.0899999999999</v>
      </c>
      <c r="O799" s="2">
        <v>854.41</v>
      </c>
      <c r="P799" s="2">
        <v>325.68</v>
      </c>
      <c r="Q799" t="s">
        <v>61</v>
      </c>
    </row>
    <row r="800" spans="1:17" x14ac:dyDescent="0.2">
      <c r="A800" t="s">
        <v>965</v>
      </c>
      <c r="B800" s="1">
        <v>45748</v>
      </c>
      <c r="C800" t="s">
        <v>77</v>
      </c>
      <c r="D800" t="s">
        <v>78</v>
      </c>
      <c r="E800" t="s">
        <v>295</v>
      </c>
      <c r="F800" t="s">
        <v>46</v>
      </c>
      <c r="G800" t="s">
        <v>75</v>
      </c>
      <c r="H800" t="s">
        <v>23</v>
      </c>
      <c r="I800" t="s">
        <v>24</v>
      </c>
      <c r="J800" t="s">
        <v>25</v>
      </c>
      <c r="K800">
        <v>9</v>
      </c>
      <c r="L800" s="2">
        <v>21.46</v>
      </c>
      <c r="M800" s="3">
        <v>0.05</v>
      </c>
      <c r="N800" s="2">
        <v>183.48</v>
      </c>
      <c r="O800" s="2">
        <v>136.28</v>
      </c>
      <c r="P800" s="2">
        <v>47.2</v>
      </c>
      <c r="Q800" t="s">
        <v>34</v>
      </c>
    </row>
    <row r="801" spans="1:17" x14ac:dyDescent="0.2">
      <c r="A801" t="s">
        <v>966</v>
      </c>
      <c r="B801" s="1">
        <v>45749</v>
      </c>
      <c r="C801" t="s">
        <v>18</v>
      </c>
      <c r="D801" t="s">
        <v>28</v>
      </c>
      <c r="E801" t="s">
        <v>157</v>
      </c>
      <c r="F801" t="s">
        <v>53</v>
      </c>
      <c r="G801" t="s">
        <v>75</v>
      </c>
      <c r="H801" t="s">
        <v>23</v>
      </c>
      <c r="I801" t="s">
        <v>24</v>
      </c>
      <c r="J801" t="s">
        <v>25</v>
      </c>
      <c r="K801">
        <v>7</v>
      </c>
      <c r="L801" s="2">
        <v>16.78</v>
      </c>
      <c r="M801" s="3">
        <v>0.1</v>
      </c>
      <c r="N801" s="2">
        <v>105.71</v>
      </c>
      <c r="O801" s="2">
        <v>61.86</v>
      </c>
      <c r="P801" s="2">
        <v>43.85</v>
      </c>
      <c r="Q801" t="s">
        <v>34</v>
      </c>
    </row>
    <row r="802" spans="1:17" x14ac:dyDescent="0.2">
      <c r="A802" t="s">
        <v>967</v>
      </c>
      <c r="B802" s="1">
        <v>45749</v>
      </c>
      <c r="C802" t="s">
        <v>18</v>
      </c>
      <c r="D802" t="s">
        <v>19</v>
      </c>
      <c r="E802" t="s">
        <v>20</v>
      </c>
      <c r="F802" t="s">
        <v>69</v>
      </c>
      <c r="G802" t="s">
        <v>75</v>
      </c>
      <c r="H802" t="s">
        <v>23</v>
      </c>
      <c r="I802" t="s">
        <v>83</v>
      </c>
      <c r="J802" t="s">
        <v>120</v>
      </c>
      <c r="K802">
        <v>8</v>
      </c>
      <c r="L802" s="2">
        <v>33.770000000000003</v>
      </c>
      <c r="M802" s="3">
        <v>0.2</v>
      </c>
      <c r="N802" s="2">
        <v>216.13</v>
      </c>
      <c r="O802" s="2">
        <v>168.23</v>
      </c>
      <c r="P802" s="2">
        <v>47.9</v>
      </c>
      <c r="Q802" t="s">
        <v>57</v>
      </c>
    </row>
    <row r="803" spans="1:17" x14ac:dyDescent="0.2">
      <c r="A803" t="s">
        <v>968</v>
      </c>
      <c r="B803" s="1">
        <v>45749</v>
      </c>
      <c r="C803" t="s">
        <v>43</v>
      </c>
      <c r="D803" t="s">
        <v>161</v>
      </c>
      <c r="E803" t="s">
        <v>162</v>
      </c>
      <c r="F803" t="s">
        <v>30</v>
      </c>
      <c r="G803" t="s">
        <v>54</v>
      </c>
      <c r="H803" t="s">
        <v>47</v>
      </c>
      <c r="I803" t="s">
        <v>89</v>
      </c>
      <c r="J803" t="s">
        <v>240</v>
      </c>
      <c r="K803">
        <v>9</v>
      </c>
      <c r="L803" s="2">
        <v>203.98</v>
      </c>
      <c r="M803" s="3">
        <v>0.1</v>
      </c>
      <c r="N803" s="2">
        <v>1652.24</v>
      </c>
      <c r="O803" s="2">
        <v>1300.97</v>
      </c>
      <c r="P803" s="2">
        <v>351.27</v>
      </c>
      <c r="Q803" t="s">
        <v>57</v>
      </c>
    </row>
    <row r="804" spans="1:17" x14ac:dyDescent="0.2">
      <c r="A804" t="s">
        <v>969</v>
      </c>
      <c r="B804" s="1">
        <v>45749</v>
      </c>
      <c r="C804" t="s">
        <v>18</v>
      </c>
      <c r="D804" t="s">
        <v>86</v>
      </c>
      <c r="E804" t="s">
        <v>92</v>
      </c>
      <c r="F804" t="s">
        <v>39</v>
      </c>
      <c r="G804" t="s">
        <v>75</v>
      </c>
      <c r="H804" t="s">
        <v>23</v>
      </c>
      <c r="I804" t="s">
        <v>24</v>
      </c>
      <c r="J804" t="s">
        <v>220</v>
      </c>
      <c r="K804">
        <v>7</v>
      </c>
      <c r="L804" s="2">
        <v>12.64</v>
      </c>
      <c r="M804" s="3">
        <v>0</v>
      </c>
      <c r="N804" s="2">
        <v>88.48</v>
      </c>
      <c r="O804" s="2">
        <v>54.17</v>
      </c>
      <c r="P804" s="2">
        <v>34.31</v>
      </c>
      <c r="Q804" t="s">
        <v>57</v>
      </c>
    </row>
    <row r="805" spans="1:17" x14ac:dyDescent="0.2">
      <c r="A805" t="s">
        <v>970</v>
      </c>
      <c r="B805" s="1">
        <v>45749</v>
      </c>
      <c r="C805" t="s">
        <v>36</v>
      </c>
      <c r="D805" t="s">
        <v>67</v>
      </c>
      <c r="E805" t="s">
        <v>68</v>
      </c>
      <c r="F805" t="s">
        <v>138</v>
      </c>
      <c r="G805" t="s">
        <v>54</v>
      </c>
      <c r="H805" t="s">
        <v>31</v>
      </c>
      <c r="I805" t="s">
        <v>112</v>
      </c>
      <c r="J805" t="s">
        <v>113</v>
      </c>
      <c r="K805">
        <v>7</v>
      </c>
      <c r="L805" s="2">
        <v>661.91</v>
      </c>
      <c r="M805" s="3">
        <v>0</v>
      </c>
      <c r="N805" s="2">
        <v>4633.37</v>
      </c>
      <c r="O805" s="2">
        <v>3372.33</v>
      </c>
      <c r="P805" s="2">
        <v>1261.04</v>
      </c>
      <c r="Q805" t="s">
        <v>34</v>
      </c>
    </row>
    <row r="806" spans="1:17" x14ac:dyDescent="0.2">
      <c r="A806" t="s">
        <v>971</v>
      </c>
      <c r="B806" s="1">
        <v>45749</v>
      </c>
      <c r="C806" t="s">
        <v>43</v>
      </c>
      <c r="D806" t="s">
        <v>51</v>
      </c>
      <c r="E806" t="s">
        <v>52</v>
      </c>
      <c r="F806" t="s">
        <v>69</v>
      </c>
      <c r="G806" t="s">
        <v>75</v>
      </c>
      <c r="H806" t="s">
        <v>23</v>
      </c>
      <c r="I806" t="s">
        <v>24</v>
      </c>
      <c r="J806" t="s">
        <v>108</v>
      </c>
      <c r="K806">
        <v>3</v>
      </c>
      <c r="L806" s="2">
        <v>19.510000000000002</v>
      </c>
      <c r="M806" s="3">
        <v>0.1</v>
      </c>
      <c r="N806" s="2">
        <v>52.68</v>
      </c>
      <c r="O806" s="2">
        <v>39.29</v>
      </c>
      <c r="P806" s="2">
        <v>13.39</v>
      </c>
      <c r="Q806" t="s">
        <v>34</v>
      </c>
    </row>
    <row r="807" spans="1:17" x14ac:dyDescent="0.2">
      <c r="A807" t="s">
        <v>972</v>
      </c>
      <c r="B807" s="1">
        <v>45749</v>
      </c>
      <c r="C807" t="s">
        <v>43</v>
      </c>
      <c r="D807" t="s">
        <v>208</v>
      </c>
      <c r="E807" t="s">
        <v>209</v>
      </c>
      <c r="F807" t="s">
        <v>60</v>
      </c>
      <c r="G807" t="s">
        <v>22</v>
      </c>
      <c r="H807" t="s">
        <v>31</v>
      </c>
      <c r="I807" t="s">
        <v>40</v>
      </c>
      <c r="J807" t="s">
        <v>122</v>
      </c>
      <c r="K807">
        <v>4</v>
      </c>
      <c r="L807" s="2">
        <v>200.55</v>
      </c>
      <c r="M807" s="3">
        <v>0.15</v>
      </c>
      <c r="N807" s="2">
        <v>681.87</v>
      </c>
      <c r="O807" s="2">
        <v>525.75</v>
      </c>
      <c r="P807" s="2">
        <v>156.12</v>
      </c>
      <c r="Q807" t="s">
        <v>57</v>
      </c>
    </row>
    <row r="808" spans="1:17" x14ac:dyDescent="0.2">
      <c r="A808" t="s">
        <v>973</v>
      </c>
      <c r="B808" s="1">
        <v>45750</v>
      </c>
      <c r="C808" t="s">
        <v>43</v>
      </c>
      <c r="D808" t="s">
        <v>44</v>
      </c>
      <c r="E808" t="s">
        <v>147</v>
      </c>
      <c r="F808" t="s">
        <v>138</v>
      </c>
      <c r="G808" t="s">
        <v>54</v>
      </c>
      <c r="H808" t="s">
        <v>23</v>
      </c>
      <c r="I808" t="s">
        <v>79</v>
      </c>
      <c r="J808" t="s">
        <v>179</v>
      </c>
      <c r="K808">
        <v>7</v>
      </c>
      <c r="L808" s="2">
        <v>380.3</v>
      </c>
      <c r="M808" s="3">
        <v>0.15</v>
      </c>
      <c r="N808" s="2">
        <v>2262.7800000000002</v>
      </c>
      <c r="O808" s="2">
        <v>1705.99</v>
      </c>
      <c r="P808" s="2">
        <v>556.79</v>
      </c>
      <c r="Q808" t="s">
        <v>57</v>
      </c>
    </row>
    <row r="809" spans="1:17" x14ac:dyDescent="0.2">
      <c r="A809" t="s">
        <v>974</v>
      </c>
      <c r="B809" s="1">
        <v>45750</v>
      </c>
      <c r="C809" t="s">
        <v>77</v>
      </c>
      <c r="D809" t="s">
        <v>95</v>
      </c>
      <c r="E809" t="s">
        <v>300</v>
      </c>
      <c r="F809" t="s">
        <v>39</v>
      </c>
      <c r="G809" t="s">
        <v>54</v>
      </c>
      <c r="H809" t="s">
        <v>47</v>
      </c>
      <c r="I809" t="s">
        <v>89</v>
      </c>
      <c r="J809" t="s">
        <v>240</v>
      </c>
      <c r="K809">
        <v>2</v>
      </c>
      <c r="L809" s="2">
        <v>278.24</v>
      </c>
      <c r="M809" s="3">
        <v>0.1</v>
      </c>
      <c r="N809" s="2">
        <v>500.83</v>
      </c>
      <c r="O809" s="2">
        <v>408.73</v>
      </c>
      <c r="P809" s="2">
        <v>92.1</v>
      </c>
      <c r="Q809" t="s">
        <v>57</v>
      </c>
    </row>
    <row r="810" spans="1:17" x14ac:dyDescent="0.2">
      <c r="A810" t="s">
        <v>975</v>
      </c>
      <c r="B810" s="1">
        <v>45750</v>
      </c>
      <c r="C810" t="s">
        <v>77</v>
      </c>
      <c r="D810" t="s">
        <v>78</v>
      </c>
      <c r="E810" t="s">
        <v>52</v>
      </c>
      <c r="F810" t="s">
        <v>21</v>
      </c>
      <c r="G810" t="s">
        <v>22</v>
      </c>
      <c r="H810" t="s">
        <v>47</v>
      </c>
      <c r="I810" t="s">
        <v>97</v>
      </c>
      <c r="J810" t="s">
        <v>168</v>
      </c>
      <c r="K810">
        <v>2</v>
      </c>
      <c r="L810" s="2">
        <v>591.03</v>
      </c>
      <c r="M810" s="3">
        <v>0</v>
      </c>
      <c r="N810" s="2">
        <v>1182.06</v>
      </c>
      <c r="O810" s="2">
        <v>862.73</v>
      </c>
      <c r="P810" s="2">
        <v>319.33</v>
      </c>
      <c r="Q810" t="s">
        <v>34</v>
      </c>
    </row>
    <row r="811" spans="1:17" x14ac:dyDescent="0.2">
      <c r="A811" t="s">
        <v>976</v>
      </c>
      <c r="B811" s="1">
        <v>45750</v>
      </c>
      <c r="C811" t="s">
        <v>77</v>
      </c>
      <c r="D811" t="s">
        <v>128</v>
      </c>
      <c r="E811" t="s">
        <v>159</v>
      </c>
      <c r="F811" t="s">
        <v>30</v>
      </c>
      <c r="G811" t="s">
        <v>75</v>
      </c>
      <c r="H811" t="s">
        <v>31</v>
      </c>
      <c r="I811" t="s">
        <v>40</v>
      </c>
      <c r="J811" t="s">
        <v>216</v>
      </c>
      <c r="K811">
        <v>2</v>
      </c>
      <c r="L811" s="2">
        <v>85.21</v>
      </c>
      <c r="M811" s="3">
        <v>0.15</v>
      </c>
      <c r="N811" s="2">
        <v>144.86000000000001</v>
      </c>
      <c r="O811" s="2">
        <v>82.18</v>
      </c>
      <c r="P811" s="2">
        <v>62.68</v>
      </c>
      <c r="Q811" t="s">
        <v>26</v>
      </c>
    </row>
    <row r="812" spans="1:17" x14ac:dyDescent="0.2">
      <c r="A812" t="s">
        <v>977</v>
      </c>
      <c r="B812" s="1">
        <v>45750</v>
      </c>
      <c r="C812" t="s">
        <v>43</v>
      </c>
      <c r="D812" t="s">
        <v>208</v>
      </c>
      <c r="E812" t="s">
        <v>209</v>
      </c>
      <c r="F812" t="s">
        <v>21</v>
      </c>
      <c r="G812" t="s">
        <v>22</v>
      </c>
      <c r="H812" t="s">
        <v>23</v>
      </c>
      <c r="I812" t="s">
        <v>24</v>
      </c>
      <c r="J812" t="s">
        <v>25</v>
      </c>
      <c r="K812">
        <v>2</v>
      </c>
      <c r="L812" s="2">
        <v>18.809999999999999</v>
      </c>
      <c r="M812" s="3">
        <v>0.05</v>
      </c>
      <c r="N812" s="2">
        <v>35.74</v>
      </c>
      <c r="O812" s="2">
        <v>20.29</v>
      </c>
      <c r="P812" s="2">
        <v>15.45</v>
      </c>
      <c r="Q812" t="s">
        <v>34</v>
      </c>
    </row>
    <row r="813" spans="1:17" x14ac:dyDescent="0.2">
      <c r="A813" t="s">
        <v>978</v>
      </c>
      <c r="B813" s="1">
        <v>45750</v>
      </c>
      <c r="C813" t="s">
        <v>18</v>
      </c>
      <c r="D813" t="s">
        <v>133</v>
      </c>
      <c r="E813" t="s">
        <v>134</v>
      </c>
      <c r="F813" t="s">
        <v>71</v>
      </c>
      <c r="G813" t="s">
        <v>22</v>
      </c>
      <c r="H813" t="s">
        <v>23</v>
      </c>
      <c r="I813" t="s">
        <v>83</v>
      </c>
      <c r="J813" t="s">
        <v>131</v>
      </c>
      <c r="K813">
        <v>5</v>
      </c>
      <c r="L813" s="2">
        <v>20.18</v>
      </c>
      <c r="M813" s="3">
        <v>0</v>
      </c>
      <c r="N813" s="2">
        <v>100.9</v>
      </c>
      <c r="O813" s="2">
        <v>75.58</v>
      </c>
      <c r="P813" s="2">
        <v>25.32</v>
      </c>
      <c r="Q813" t="s">
        <v>26</v>
      </c>
    </row>
    <row r="814" spans="1:17" x14ac:dyDescent="0.2">
      <c r="A814" t="s">
        <v>979</v>
      </c>
      <c r="B814" s="1">
        <v>45751</v>
      </c>
      <c r="C814" t="s">
        <v>43</v>
      </c>
      <c r="D814" t="s">
        <v>51</v>
      </c>
      <c r="E814" t="s">
        <v>59</v>
      </c>
      <c r="F814" t="s">
        <v>60</v>
      </c>
      <c r="G814" t="s">
        <v>54</v>
      </c>
      <c r="H814" t="s">
        <v>47</v>
      </c>
      <c r="I814" t="s">
        <v>97</v>
      </c>
      <c r="J814" t="s">
        <v>116</v>
      </c>
      <c r="K814">
        <v>10</v>
      </c>
      <c r="L814" s="2">
        <v>409.59</v>
      </c>
      <c r="M814" s="3">
        <v>0</v>
      </c>
      <c r="N814" s="2">
        <v>4095.9</v>
      </c>
      <c r="O814" s="2">
        <v>2699.13</v>
      </c>
      <c r="P814" s="2">
        <v>1396.77</v>
      </c>
      <c r="Q814" t="s">
        <v>26</v>
      </c>
    </row>
    <row r="815" spans="1:17" x14ac:dyDescent="0.2">
      <c r="A815" t="s">
        <v>980</v>
      </c>
      <c r="B815" s="1">
        <v>45751</v>
      </c>
      <c r="C815" t="s">
        <v>36</v>
      </c>
      <c r="D815" t="s">
        <v>144</v>
      </c>
      <c r="E815" t="s">
        <v>145</v>
      </c>
      <c r="F815" t="s">
        <v>30</v>
      </c>
      <c r="G815" t="s">
        <v>75</v>
      </c>
      <c r="H815" t="s">
        <v>23</v>
      </c>
      <c r="I815" t="s">
        <v>55</v>
      </c>
      <c r="J815" t="s">
        <v>173</v>
      </c>
      <c r="K815">
        <v>5</v>
      </c>
      <c r="L815" s="2">
        <v>18.96</v>
      </c>
      <c r="M815" s="3">
        <v>0.2</v>
      </c>
      <c r="N815" s="2">
        <v>75.84</v>
      </c>
      <c r="O815" s="2">
        <v>59.99</v>
      </c>
      <c r="P815" s="2">
        <v>15.85</v>
      </c>
      <c r="Q815" t="s">
        <v>34</v>
      </c>
    </row>
    <row r="816" spans="1:17" x14ac:dyDescent="0.2">
      <c r="A816" t="s">
        <v>981</v>
      </c>
      <c r="B816" s="1">
        <v>45751</v>
      </c>
      <c r="C816" t="s">
        <v>36</v>
      </c>
      <c r="D816" t="s">
        <v>144</v>
      </c>
      <c r="E816" t="s">
        <v>145</v>
      </c>
      <c r="F816" t="s">
        <v>69</v>
      </c>
      <c r="G816" t="s">
        <v>75</v>
      </c>
      <c r="H816" t="s">
        <v>31</v>
      </c>
      <c r="I816" t="s">
        <v>40</v>
      </c>
      <c r="J816" t="s">
        <v>122</v>
      </c>
      <c r="K816">
        <v>10</v>
      </c>
      <c r="L816" s="2">
        <v>123.11</v>
      </c>
      <c r="M816" s="3">
        <v>0.1</v>
      </c>
      <c r="N816" s="2">
        <v>1107.99</v>
      </c>
      <c r="O816" s="2">
        <v>733.47</v>
      </c>
      <c r="P816" s="2">
        <v>374.52</v>
      </c>
      <c r="Q816" t="s">
        <v>26</v>
      </c>
    </row>
    <row r="817" spans="1:17" x14ac:dyDescent="0.2">
      <c r="A817" t="s">
        <v>982</v>
      </c>
      <c r="B817" s="1">
        <v>45751</v>
      </c>
      <c r="C817" t="s">
        <v>43</v>
      </c>
      <c r="D817" t="s">
        <v>244</v>
      </c>
      <c r="E817" t="s">
        <v>300</v>
      </c>
      <c r="F817" t="s">
        <v>46</v>
      </c>
      <c r="G817" t="s">
        <v>75</v>
      </c>
      <c r="H817" t="s">
        <v>23</v>
      </c>
      <c r="I817" t="s">
        <v>83</v>
      </c>
      <c r="J817" t="s">
        <v>84</v>
      </c>
      <c r="K817">
        <v>5</v>
      </c>
      <c r="L817" s="2">
        <v>8.5</v>
      </c>
      <c r="M817" s="3">
        <v>0.05</v>
      </c>
      <c r="N817" s="2">
        <v>40.380000000000003</v>
      </c>
      <c r="O817" s="2">
        <v>23.33</v>
      </c>
      <c r="P817" s="2">
        <v>17.05</v>
      </c>
      <c r="Q817" t="s">
        <v>57</v>
      </c>
    </row>
    <row r="818" spans="1:17" x14ac:dyDescent="0.2">
      <c r="A818" t="s">
        <v>983</v>
      </c>
      <c r="B818" s="1">
        <v>45751</v>
      </c>
      <c r="C818" t="s">
        <v>77</v>
      </c>
      <c r="D818" t="s">
        <v>149</v>
      </c>
      <c r="E818" t="s">
        <v>150</v>
      </c>
      <c r="F818" t="s">
        <v>53</v>
      </c>
      <c r="G818" t="s">
        <v>54</v>
      </c>
      <c r="H818" t="s">
        <v>23</v>
      </c>
      <c r="I818" t="s">
        <v>24</v>
      </c>
      <c r="J818" t="s">
        <v>25</v>
      </c>
      <c r="K818">
        <v>8</v>
      </c>
      <c r="L818" s="2">
        <v>5.22</v>
      </c>
      <c r="M818" s="3">
        <v>0.1</v>
      </c>
      <c r="N818" s="2">
        <v>37.58</v>
      </c>
      <c r="O818" s="2">
        <v>25.65</v>
      </c>
      <c r="P818" s="2">
        <v>11.93</v>
      </c>
      <c r="Q818" t="s">
        <v>61</v>
      </c>
    </row>
    <row r="819" spans="1:17" x14ac:dyDescent="0.2">
      <c r="A819" t="s">
        <v>984</v>
      </c>
      <c r="B819" s="1">
        <v>45751</v>
      </c>
      <c r="C819" t="s">
        <v>18</v>
      </c>
      <c r="D819" t="s">
        <v>152</v>
      </c>
      <c r="E819" t="s">
        <v>166</v>
      </c>
      <c r="F819" t="s">
        <v>53</v>
      </c>
      <c r="G819" t="s">
        <v>22</v>
      </c>
      <c r="H819" t="s">
        <v>31</v>
      </c>
      <c r="I819" t="s">
        <v>40</v>
      </c>
      <c r="J819" t="s">
        <v>216</v>
      </c>
      <c r="K819">
        <v>4</v>
      </c>
      <c r="L819" s="2">
        <v>129.13</v>
      </c>
      <c r="M819" s="3">
        <v>0.1</v>
      </c>
      <c r="N819" s="2">
        <v>464.87</v>
      </c>
      <c r="O819" s="2">
        <v>280.64</v>
      </c>
      <c r="P819" s="2">
        <v>184.23</v>
      </c>
      <c r="Q819" t="s">
        <v>61</v>
      </c>
    </row>
    <row r="820" spans="1:17" x14ac:dyDescent="0.2">
      <c r="A820" t="s">
        <v>985</v>
      </c>
      <c r="B820" s="1">
        <v>45751</v>
      </c>
      <c r="C820" t="s">
        <v>77</v>
      </c>
      <c r="D820" t="s">
        <v>95</v>
      </c>
      <c r="E820" t="s">
        <v>96</v>
      </c>
      <c r="F820" t="s">
        <v>60</v>
      </c>
      <c r="G820" t="s">
        <v>22</v>
      </c>
      <c r="H820" t="s">
        <v>47</v>
      </c>
      <c r="I820" t="s">
        <v>141</v>
      </c>
      <c r="J820" t="s">
        <v>201</v>
      </c>
      <c r="K820">
        <v>10</v>
      </c>
      <c r="L820" s="2">
        <v>792.02</v>
      </c>
      <c r="M820" s="3">
        <v>0.1</v>
      </c>
      <c r="N820" s="2">
        <v>7128.18</v>
      </c>
      <c r="O820" s="2">
        <v>4988.55</v>
      </c>
      <c r="P820" s="2">
        <v>2139.63</v>
      </c>
      <c r="Q820" t="s">
        <v>26</v>
      </c>
    </row>
    <row r="821" spans="1:17" x14ac:dyDescent="0.2">
      <c r="A821" t="s">
        <v>986</v>
      </c>
      <c r="B821" s="1">
        <v>45751</v>
      </c>
      <c r="C821" t="s">
        <v>36</v>
      </c>
      <c r="D821" t="s">
        <v>110</v>
      </c>
      <c r="E821" t="s">
        <v>111</v>
      </c>
      <c r="F821" t="s">
        <v>39</v>
      </c>
      <c r="G821" t="s">
        <v>22</v>
      </c>
      <c r="H821" t="s">
        <v>31</v>
      </c>
      <c r="I821" t="s">
        <v>32</v>
      </c>
      <c r="J821" t="s">
        <v>104</v>
      </c>
      <c r="K821">
        <v>9</v>
      </c>
      <c r="L821" s="2">
        <v>737.83</v>
      </c>
      <c r="M821" s="3">
        <v>0</v>
      </c>
      <c r="N821" s="2">
        <v>6640.47</v>
      </c>
      <c r="O821" s="2">
        <v>5136.6400000000003</v>
      </c>
      <c r="P821" s="2">
        <v>1503.83</v>
      </c>
      <c r="Q821" t="s">
        <v>26</v>
      </c>
    </row>
    <row r="822" spans="1:17" x14ac:dyDescent="0.2">
      <c r="A822" t="s">
        <v>987</v>
      </c>
      <c r="B822" s="1">
        <v>45751</v>
      </c>
      <c r="C822" t="s">
        <v>77</v>
      </c>
      <c r="D822" t="s">
        <v>106</v>
      </c>
      <c r="E822" t="s">
        <v>107</v>
      </c>
      <c r="F822" t="s">
        <v>30</v>
      </c>
      <c r="G822" t="s">
        <v>22</v>
      </c>
      <c r="H822" t="s">
        <v>47</v>
      </c>
      <c r="I822" t="s">
        <v>89</v>
      </c>
      <c r="J822" t="s">
        <v>90</v>
      </c>
      <c r="K822">
        <v>5</v>
      </c>
      <c r="L822" s="2">
        <v>387.11</v>
      </c>
      <c r="M822" s="3">
        <v>0.1</v>
      </c>
      <c r="N822" s="2">
        <v>1742</v>
      </c>
      <c r="O822" s="2">
        <v>1220.21</v>
      </c>
      <c r="P822" s="2">
        <v>521.79</v>
      </c>
      <c r="Q822" t="s">
        <v>61</v>
      </c>
    </row>
    <row r="823" spans="1:17" x14ac:dyDescent="0.2">
      <c r="A823" t="s">
        <v>988</v>
      </c>
      <c r="B823" s="1">
        <v>45751</v>
      </c>
      <c r="C823" t="s">
        <v>43</v>
      </c>
      <c r="D823" t="s">
        <v>161</v>
      </c>
      <c r="E823" t="s">
        <v>162</v>
      </c>
      <c r="F823" t="s">
        <v>46</v>
      </c>
      <c r="G823" t="s">
        <v>22</v>
      </c>
      <c r="H823" t="s">
        <v>23</v>
      </c>
      <c r="I823" t="s">
        <v>83</v>
      </c>
      <c r="J823" t="s">
        <v>120</v>
      </c>
      <c r="K823">
        <v>7</v>
      </c>
      <c r="L823" s="2">
        <v>27.69</v>
      </c>
      <c r="M823" s="3">
        <v>0</v>
      </c>
      <c r="N823" s="2">
        <v>193.83</v>
      </c>
      <c r="O823" s="2">
        <v>127.83</v>
      </c>
      <c r="P823" s="2">
        <v>66</v>
      </c>
      <c r="Q823" t="s">
        <v>34</v>
      </c>
    </row>
    <row r="824" spans="1:17" x14ac:dyDescent="0.2">
      <c r="A824" t="s">
        <v>989</v>
      </c>
      <c r="B824" s="1">
        <v>45751</v>
      </c>
      <c r="C824" t="s">
        <v>43</v>
      </c>
      <c r="D824" t="s">
        <v>161</v>
      </c>
      <c r="E824" t="s">
        <v>418</v>
      </c>
      <c r="F824" t="s">
        <v>71</v>
      </c>
      <c r="G824" t="s">
        <v>75</v>
      </c>
      <c r="H824" t="s">
        <v>47</v>
      </c>
      <c r="I824" t="s">
        <v>97</v>
      </c>
      <c r="J824" t="s">
        <v>168</v>
      </c>
      <c r="K824">
        <v>5</v>
      </c>
      <c r="L824" s="2">
        <v>276.39</v>
      </c>
      <c r="M824" s="3">
        <v>0.15</v>
      </c>
      <c r="N824" s="2">
        <v>1174.6600000000001</v>
      </c>
      <c r="O824" s="2">
        <v>932.54</v>
      </c>
      <c r="P824" s="2">
        <v>242.12</v>
      </c>
      <c r="Q824" t="s">
        <v>26</v>
      </c>
    </row>
    <row r="825" spans="1:17" x14ac:dyDescent="0.2">
      <c r="A825" t="s">
        <v>990</v>
      </c>
      <c r="B825" s="1">
        <v>45751</v>
      </c>
      <c r="C825" t="s">
        <v>43</v>
      </c>
      <c r="D825" t="s">
        <v>44</v>
      </c>
      <c r="E825" t="s">
        <v>45</v>
      </c>
      <c r="F825" t="s">
        <v>69</v>
      </c>
      <c r="G825" t="s">
        <v>22</v>
      </c>
      <c r="H825" t="s">
        <v>23</v>
      </c>
      <c r="I825" t="s">
        <v>83</v>
      </c>
      <c r="J825" t="s">
        <v>131</v>
      </c>
      <c r="K825">
        <v>8</v>
      </c>
      <c r="L825" s="2">
        <v>14.25</v>
      </c>
      <c r="M825" s="3">
        <v>0</v>
      </c>
      <c r="N825" s="2">
        <v>114</v>
      </c>
      <c r="O825" s="2">
        <v>86.49</v>
      </c>
      <c r="P825" s="2">
        <v>27.51</v>
      </c>
      <c r="Q825" t="s">
        <v>61</v>
      </c>
    </row>
    <row r="826" spans="1:17" x14ac:dyDescent="0.2">
      <c r="A826" t="s">
        <v>991</v>
      </c>
      <c r="B826" s="1">
        <v>45751</v>
      </c>
      <c r="C826" t="s">
        <v>77</v>
      </c>
      <c r="D826" t="s">
        <v>78</v>
      </c>
      <c r="E826" t="s">
        <v>261</v>
      </c>
      <c r="F826" t="s">
        <v>39</v>
      </c>
      <c r="G826" t="s">
        <v>75</v>
      </c>
      <c r="H826" t="s">
        <v>23</v>
      </c>
      <c r="I826" t="s">
        <v>24</v>
      </c>
      <c r="J826" t="s">
        <v>108</v>
      </c>
      <c r="K826">
        <v>5</v>
      </c>
      <c r="L826" s="2">
        <v>23.58</v>
      </c>
      <c r="M826" s="3">
        <v>0.1</v>
      </c>
      <c r="N826" s="2">
        <v>106.11</v>
      </c>
      <c r="O826" s="2">
        <v>79.94</v>
      </c>
      <c r="P826" s="2">
        <v>26.17</v>
      </c>
      <c r="Q826" t="s">
        <v>57</v>
      </c>
    </row>
    <row r="827" spans="1:17" x14ac:dyDescent="0.2">
      <c r="A827" t="s">
        <v>992</v>
      </c>
      <c r="B827" s="1">
        <v>45752</v>
      </c>
      <c r="C827" t="s">
        <v>18</v>
      </c>
      <c r="D827" t="s">
        <v>86</v>
      </c>
      <c r="E827" t="s">
        <v>140</v>
      </c>
      <c r="F827" t="s">
        <v>30</v>
      </c>
      <c r="G827" t="s">
        <v>22</v>
      </c>
      <c r="H827" t="s">
        <v>47</v>
      </c>
      <c r="I827" t="s">
        <v>97</v>
      </c>
      <c r="J827" t="s">
        <v>98</v>
      </c>
      <c r="K827">
        <v>6</v>
      </c>
      <c r="L827" s="2">
        <v>461.46</v>
      </c>
      <c r="M827" s="3">
        <v>0</v>
      </c>
      <c r="N827" s="2">
        <v>2768.76</v>
      </c>
      <c r="O827" s="2">
        <v>1671.39</v>
      </c>
      <c r="P827" s="2">
        <v>1097.3699999999999</v>
      </c>
      <c r="Q827" t="s">
        <v>34</v>
      </c>
    </row>
    <row r="828" spans="1:17" x14ac:dyDescent="0.2">
      <c r="A828" t="s">
        <v>993</v>
      </c>
      <c r="B828" s="1">
        <v>45752</v>
      </c>
      <c r="C828" t="s">
        <v>43</v>
      </c>
      <c r="D828" t="s">
        <v>244</v>
      </c>
      <c r="E828" t="s">
        <v>245</v>
      </c>
      <c r="F828" t="s">
        <v>30</v>
      </c>
      <c r="G828" t="s">
        <v>75</v>
      </c>
      <c r="H828" t="s">
        <v>23</v>
      </c>
      <c r="I828" t="s">
        <v>83</v>
      </c>
      <c r="J828" t="s">
        <v>84</v>
      </c>
      <c r="K828">
        <v>5</v>
      </c>
      <c r="L828" s="2">
        <v>14.84</v>
      </c>
      <c r="M828" s="3">
        <v>0.15</v>
      </c>
      <c r="N828" s="2">
        <v>63.07</v>
      </c>
      <c r="O828" s="2">
        <v>47.83</v>
      </c>
      <c r="P828" s="2">
        <v>15.24</v>
      </c>
      <c r="Q828" t="s">
        <v>61</v>
      </c>
    </row>
    <row r="829" spans="1:17" x14ac:dyDescent="0.2">
      <c r="A829" t="s">
        <v>994</v>
      </c>
      <c r="B829" s="1">
        <v>45752</v>
      </c>
      <c r="C829" t="s">
        <v>43</v>
      </c>
      <c r="D829" t="s">
        <v>208</v>
      </c>
      <c r="E829" t="s">
        <v>287</v>
      </c>
      <c r="F829" t="s">
        <v>21</v>
      </c>
      <c r="G829" t="s">
        <v>22</v>
      </c>
      <c r="H829" t="s">
        <v>23</v>
      </c>
      <c r="I829" t="s">
        <v>83</v>
      </c>
      <c r="J829" t="s">
        <v>131</v>
      </c>
      <c r="K829">
        <v>1</v>
      </c>
      <c r="L829" s="2">
        <v>11.74</v>
      </c>
      <c r="M829" s="3">
        <v>0.1</v>
      </c>
      <c r="N829" s="2">
        <v>10.57</v>
      </c>
      <c r="O829" s="2">
        <v>7.08</v>
      </c>
      <c r="P829" s="2">
        <v>3.49</v>
      </c>
      <c r="Q829" t="s">
        <v>61</v>
      </c>
    </row>
    <row r="830" spans="1:17" x14ac:dyDescent="0.2">
      <c r="A830" t="s">
        <v>995</v>
      </c>
      <c r="B830" s="1">
        <v>45752</v>
      </c>
      <c r="C830" t="s">
        <v>18</v>
      </c>
      <c r="D830" t="s">
        <v>19</v>
      </c>
      <c r="E830" t="s">
        <v>100</v>
      </c>
      <c r="F830" t="s">
        <v>60</v>
      </c>
      <c r="G830" t="s">
        <v>22</v>
      </c>
      <c r="H830" t="s">
        <v>47</v>
      </c>
      <c r="I830" t="s">
        <v>89</v>
      </c>
      <c r="J830" t="s">
        <v>204</v>
      </c>
      <c r="K830">
        <v>8</v>
      </c>
      <c r="L830" s="2">
        <v>421.16</v>
      </c>
      <c r="M830" s="3">
        <v>0.05</v>
      </c>
      <c r="N830" s="2">
        <v>3200.82</v>
      </c>
      <c r="O830" s="2">
        <v>1892.67</v>
      </c>
      <c r="P830" s="2">
        <v>1308.1500000000001</v>
      </c>
      <c r="Q830" t="s">
        <v>34</v>
      </c>
    </row>
    <row r="831" spans="1:17" x14ac:dyDescent="0.2">
      <c r="A831" t="s">
        <v>996</v>
      </c>
      <c r="B831" s="1">
        <v>45752</v>
      </c>
      <c r="C831" t="s">
        <v>18</v>
      </c>
      <c r="D831" t="s">
        <v>133</v>
      </c>
      <c r="E831" t="s">
        <v>197</v>
      </c>
      <c r="F831" t="s">
        <v>130</v>
      </c>
      <c r="G831" t="s">
        <v>75</v>
      </c>
      <c r="H831" t="s">
        <v>47</v>
      </c>
      <c r="I831" t="s">
        <v>89</v>
      </c>
      <c r="J831" t="s">
        <v>204</v>
      </c>
      <c r="K831">
        <v>10</v>
      </c>
      <c r="L831" s="2">
        <v>223.22</v>
      </c>
      <c r="M831" s="3">
        <v>0.15</v>
      </c>
      <c r="N831" s="2">
        <v>1897.37</v>
      </c>
      <c r="O831" s="2">
        <v>1473.4</v>
      </c>
      <c r="P831" s="2">
        <v>423.97</v>
      </c>
      <c r="Q831" t="s">
        <v>26</v>
      </c>
    </row>
    <row r="832" spans="1:17" x14ac:dyDescent="0.2">
      <c r="A832" t="s">
        <v>997</v>
      </c>
      <c r="B832" s="1">
        <v>45752</v>
      </c>
      <c r="C832" t="s">
        <v>18</v>
      </c>
      <c r="D832" t="s">
        <v>133</v>
      </c>
      <c r="E832" t="s">
        <v>226</v>
      </c>
      <c r="F832" t="s">
        <v>71</v>
      </c>
      <c r="G832" t="s">
        <v>75</v>
      </c>
      <c r="H832" t="s">
        <v>31</v>
      </c>
      <c r="I832" t="s">
        <v>112</v>
      </c>
      <c r="J832" t="s">
        <v>176</v>
      </c>
      <c r="K832">
        <v>4</v>
      </c>
      <c r="L832" s="2">
        <v>693.37</v>
      </c>
      <c r="M832" s="3">
        <v>0.15</v>
      </c>
      <c r="N832" s="2">
        <v>2357.46</v>
      </c>
      <c r="O832" s="2">
        <v>1544.23</v>
      </c>
      <c r="P832" s="2">
        <v>813.23</v>
      </c>
      <c r="Q832" t="s">
        <v>57</v>
      </c>
    </row>
    <row r="833" spans="1:17" x14ac:dyDescent="0.2">
      <c r="A833" t="s">
        <v>998</v>
      </c>
      <c r="B833" s="1">
        <v>45752</v>
      </c>
      <c r="C833" t="s">
        <v>18</v>
      </c>
      <c r="D833" t="s">
        <v>86</v>
      </c>
      <c r="E833" t="s">
        <v>87</v>
      </c>
      <c r="F833" t="s">
        <v>69</v>
      </c>
      <c r="G833" t="s">
        <v>22</v>
      </c>
      <c r="H833" t="s">
        <v>47</v>
      </c>
      <c r="I833" t="s">
        <v>141</v>
      </c>
      <c r="J833" t="s">
        <v>201</v>
      </c>
      <c r="K833">
        <v>10</v>
      </c>
      <c r="L833" s="2">
        <v>326.57</v>
      </c>
      <c r="M833" s="3">
        <v>0.05</v>
      </c>
      <c r="N833" s="2">
        <v>3102.41</v>
      </c>
      <c r="O833" s="2">
        <v>2341.59</v>
      </c>
      <c r="P833" s="2">
        <v>760.82</v>
      </c>
      <c r="Q833" t="s">
        <v>34</v>
      </c>
    </row>
    <row r="834" spans="1:17" x14ac:dyDescent="0.2">
      <c r="A834" t="s">
        <v>999</v>
      </c>
      <c r="B834" s="1">
        <v>45752</v>
      </c>
      <c r="C834" t="s">
        <v>77</v>
      </c>
      <c r="D834" t="s">
        <v>149</v>
      </c>
      <c r="E834" t="s">
        <v>150</v>
      </c>
      <c r="F834" t="s">
        <v>53</v>
      </c>
      <c r="G834" t="s">
        <v>54</v>
      </c>
      <c r="H834" t="s">
        <v>47</v>
      </c>
      <c r="I834" t="s">
        <v>97</v>
      </c>
      <c r="J834" t="s">
        <v>116</v>
      </c>
      <c r="K834">
        <v>4</v>
      </c>
      <c r="L834" s="2">
        <v>100.99</v>
      </c>
      <c r="M834" s="3">
        <v>0</v>
      </c>
      <c r="N834" s="2">
        <v>403.96</v>
      </c>
      <c r="O834" s="2">
        <v>298.48</v>
      </c>
      <c r="P834" s="2">
        <v>105.48</v>
      </c>
      <c r="Q834" t="s">
        <v>57</v>
      </c>
    </row>
    <row r="835" spans="1:17" x14ac:dyDescent="0.2">
      <c r="A835" t="s">
        <v>1000</v>
      </c>
      <c r="B835" s="1">
        <v>45752</v>
      </c>
      <c r="C835" t="s">
        <v>77</v>
      </c>
      <c r="D835" t="s">
        <v>95</v>
      </c>
      <c r="E835" t="s">
        <v>300</v>
      </c>
      <c r="F835" t="s">
        <v>69</v>
      </c>
      <c r="G835" t="s">
        <v>22</v>
      </c>
      <c r="H835" t="s">
        <v>31</v>
      </c>
      <c r="I835" t="s">
        <v>32</v>
      </c>
      <c r="J835" t="s">
        <v>258</v>
      </c>
      <c r="K835">
        <v>6</v>
      </c>
      <c r="L835" s="2">
        <v>810.44</v>
      </c>
      <c r="M835" s="3">
        <v>0.05</v>
      </c>
      <c r="N835" s="2">
        <v>4619.51</v>
      </c>
      <c r="O835" s="2">
        <v>2985.52</v>
      </c>
      <c r="P835" s="2">
        <v>1633.99</v>
      </c>
      <c r="Q835" t="s">
        <v>61</v>
      </c>
    </row>
    <row r="836" spans="1:17" x14ac:dyDescent="0.2">
      <c r="A836" t="s">
        <v>1001</v>
      </c>
      <c r="B836" s="1">
        <v>45752</v>
      </c>
      <c r="C836" t="s">
        <v>77</v>
      </c>
      <c r="D836" t="s">
        <v>106</v>
      </c>
      <c r="E836" t="s">
        <v>107</v>
      </c>
      <c r="F836" t="s">
        <v>69</v>
      </c>
      <c r="G836" t="s">
        <v>75</v>
      </c>
      <c r="H836" t="s">
        <v>23</v>
      </c>
      <c r="I836" t="s">
        <v>24</v>
      </c>
      <c r="J836" t="s">
        <v>108</v>
      </c>
      <c r="K836">
        <v>10</v>
      </c>
      <c r="L836" s="2">
        <v>8.23</v>
      </c>
      <c r="M836" s="3">
        <v>0.15</v>
      </c>
      <c r="N836" s="2">
        <v>69.959999999999994</v>
      </c>
      <c r="O836" s="2">
        <v>47.58</v>
      </c>
      <c r="P836" s="2">
        <v>22.38</v>
      </c>
      <c r="Q836" t="s">
        <v>34</v>
      </c>
    </row>
    <row r="837" spans="1:17" x14ac:dyDescent="0.2">
      <c r="A837" t="s">
        <v>1002</v>
      </c>
      <c r="B837" s="1">
        <v>45752</v>
      </c>
      <c r="C837" t="s">
        <v>43</v>
      </c>
      <c r="D837" t="s">
        <v>161</v>
      </c>
      <c r="E837" t="s">
        <v>418</v>
      </c>
      <c r="F837" t="s">
        <v>130</v>
      </c>
      <c r="G837" t="s">
        <v>22</v>
      </c>
      <c r="H837" t="s">
        <v>31</v>
      </c>
      <c r="I837" t="s">
        <v>112</v>
      </c>
      <c r="J837" t="s">
        <v>113</v>
      </c>
      <c r="K837">
        <v>3</v>
      </c>
      <c r="L837" s="2">
        <v>232.83</v>
      </c>
      <c r="M837" s="3">
        <v>0.2</v>
      </c>
      <c r="N837" s="2">
        <v>558.79</v>
      </c>
      <c r="O837" s="2">
        <v>387.06</v>
      </c>
      <c r="P837" s="2">
        <v>171.73</v>
      </c>
      <c r="Q837" t="s">
        <v>26</v>
      </c>
    </row>
    <row r="838" spans="1:17" x14ac:dyDescent="0.2">
      <c r="A838" t="s">
        <v>1003</v>
      </c>
      <c r="B838" s="1">
        <v>45752</v>
      </c>
      <c r="C838" t="s">
        <v>77</v>
      </c>
      <c r="D838" t="s">
        <v>149</v>
      </c>
      <c r="E838" t="s">
        <v>309</v>
      </c>
      <c r="F838" t="s">
        <v>30</v>
      </c>
      <c r="G838" t="s">
        <v>22</v>
      </c>
      <c r="H838" t="s">
        <v>31</v>
      </c>
      <c r="I838" t="s">
        <v>112</v>
      </c>
      <c r="J838" t="s">
        <v>136</v>
      </c>
      <c r="K838">
        <v>6</v>
      </c>
      <c r="L838" s="2">
        <v>574.16</v>
      </c>
      <c r="M838" s="3">
        <v>0.15</v>
      </c>
      <c r="N838" s="2">
        <v>2928.22</v>
      </c>
      <c r="O838" s="2">
        <v>2171.6799999999998</v>
      </c>
      <c r="P838" s="2">
        <v>756.54</v>
      </c>
      <c r="Q838" t="s">
        <v>26</v>
      </c>
    </row>
    <row r="839" spans="1:17" x14ac:dyDescent="0.2">
      <c r="A839" t="s">
        <v>1004</v>
      </c>
      <c r="B839" s="1">
        <v>45753</v>
      </c>
      <c r="C839" t="s">
        <v>43</v>
      </c>
      <c r="D839" t="s">
        <v>44</v>
      </c>
      <c r="E839" t="s">
        <v>82</v>
      </c>
      <c r="F839" t="s">
        <v>39</v>
      </c>
      <c r="G839" t="s">
        <v>54</v>
      </c>
      <c r="H839" t="s">
        <v>31</v>
      </c>
      <c r="I839" t="s">
        <v>40</v>
      </c>
      <c r="J839" t="s">
        <v>41</v>
      </c>
      <c r="K839">
        <v>8</v>
      </c>
      <c r="L839" s="2">
        <v>89.05</v>
      </c>
      <c r="M839" s="3">
        <v>0.05</v>
      </c>
      <c r="N839" s="2">
        <v>676.78</v>
      </c>
      <c r="O839" s="2">
        <v>421.66</v>
      </c>
      <c r="P839" s="2">
        <v>255.12</v>
      </c>
      <c r="Q839" t="s">
        <v>61</v>
      </c>
    </row>
    <row r="840" spans="1:17" x14ac:dyDescent="0.2">
      <c r="A840" t="s">
        <v>1005</v>
      </c>
      <c r="B840" s="1">
        <v>45753</v>
      </c>
      <c r="C840" t="s">
        <v>18</v>
      </c>
      <c r="D840" t="s">
        <v>28</v>
      </c>
      <c r="E840" t="s">
        <v>170</v>
      </c>
      <c r="F840" t="s">
        <v>130</v>
      </c>
      <c r="G840" t="s">
        <v>22</v>
      </c>
      <c r="H840" t="s">
        <v>23</v>
      </c>
      <c r="I840" t="s">
        <v>79</v>
      </c>
      <c r="J840" t="s">
        <v>179</v>
      </c>
      <c r="K840">
        <v>4</v>
      </c>
      <c r="L840" s="2">
        <v>150.9</v>
      </c>
      <c r="M840" s="3">
        <v>0.2</v>
      </c>
      <c r="N840" s="2">
        <v>482.88</v>
      </c>
      <c r="O840" s="2">
        <v>327.35000000000002</v>
      </c>
      <c r="P840" s="2">
        <v>155.53</v>
      </c>
      <c r="Q840" t="s">
        <v>34</v>
      </c>
    </row>
    <row r="841" spans="1:17" x14ac:dyDescent="0.2">
      <c r="A841" t="s">
        <v>1006</v>
      </c>
      <c r="B841" s="1">
        <v>45753</v>
      </c>
      <c r="C841" t="s">
        <v>77</v>
      </c>
      <c r="D841" t="s">
        <v>149</v>
      </c>
      <c r="E841" t="s">
        <v>206</v>
      </c>
      <c r="F841" t="s">
        <v>21</v>
      </c>
      <c r="G841" t="s">
        <v>75</v>
      </c>
      <c r="H841" t="s">
        <v>31</v>
      </c>
      <c r="I841" t="s">
        <v>64</v>
      </c>
      <c r="J841" t="s">
        <v>126</v>
      </c>
      <c r="K841">
        <v>4</v>
      </c>
      <c r="L841" s="2">
        <v>168.08</v>
      </c>
      <c r="M841" s="3">
        <v>0.05</v>
      </c>
      <c r="N841" s="2">
        <v>638.70000000000005</v>
      </c>
      <c r="O841" s="2">
        <v>467.37</v>
      </c>
      <c r="P841" s="2">
        <v>171.33</v>
      </c>
      <c r="Q841" t="s">
        <v>57</v>
      </c>
    </row>
    <row r="842" spans="1:17" x14ac:dyDescent="0.2">
      <c r="A842" t="s">
        <v>1007</v>
      </c>
      <c r="B842" s="1">
        <v>45753</v>
      </c>
      <c r="C842" t="s">
        <v>18</v>
      </c>
      <c r="D842" t="s">
        <v>19</v>
      </c>
      <c r="E842" t="s">
        <v>118</v>
      </c>
      <c r="F842" t="s">
        <v>46</v>
      </c>
      <c r="G842" t="s">
        <v>75</v>
      </c>
      <c r="H842" t="s">
        <v>31</v>
      </c>
      <c r="I842" t="s">
        <v>32</v>
      </c>
      <c r="J842" t="s">
        <v>104</v>
      </c>
      <c r="K842">
        <v>3</v>
      </c>
      <c r="L842" s="2">
        <v>1683.21</v>
      </c>
      <c r="M842" s="3">
        <v>0</v>
      </c>
      <c r="N842" s="2">
        <v>5049.63</v>
      </c>
      <c r="O842" s="2">
        <v>3878.04</v>
      </c>
      <c r="P842" s="2">
        <v>1171.5899999999999</v>
      </c>
      <c r="Q842" t="s">
        <v>57</v>
      </c>
    </row>
    <row r="843" spans="1:17" x14ac:dyDescent="0.2">
      <c r="A843" t="s">
        <v>1008</v>
      </c>
      <c r="B843" s="1">
        <v>45753</v>
      </c>
      <c r="C843" t="s">
        <v>18</v>
      </c>
      <c r="D843" t="s">
        <v>28</v>
      </c>
      <c r="E843" t="s">
        <v>157</v>
      </c>
      <c r="F843" t="s">
        <v>39</v>
      </c>
      <c r="G843" t="s">
        <v>22</v>
      </c>
      <c r="H843" t="s">
        <v>31</v>
      </c>
      <c r="I843" t="s">
        <v>40</v>
      </c>
      <c r="J843" t="s">
        <v>216</v>
      </c>
      <c r="K843">
        <v>7</v>
      </c>
      <c r="L843" s="2">
        <v>126.8</v>
      </c>
      <c r="M843" s="3">
        <v>0.1</v>
      </c>
      <c r="N843" s="2">
        <v>798.84</v>
      </c>
      <c r="O843" s="2">
        <v>597.99</v>
      </c>
      <c r="P843" s="2">
        <v>200.85</v>
      </c>
      <c r="Q843" t="s">
        <v>34</v>
      </c>
    </row>
    <row r="844" spans="1:17" x14ac:dyDescent="0.2">
      <c r="A844" t="s">
        <v>1009</v>
      </c>
      <c r="B844" s="1">
        <v>45753</v>
      </c>
      <c r="C844" t="s">
        <v>36</v>
      </c>
      <c r="D844" t="s">
        <v>37</v>
      </c>
      <c r="E844" t="s">
        <v>187</v>
      </c>
      <c r="F844" t="s">
        <v>39</v>
      </c>
      <c r="G844" t="s">
        <v>75</v>
      </c>
      <c r="H844" t="s">
        <v>31</v>
      </c>
      <c r="I844" t="s">
        <v>112</v>
      </c>
      <c r="J844" t="s">
        <v>136</v>
      </c>
      <c r="K844">
        <v>7</v>
      </c>
      <c r="L844" s="2">
        <v>639.58000000000004</v>
      </c>
      <c r="M844" s="3">
        <v>0</v>
      </c>
      <c r="N844" s="2">
        <v>4477.0600000000004</v>
      </c>
      <c r="O844" s="2">
        <v>3191.13</v>
      </c>
      <c r="P844" s="2">
        <v>1285.93</v>
      </c>
      <c r="Q844" t="s">
        <v>57</v>
      </c>
    </row>
    <row r="845" spans="1:17" x14ac:dyDescent="0.2">
      <c r="A845" t="s">
        <v>1010</v>
      </c>
      <c r="B845" s="1">
        <v>45753</v>
      </c>
      <c r="C845" t="s">
        <v>18</v>
      </c>
      <c r="D845" t="s">
        <v>28</v>
      </c>
      <c r="E845" t="s">
        <v>29</v>
      </c>
      <c r="F845" t="s">
        <v>53</v>
      </c>
      <c r="G845" t="s">
        <v>75</v>
      </c>
      <c r="H845" t="s">
        <v>23</v>
      </c>
      <c r="I845" t="s">
        <v>55</v>
      </c>
      <c r="J845" t="s">
        <v>173</v>
      </c>
      <c r="K845">
        <v>9</v>
      </c>
      <c r="L845" s="2">
        <v>11.93</v>
      </c>
      <c r="M845" s="3">
        <v>0</v>
      </c>
      <c r="N845" s="2">
        <v>107.37</v>
      </c>
      <c r="O845" s="2">
        <v>72.59</v>
      </c>
      <c r="P845" s="2">
        <v>34.78</v>
      </c>
      <c r="Q845" t="s">
        <v>34</v>
      </c>
    </row>
    <row r="846" spans="1:17" x14ac:dyDescent="0.2">
      <c r="A846" t="s">
        <v>1011</v>
      </c>
      <c r="B846" s="1">
        <v>45753</v>
      </c>
      <c r="C846" t="s">
        <v>43</v>
      </c>
      <c r="D846" t="s">
        <v>161</v>
      </c>
      <c r="E846" t="s">
        <v>162</v>
      </c>
      <c r="F846" t="s">
        <v>46</v>
      </c>
      <c r="G846" t="s">
        <v>75</v>
      </c>
      <c r="H846" t="s">
        <v>31</v>
      </c>
      <c r="I846" t="s">
        <v>112</v>
      </c>
      <c r="J846" t="s">
        <v>113</v>
      </c>
      <c r="K846">
        <v>4</v>
      </c>
      <c r="L846" s="2">
        <v>567.88</v>
      </c>
      <c r="M846" s="3">
        <v>0.15</v>
      </c>
      <c r="N846" s="2">
        <v>1930.79</v>
      </c>
      <c r="O846" s="2">
        <v>1066.99</v>
      </c>
      <c r="P846" s="2">
        <v>863.8</v>
      </c>
      <c r="Q846" t="s">
        <v>61</v>
      </c>
    </row>
    <row r="847" spans="1:17" x14ac:dyDescent="0.2">
      <c r="A847" t="s">
        <v>1012</v>
      </c>
      <c r="B847" s="1">
        <v>45754</v>
      </c>
      <c r="C847" t="s">
        <v>18</v>
      </c>
      <c r="D847" t="s">
        <v>133</v>
      </c>
      <c r="E847" t="s">
        <v>197</v>
      </c>
      <c r="F847" t="s">
        <v>130</v>
      </c>
      <c r="G847" t="s">
        <v>54</v>
      </c>
      <c r="H847" t="s">
        <v>31</v>
      </c>
      <c r="I847" t="s">
        <v>64</v>
      </c>
      <c r="J847" t="s">
        <v>65</v>
      </c>
      <c r="K847">
        <v>6</v>
      </c>
      <c r="L847" s="2">
        <v>150.22999999999999</v>
      </c>
      <c r="M847" s="3">
        <v>0</v>
      </c>
      <c r="N847" s="2">
        <v>901.38</v>
      </c>
      <c r="O847" s="2">
        <v>498.55</v>
      </c>
      <c r="P847" s="2">
        <v>402.83</v>
      </c>
      <c r="Q847" t="s">
        <v>57</v>
      </c>
    </row>
    <row r="848" spans="1:17" x14ac:dyDescent="0.2">
      <c r="A848" t="s">
        <v>1013</v>
      </c>
      <c r="B848" s="1">
        <v>45754</v>
      </c>
      <c r="C848" t="s">
        <v>77</v>
      </c>
      <c r="D848" t="s">
        <v>106</v>
      </c>
      <c r="E848" t="s">
        <v>236</v>
      </c>
      <c r="F848" t="s">
        <v>21</v>
      </c>
      <c r="G848" t="s">
        <v>22</v>
      </c>
      <c r="H848" t="s">
        <v>47</v>
      </c>
      <c r="I848" t="s">
        <v>89</v>
      </c>
      <c r="J848" t="s">
        <v>240</v>
      </c>
      <c r="K848">
        <v>4</v>
      </c>
      <c r="L848" s="2">
        <v>443.56</v>
      </c>
      <c r="M848" s="3">
        <v>0</v>
      </c>
      <c r="N848" s="2">
        <v>1774.24</v>
      </c>
      <c r="O848" s="2">
        <v>1420.22</v>
      </c>
      <c r="P848" s="2">
        <v>354.02</v>
      </c>
      <c r="Q848" t="s">
        <v>57</v>
      </c>
    </row>
    <row r="849" spans="1:17" x14ac:dyDescent="0.2">
      <c r="A849" t="s">
        <v>1014</v>
      </c>
      <c r="B849" s="1">
        <v>45754</v>
      </c>
      <c r="C849" t="s">
        <v>18</v>
      </c>
      <c r="D849" t="s">
        <v>152</v>
      </c>
      <c r="E849" t="s">
        <v>185</v>
      </c>
      <c r="F849" t="s">
        <v>21</v>
      </c>
      <c r="G849" t="s">
        <v>22</v>
      </c>
      <c r="H849" t="s">
        <v>23</v>
      </c>
      <c r="I849" t="s">
        <v>79</v>
      </c>
      <c r="J849" t="s">
        <v>233</v>
      </c>
      <c r="K849">
        <v>5</v>
      </c>
      <c r="L849" s="2">
        <v>308.39999999999998</v>
      </c>
      <c r="M849" s="3">
        <v>0.05</v>
      </c>
      <c r="N849" s="2">
        <v>1464.9</v>
      </c>
      <c r="O849" s="2">
        <v>1043.4100000000001</v>
      </c>
      <c r="P849" s="2">
        <v>421.49</v>
      </c>
      <c r="Q849" t="s">
        <v>61</v>
      </c>
    </row>
    <row r="850" spans="1:17" x14ac:dyDescent="0.2">
      <c r="A850" t="s">
        <v>1015</v>
      </c>
      <c r="B850" s="1">
        <v>45755</v>
      </c>
      <c r="C850" t="s">
        <v>18</v>
      </c>
      <c r="D850" t="s">
        <v>152</v>
      </c>
      <c r="E850" t="s">
        <v>153</v>
      </c>
      <c r="F850" t="s">
        <v>53</v>
      </c>
      <c r="G850" t="s">
        <v>22</v>
      </c>
      <c r="H850" t="s">
        <v>31</v>
      </c>
      <c r="I850" t="s">
        <v>64</v>
      </c>
      <c r="J850" t="s">
        <v>252</v>
      </c>
      <c r="K850">
        <v>5</v>
      </c>
      <c r="L850" s="2">
        <v>130.19999999999999</v>
      </c>
      <c r="M850" s="3">
        <v>0</v>
      </c>
      <c r="N850" s="2">
        <v>651</v>
      </c>
      <c r="O850" s="2">
        <v>504.59</v>
      </c>
      <c r="P850" s="2">
        <v>146.41</v>
      </c>
      <c r="Q850" t="s">
        <v>26</v>
      </c>
    </row>
    <row r="851" spans="1:17" x14ac:dyDescent="0.2">
      <c r="A851" t="s">
        <v>1016</v>
      </c>
      <c r="B851" s="1">
        <v>45755</v>
      </c>
      <c r="C851" t="s">
        <v>36</v>
      </c>
      <c r="D851" t="s">
        <v>110</v>
      </c>
      <c r="E851" t="s">
        <v>203</v>
      </c>
      <c r="F851" t="s">
        <v>39</v>
      </c>
      <c r="G851" t="s">
        <v>22</v>
      </c>
      <c r="H851" t="s">
        <v>31</v>
      </c>
      <c r="I851" t="s">
        <v>32</v>
      </c>
      <c r="J851" t="s">
        <v>258</v>
      </c>
      <c r="K851">
        <v>6</v>
      </c>
      <c r="L851" s="2">
        <v>1004.28</v>
      </c>
      <c r="M851" s="3">
        <v>0.05</v>
      </c>
      <c r="N851" s="2">
        <v>5724.4</v>
      </c>
      <c r="O851" s="2">
        <v>3961.63</v>
      </c>
      <c r="P851" s="2">
        <v>1762.77</v>
      </c>
      <c r="Q851" t="s">
        <v>61</v>
      </c>
    </row>
    <row r="852" spans="1:17" x14ac:dyDescent="0.2">
      <c r="A852" t="s">
        <v>1017</v>
      </c>
      <c r="B852" s="1">
        <v>45755</v>
      </c>
      <c r="C852" t="s">
        <v>36</v>
      </c>
      <c r="D852" t="s">
        <v>73</v>
      </c>
      <c r="E852" t="s">
        <v>212</v>
      </c>
      <c r="F852" t="s">
        <v>46</v>
      </c>
      <c r="G852" t="s">
        <v>22</v>
      </c>
      <c r="H852" t="s">
        <v>23</v>
      </c>
      <c r="I852" t="s">
        <v>24</v>
      </c>
      <c r="J852" t="s">
        <v>108</v>
      </c>
      <c r="K852">
        <v>3</v>
      </c>
      <c r="L852" s="2">
        <v>23.32</v>
      </c>
      <c r="M852" s="3">
        <v>0.05</v>
      </c>
      <c r="N852" s="2">
        <v>66.459999999999994</v>
      </c>
      <c r="O852" s="2">
        <v>52.77</v>
      </c>
      <c r="P852" s="2">
        <v>13.69</v>
      </c>
      <c r="Q852" t="s">
        <v>61</v>
      </c>
    </row>
    <row r="853" spans="1:17" x14ac:dyDescent="0.2">
      <c r="A853" t="s">
        <v>1018</v>
      </c>
      <c r="B853" s="1">
        <v>45755</v>
      </c>
      <c r="C853" t="s">
        <v>43</v>
      </c>
      <c r="D853" t="s">
        <v>244</v>
      </c>
      <c r="E853" t="s">
        <v>300</v>
      </c>
      <c r="F853" t="s">
        <v>21</v>
      </c>
      <c r="G853" t="s">
        <v>54</v>
      </c>
      <c r="H853" t="s">
        <v>31</v>
      </c>
      <c r="I853" t="s">
        <v>40</v>
      </c>
      <c r="J853" t="s">
        <v>41</v>
      </c>
      <c r="K853">
        <v>5</v>
      </c>
      <c r="L853" s="2">
        <v>157.21</v>
      </c>
      <c r="M853" s="3">
        <v>0.05</v>
      </c>
      <c r="N853" s="2">
        <v>746.75</v>
      </c>
      <c r="O853" s="2">
        <v>445.22</v>
      </c>
      <c r="P853" s="2">
        <v>301.52999999999997</v>
      </c>
      <c r="Q853" t="s">
        <v>26</v>
      </c>
    </row>
    <row r="854" spans="1:17" x14ac:dyDescent="0.2">
      <c r="A854" t="s">
        <v>1019</v>
      </c>
      <c r="B854" s="1">
        <v>45755</v>
      </c>
      <c r="C854" t="s">
        <v>36</v>
      </c>
      <c r="D854" t="s">
        <v>37</v>
      </c>
      <c r="E854" t="s">
        <v>255</v>
      </c>
      <c r="F854" t="s">
        <v>138</v>
      </c>
      <c r="G854" t="s">
        <v>75</v>
      </c>
      <c r="H854" t="s">
        <v>23</v>
      </c>
      <c r="I854" t="s">
        <v>79</v>
      </c>
      <c r="J854" t="s">
        <v>233</v>
      </c>
      <c r="K854">
        <v>3</v>
      </c>
      <c r="L854" s="2">
        <v>284.20999999999998</v>
      </c>
      <c r="M854" s="3">
        <v>0</v>
      </c>
      <c r="N854" s="2">
        <v>852.63</v>
      </c>
      <c r="O854" s="2">
        <v>618.20000000000005</v>
      </c>
      <c r="P854" s="2">
        <v>234.43</v>
      </c>
      <c r="Q854" t="s">
        <v>57</v>
      </c>
    </row>
    <row r="855" spans="1:17" x14ac:dyDescent="0.2">
      <c r="A855" t="s">
        <v>1020</v>
      </c>
      <c r="B855" s="1">
        <v>45755</v>
      </c>
      <c r="C855" t="s">
        <v>43</v>
      </c>
      <c r="D855" t="s">
        <v>244</v>
      </c>
      <c r="E855" t="s">
        <v>326</v>
      </c>
      <c r="F855" t="s">
        <v>46</v>
      </c>
      <c r="G855" t="s">
        <v>75</v>
      </c>
      <c r="H855" t="s">
        <v>47</v>
      </c>
      <c r="I855" t="s">
        <v>97</v>
      </c>
      <c r="J855" t="s">
        <v>116</v>
      </c>
      <c r="K855">
        <v>6</v>
      </c>
      <c r="L855" s="2">
        <v>528.47</v>
      </c>
      <c r="M855" s="3">
        <v>0</v>
      </c>
      <c r="N855" s="2">
        <v>3170.82</v>
      </c>
      <c r="O855" s="2">
        <v>2156.84</v>
      </c>
      <c r="P855" s="2">
        <v>1013.98</v>
      </c>
      <c r="Q855" t="s">
        <v>61</v>
      </c>
    </row>
    <row r="856" spans="1:17" x14ac:dyDescent="0.2">
      <c r="A856" t="s">
        <v>1021</v>
      </c>
      <c r="B856" s="1">
        <v>45755</v>
      </c>
      <c r="C856" t="s">
        <v>77</v>
      </c>
      <c r="D856" t="s">
        <v>78</v>
      </c>
      <c r="E856" t="s">
        <v>261</v>
      </c>
      <c r="F856" t="s">
        <v>39</v>
      </c>
      <c r="G856" t="s">
        <v>22</v>
      </c>
      <c r="H856" t="s">
        <v>31</v>
      </c>
      <c r="I856" t="s">
        <v>112</v>
      </c>
      <c r="J856" t="s">
        <v>113</v>
      </c>
      <c r="K856">
        <v>9</v>
      </c>
      <c r="L856" s="2">
        <v>489.99</v>
      </c>
      <c r="M856" s="3">
        <v>0.1</v>
      </c>
      <c r="N856" s="2">
        <v>3968.92</v>
      </c>
      <c r="O856" s="2">
        <v>2203.1999999999998</v>
      </c>
      <c r="P856" s="2">
        <v>1765.72</v>
      </c>
      <c r="Q856" t="s">
        <v>26</v>
      </c>
    </row>
    <row r="857" spans="1:17" x14ac:dyDescent="0.2">
      <c r="A857" t="s">
        <v>1022</v>
      </c>
      <c r="B857" s="1">
        <v>45756</v>
      </c>
      <c r="C857" t="s">
        <v>43</v>
      </c>
      <c r="D857" t="s">
        <v>44</v>
      </c>
      <c r="E857" t="s">
        <v>147</v>
      </c>
      <c r="F857" t="s">
        <v>30</v>
      </c>
      <c r="G857" t="s">
        <v>75</v>
      </c>
      <c r="H857" t="s">
        <v>31</v>
      </c>
      <c r="I857" t="s">
        <v>112</v>
      </c>
      <c r="J857" t="s">
        <v>176</v>
      </c>
      <c r="K857">
        <v>7</v>
      </c>
      <c r="L857" s="2">
        <v>348.05</v>
      </c>
      <c r="M857" s="3">
        <v>0.1</v>
      </c>
      <c r="N857" s="2">
        <v>2192.7199999999998</v>
      </c>
      <c r="O857" s="2">
        <v>1548.26</v>
      </c>
      <c r="P857" s="2">
        <v>644.46</v>
      </c>
      <c r="Q857" t="s">
        <v>57</v>
      </c>
    </row>
    <row r="858" spans="1:17" x14ac:dyDescent="0.2">
      <c r="A858" t="s">
        <v>1023</v>
      </c>
      <c r="B858" s="1">
        <v>45756</v>
      </c>
      <c r="C858" t="s">
        <v>18</v>
      </c>
      <c r="D858" t="s">
        <v>86</v>
      </c>
      <c r="E858" t="s">
        <v>140</v>
      </c>
      <c r="F858" t="s">
        <v>69</v>
      </c>
      <c r="G858" t="s">
        <v>54</v>
      </c>
      <c r="H858" t="s">
        <v>47</v>
      </c>
      <c r="I858" t="s">
        <v>97</v>
      </c>
      <c r="J858" t="s">
        <v>98</v>
      </c>
      <c r="K858">
        <v>9</v>
      </c>
      <c r="L858" s="2">
        <v>321.48</v>
      </c>
      <c r="M858" s="3">
        <v>0.15</v>
      </c>
      <c r="N858" s="2">
        <v>2459.3200000000002</v>
      </c>
      <c r="O858" s="2">
        <v>1979.05</v>
      </c>
      <c r="P858" s="2">
        <v>480.27</v>
      </c>
      <c r="Q858" t="s">
        <v>57</v>
      </c>
    </row>
    <row r="859" spans="1:17" x14ac:dyDescent="0.2">
      <c r="A859" t="s">
        <v>1024</v>
      </c>
      <c r="B859" s="1">
        <v>45756</v>
      </c>
      <c r="C859" t="s">
        <v>43</v>
      </c>
      <c r="D859" t="s">
        <v>44</v>
      </c>
      <c r="E859" t="s">
        <v>147</v>
      </c>
      <c r="F859" t="s">
        <v>138</v>
      </c>
      <c r="G859" t="s">
        <v>54</v>
      </c>
      <c r="H859" t="s">
        <v>23</v>
      </c>
      <c r="I859" t="s">
        <v>83</v>
      </c>
      <c r="J859" t="s">
        <v>131</v>
      </c>
      <c r="K859">
        <v>3</v>
      </c>
      <c r="L859" s="2">
        <v>10.029999999999999</v>
      </c>
      <c r="M859" s="3">
        <v>0</v>
      </c>
      <c r="N859" s="2">
        <v>30.09</v>
      </c>
      <c r="O859" s="2">
        <v>23.81</v>
      </c>
      <c r="P859" s="2">
        <v>6.28</v>
      </c>
      <c r="Q859" t="s">
        <v>61</v>
      </c>
    </row>
    <row r="860" spans="1:17" x14ac:dyDescent="0.2">
      <c r="A860" t="s">
        <v>1025</v>
      </c>
      <c r="B860" s="1">
        <v>45756</v>
      </c>
      <c r="C860" t="s">
        <v>36</v>
      </c>
      <c r="D860" t="s">
        <v>67</v>
      </c>
      <c r="E860" t="s">
        <v>323</v>
      </c>
      <c r="F860" t="s">
        <v>30</v>
      </c>
      <c r="G860" t="s">
        <v>75</v>
      </c>
      <c r="H860" t="s">
        <v>47</v>
      </c>
      <c r="I860" t="s">
        <v>89</v>
      </c>
      <c r="J860" t="s">
        <v>204</v>
      </c>
      <c r="K860">
        <v>3</v>
      </c>
      <c r="L860" s="2">
        <v>231.66</v>
      </c>
      <c r="M860" s="3">
        <v>0.05</v>
      </c>
      <c r="N860" s="2">
        <v>660.23</v>
      </c>
      <c r="O860" s="2">
        <v>410.43</v>
      </c>
      <c r="P860" s="2">
        <v>249.8</v>
      </c>
      <c r="Q860" t="s">
        <v>57</v>
      </c>
    </row>
    <row r="861" spans="1:17" x14ac:dyDescent="0.2">
      <c r="A861" t="s">
        <v>1026</v>
      </c>
      <c r="B861" s="1">
        <v>45756</v>
      </c>
      <c r="C861" t="s">
        <v>43</v>
      </c>
      <c r="D861" t="s">
        <v>44</v>
      </c>
      <c r="E861" t="s">
        <v>82</v>
      </c>
      <c r="F861" t="s">
        <v>46</v>
      </c>
      <c r="G861" t="s">
        <v>22</v>
      </c>
      <c r="H861" t="s">
        <v>47</v>
      </c>
      <c r="I861" t="s">
        <v>48</v>
      </c>
      <c r="J861" t="s">
        <v>93</v>
      </c>
      <c r="K861">
        <v>3</v>
      </c>
      <c r="L861" s="2">
        <v>800.35</v>
      </c>
      <c r="M861" s="3">
        <v>0.1</v>
      </c>
      <c r="N861" s="2">
        <v>2160.9499999999998</v>
      </c>
      <c r="O861" s="2">
        <v>1234.46</v>
      </c>
      <c r="P861" s="2">
        <v>926.49</v>
      </c>
      <c r="Q861" t="s">
        <v>57</v>
      </c>
    </row>
    <row r="862" spans="1:17" x14ac:dyDescent="0.2">
      <c r="A862" t="s">
        <v>1027</v>
      </c>
      <c r="B862" s="1">
        <v>45756</v>
      </c>
      <c r="C862" t="s">
        <v>77</v>
      </c>
      <c r="D862" t="s">
        <v>95</v>
      </c>
      <c r="E862" t="s">
        <v>96</v>
      </c>
      <c r="F862" t="s">
        <v>39</v>
      </c>
      <c r="G862" t="s">
        <v>54</v>
      </c>
      <c r="H862" t="s">
        <v>47</v>
      </c>
      <c r="I862" t="s">
        <v>97</v>
      </c>
      <c r="J862" t="s">
        <v>168</v>
      </c>
      <c r="K862">
        <v>3</v>
      </c>
      <c r="L862" s="2">
        <v>196.33</v>
      </c>
      <c r="M862" s="3">
        <v>0</v>
      </c>
      <c r="N862" s="2">
        <v>588.99</v>
      </c>
      <c r="O862" s="2">
        <v>394.42</v>
      </c>
      <c r="P862" s="2">
        <v>194.57</v>
      </c>
      <c r="Q862" t="s">
        <v>34</v>
      </c>
    </row>
    <row r="863" spans="1:17" x14ac:dyDescent="0.2">
      <c r="A863" t="s">
        <v>1028</v>
      </c>
      <c r="B863" s="1">
        <v>45756</v>
      </c>
      <c r="C863" t="s">
        <v>36</v>
      </c>
      <c r="D863" t="s">
        <v>110</v>
      </c>
      <c r="E863" t="s">
        <v>203</v>
      </c>
      <c r="F863" t="s">
        <v>130</v>
      </c>
      <c r="G863" t="s">
        <v>22</v>
      </c>
      <c r="H863" t="s">
        <v>47</v>
      </c>
      <c r="I863" t="s">
        <v>89</v>
      </c>
      <c r="J863" t="s">
        <v>240</v>
      </c>
      <c r="K863">
        <v>1</v>
      </c>
      <c r="L863" s="2">
        <v>353.19</v>
      </c>
      <c r="M863" s="3">
        <v>0.15</v>
      </c>
      <c r="N863" s="2">
        <v>300.20999999999998</v>
      </c>
      <c r="O863" s="2">
        <v>220.33</v>
      </c>
      <c r="P863" s="2">
        <v>79.88</v>
      </c>
      <c r="Q863" t="s">
        <v>34</v>
      </c>
    </row>
    <row r="864" spans="1:17" x14ac:dyDescent="0.2">
      <c r="A864" t="s">
        <v>1029</v>
      </c>
      <c r="B864" s="1">
        <v>45757</v>
      </c>
      <c r="C864" t="s">
        <v>43</v>
      </c>
      <c r="D864" t="s">
        <v>161</v>
      </c>
      <c r="E864" t="s">
        <v>172</v>
      </c>
      <c r="F864" t="s">
        <v>130</v>
      </c>
      <c r="G864" t="s">
        <v>22</v>
      </c>
      <c r="H864" t="s">
        <v>31</v>
      </c>
      <c r="I864" t="s">
        <v>32</v>
      </c>
      <c r="J864" t="s">
        <v>258</v>
      </c>
      <c r="K864">
        <v>7</v>
      </c>
      <c r="L864" s="2">
        <v>828.71</v>
      </c>
      <c r="M864" s="3">
        <v>0.15</v>
      </c>
      <c r="N864" s="2">
        <v>4930.82</v>
      </c>
      <c r="O864" s="2">
        <v>3085.83</v>
      </c>
      <c r="P864" s="2">
        <v>1844.99</v>
      </c>
      <c r="Q864" t="s">
        <v>26</v>
      </c>
    </row>
    <row r="865" spans="1:17" x14ac:dyDescent="0.2">
      <c r="A865" t="s">
        <v>1030</v>
      </c>
      <c r="B865" s="1">
        <v>45757</v>
      </c>
      <c r="C865" t="s">
        <v>77</v>
      </c>
      <c r="D865" t="s">
        <v>106</v>
      </c>
      <c r="E865" t="s">
        <v>236</v>
      </c>
      <c r="F865" t="s">
        <v>39</v>
      </c>
      <c r="G865" t="s">
        <v>22</v>
      </c>
      <c r="H865" t="s">
        <v>47</v>
      </c>
      <c r="I865" t="s">
        <v>48</v>
      </c>
      <c r="J865" t="s">
        <v>49</v>
      </c>
      <c r="K865">
        <v>9</v>
      </c>
      <c r="L865" s="2">
        <v>608.23</v>
      </c>
      <c r="M865" s="3">
        <v>0</v>
      </c>
      <c r="N865" s="2">
        <v>5474.07</v>
      </c>
      <c r="O865" s="2">
        <v>3667.85</v>
      </c>
      <c r="P865" s="2">
        <v>1806.22</v>
      </c>
      <c r="Q865" t="s">
        <v>57</v>
      </c>
    </row>
    <row r="866" spans="1:17" x14ac:dyDescent="0.2">
      <c r="A866" t="s">
        <v>1031</v>
      </c>
      <c r="B866" s="1">
        <v>45757</v>
      </c>
      <c r="C866" t="s">
        <v>18</v>
      </c>
      <c r="D866" t="s">
        <v>133</v>
      </c>
      <c r="E866" t="s">
        <v>197</v>
      </c>
      <c r="F866" t="s">
        <v>39</v>
      </c>
      <c r="G866" t="s">
        <v>54</v>
      </c>
      <c r="H866" t="s">
        <v>23</v>
      </c>
      <c r="I866" t="s">
        <v>24</v>
      </c>
      <c r="J866" t="s">
        <v>220</v>
      </c>
      <c r="K866">
        <v>7</v>
      </c>
      <c r="L866" s="2">
        <v>23.55</v>
      </c>
      <c r="M866" s="3">
        <v>0.05</v>
      </c>
      <c r="N866" s="2">
        <v>156.61000000000001</v>
      </c>
      <c r="O866" s="2">
        <v>117.47</v>
      </c>
      <c r="P866" s="2">
        <v>39.14</v>
      </c>
      <c r="Q866" t="s">
        <v>34</v>
      </c>
    </row>
    <row r="867" spans="1:17" x14ac:dyDescent="0.2">
      <c r="A867" t="s">
        <v>1032</v>
      </c>
      <c r="B867" s="1">
        <v>45757</v>
      </c>
      <c r="C867" t="s">
        <v>18</v>
      </c>
      <c r="D867" t="s">
        <v>86</v>
      </c>
      <c r="E867" t="s">
        <v>92</v>
      </c>
      <c r="F867" t="s">
        <v>21</v>
      </c>
      <c r="G867" t="s">
        <v>22</v>
      </c>
      <c r="H867" t="s">
        <v>31</v>
      </c>
      <c r="I867" t="s">
        <v>64</v>
      </c>
      <c r="J867" t="s">
        <v>252</v>
      </c>
      <c r="K867">
        <v>7</v>
      </c>
      <c r="L867" s="2">
        <v>160.15</v>
      </c>
      <c r="M867" s="3">
        <v>0.1</v>
      </c>
      <c r="N867" s="2">
        <v>1008.94</v>
      </c>
      <c r="O867" s="2">
        <v>632.97</v>
      </c>
      <c r="P867" s="2">
        <v>375.97</v>
      </c>
      <c r="Q867" t="s">
        <v>61</v>
      </c>
    </row>
    <row r="868" spans="1:17" x14ac:dyDescent="0.2">
      <c r="A868" t="s">
        <v>1033</v>
      </c>
      <c r="B868" s="1">
        <v>45757</v>
      </c>
      <c r="C868" t="s">
        <v>77</v>
      </c>
      <c r="D868" t="s">
        <v>106</v>
      </c>
      <c r="E868" t="s">
        <v>303</v>
      </c>
      <c r="F868" t="s">
        <v>71</v>
      </c>
      <c r="G868" t="s">
        <v>22</v>
      </c>
      <c r="H868" t="s">
        <v>47</v>
      </c>
      <c r="I868" t="s">
        <v>89</v>
      </c>
      <c r="J868" t="s">
        <v>204</v>
      </c>
      <c r="K868">
        <v>10</v>
      </c>
      <c r="L868" s="2">
        <v>472.2</v>
      </c>
      <c r="M868" s="3">
        <v>0</v>
      </c>
      <c r="N868" s="2">
        <v>4722</v>
      </c>
      <c r="O868" s="2">
        <v>3002.16</v>
      </c>
      <c r="P868" s="2">
        <v>1719.84</v>
      </c>
      <c r="Q868" t="s">
        <v>26</v>
      </c>
    </row>
    <row r="869" spans="1:17" x14ac:dyDescent="0.2">
      <c r="A869" t="s">
        <v>1034</v>
      </c>
      <c r="B869" s="1">
        <v>45757</v>
      </c>
      <c r="C869" t="s">
        <v>77</v>
      </c>
      <c r="D869" t="s">
        <v>78</v>
      </c>
      <c r="E869" t="s">
        <v>261</v>
      </c>
      <c r="F869" t="s">
        <v>30</v>
      </c>
      <c r="G869" t="s">
        <v>54</v>
      </c>
      <c r="H869" t="s">
        <v>31</v>
      </c>
      <c r="I869" t="s">
        <v>64</v>
      </c>
      <c r="J869" t="s">
        <v>65</v>
      </c>
      <c r="K869">
        <v>8</v>
      </c>
      <c r="L869" s="2">
        <v>92.54</v>
      </c>
      <c r="M869" s="3">
        <v>0.1</v>
      </c>
      <c r="N869" s="2">
        <v>666.29</v>
      </c>
      <c r="O869" s="2">
        <v>487.06</v>
      </c>
      <c r="P869" s="2">
        <v>179.23</v>
      </c>
      <c r="Q869" t="s">
        <v>26</v>
      </c>
    </row>
    <row r="870" spans="1:17" x14ac:dyDescent="0.2">
      <c r="A870" t="s">
        <v>1035</v>
      </c>
      <c r="B870" s="1">
        <v>45757</v>
      </c>
      <c r="C870" t="s">
        <v>18</v>
      </c>
      <c r="D870" t="s">
        <v>133</v>
      </c>
      <c r="E870" t="s">
        <v>134</v>
      </c>
      <c r="F870" t="s">
        <v>130</v>
      </c>
      <c r="G870" t="s">
        <v>75</v>
      </c>
      <c r="H870" t="s">
        <v>23</v>
      </c>
      <c r="I870" t="s">
        <v>79</v>
      </c>
      <c r="J870" t="s">
        <v>80</v>
      </c>
      <c r="K870">
        <v>4</v>
      </c>
      <c r="L870" s="2">
        <v>593.92999999999995</v>
      </c>
      <c r="M870" s="3">
        <v>0.05</v>
      </c>
      <c r="N870" s="2">
        <v>2256.9299999999998</v>
      </c>
      <c r="O870" s="2">
        <v>1628.81</v>
      </c>
      <c r="P870" s="2">
        <v>628.12</v>
      </c>
      <c r="Q870" t="s">
        <v>57</v>
      </c>
    </row>
    <row r="871" spans="1:17" x14ac:dyDescent="0.2">
      <c r="A871" t="s">
        <v>1036</v>
      </c>
      <c r="B871" s="1">
        <v>45757</v>
      </c>
      <c r="C871" t="s">
        <v>77</v>
      </c>
      <c r="D871" t="s">
        <v>128</v>
      </c>
      <c r="E871" t="s">
        <v>155</v>
      </c>
      <c r="F871" t="s">
        <v>138</v>
      </c>
      <c r="G871" t="s">
        <v>22</v>
      </c>
      <c r="H871" t="s">
        <v>31</v>
      </c>
      <c r="I871" t="s">
        <v>64</v>
      </c>
      <c r="J871" t="s">
        <v>252</v>
      </c>
      <c r="K871">
        <v>5</v>
      </c>
      <c r="L871" s="2">
        <v>81.290000000000006</v>
      </c>
      <c r="M871" s="3">
        <v>0</v>
      </c>
      <c r="N871" s="2">
        <v>406.45</v>
      </c>
      <c r="O871" s="2">
        <v>234.48</v>
      </c>
      <c r="P871" s="2">
        <v>171.97</v>
      </c>
      <c r="Q871" t="s">
        <v>26</v>
      </c>
    </row>
    <row r="872" spans="1:17" x14ac:dyDescent="0.2">
      <c r="A872" t="s">
        <v>1037</v>
      </c>
      <c r="B872" s="1">
        <v>45757</v>
      </c>
      <c r="C872" t="s">
        <v>36</v>
      </c>
      <c r="D872" t="s">
        <v>73</v>
      </c>
      <c r="E872" t="s">
        <v>74</v>
      </c>
      <c r="F872" t="s">
        <v>53</v>
      </c>
      <c r="G872" t="s">
        <v>22</v>
      </c>
      <c r="H872" t="s">
        <v>47</v>
      </c>
      <c r="I872" t="s">
        <v>89</v>
      </c>
      <c r="J872" t="s">
        <v>204</v>
      </c>
      <c r="K872">
        <v>1</v>
      </c>
      <c r="L872" s="2">
        <v>320.67</v>
      </c>
      <c r="M872" s="3">
        <v>0.2</v>
      </c>
      <c r="N872" s="2">
        <v>256.54000000000002</v>
      </c>
      <c r="O872" s="2">
        <v>176.55</v>
      </c>
      <c r="P872" s="2">
        <v>79.989999999999995</v>
      </c>
      <c r="Q872" t="s">
        <v>57</v>
      </c>
    </row>
    <row r="873" spans="1:17" x14ac:dyDescent="0.2">
      <c r="A873" t="s">
        <v>1038</v>
      </c>
      <c r="B873" s="1">
        <v>45757</v>
      </c>
      <c r="C873" t="s">
        <v>77</v>
      </c>
      <c r="D873" t="s">
        <v>78</v>
      </c>
      <c r="E873" t="s">
        <v>295</v>
      </c>
      <c r="F873" t="s">
        <v>53</v>
      </c>
      <c r="G873" t="s">
        <v>22</v>
      </c>
      <c r="H873" t="s">
        <v>47</v>
      </c>
      <c r="I873" t="s">
        <v>89</v>
      </c>
      <c r="J873" t="s">
        <v>204</v>
      </c>
      <c r="K873">
        <v>3</v>
      </c>
      <c r="L873" s="2">
        <v>191.89</v>
      </c>
      <c r="M873" s="3">
        <v>0.1</v>
      </c>
      <c r="N873" s="2">
        <v>518.1</v>
      </c>
      <c r="O873" s="2">
        <v>346.89</v>
      </c>
      <c r="P873" s="2">
        <v>171.21</v>
      </c>
      <c r="Q873" t="s">
        <v>26</v>
      </c>
    </row>
    <row r="874" spans="1:17" x14ac:dyDescent="0.2">
      <c r="A874" t="s">
        <v>1039</v>
      </c>
      <c r="B874" s="1">
        <v>45757</v>
      </c>
      <c r="C874" t="s">
        <v>18</v>
      </c>
      <c r="D874" t="s">
        <v>19</v>
      </c>
      <c r="E874" t="s">
        <v>118</v>
      </c>
      <c r="F874" t="s">
        <v>71</v>
      </c>
      <c r="G874" t="s">
        <v>75</v>
      </c>
      <c r="H874" t="s">
        <v>31</v>
      </c>
      <c r="I874" t="s">
        <v>112</v>
      </c>
      <c r="J874" t="s">
        <v>113</v>
      </c>
      <c r="K874">
        <v>10</v>
      </c>
      <c r="L874" s="2">
        <v>377.7</v>
      </c>
      <c r="M874" s="3">
        <v>0.15</v>
      </c>
      <c r="N874" s="2">
        <v>3210.45</v>
      </c>
      <c r="O874" s="2">
        <v>2301.46</v>
      </c>
      <c r="P874" s="2">
        <v>908.99</v>
      </c>
      <c r="Q874" t="s">
        <v>61</v>
      </c>
    </row>
    <row r="875" spans="1:17" x14ac:dyDescent="0.2">
      <c r="A875" t="s">
        <v>1040</v>
      </c>
      <c r="B875" s="1">
        <v>45757</v>
      </c>
      <c r="C875" t="s">
        <v>43</v>
      </c>
      <c r="D875" t="s">
        <v>244</v>
      </c>
      <c r="E875" t="s">
        <v>326</v>
      </c>
      <c r="F875" t="s">
        <v>53</v>
      </c>
      <c r="G875" t="s">
        <v>75</v>
      </c>
      <c r="H875" t="s">
        <v>31</v>
      </c>
      <c r="I875" t="s">
        <v>32</v>
      </c>
      <c r="J875" t="s">
        <v>258</v>
      </c>
      <c r="K875">
        <v>9</v>
      </c>
      <c r="L875" s="2">
        <v>1497.6</v>
      </c>
      <c r="M875" s="3">
        <v>0.1</v>
      </c>
      <c r="N875" s="2">
        <v>12130.56</v>
      </c>
      <c r="O875" s="2">
        <v>9934.2800000000007</v>
      </c>
      <c r="P875" s="2">
        <v>2196.2800000000002</v>
      </c>
      <c r="Q875" t="s">
        <v>57</v>
      </c>
    </row>
    <row r="876" spans="1:17" x14ac:dyDescent="0.2">
      <c r="A876" t="s">
        <v>1041</v>
      </c>
      <c r="B876" s="1">
        <v>45758</v>
      </c>
      <c r="C876" t="s">
        <v>18</v>
      </c>
      <c r="D876" t="s">
        <v>152</v>
      </c>
      <c r="E876" t="s">
        <v>166</v>
      </c>
      <c r="F876" t="s">
        <v>30</v>
      </c>
      <c r="G876" t="s">
        <v>22</v>
      </c>
      <c r="H876" t="s">
        <v>23</v>
      </c>
      <c r="I876" t="s">
        <v>24</v>
      </c>
      <c r="J876" t="s">
        <v>108</v>
      </c>
      <c r="K876">
        <v>4</v>
      </c>
      <c r="L876" s="2">
        <v>8.59</v>
      </c>
      <c r="M876" s="3">
        <v>0.2</v>
      </c>
      <c r="N876" s="2">
        <v>27.49</v>
      </c>
      <c r="O876" s="2">
        <v>18.37</v>
      </c>
      <c r="P876" s="2">
        <v>9.1199999999999992</v>
      </c>
      <c r="Q876" t="s">
        <v>34</v>
      </c>
    </row>
    <row r="877" spans="1:17" x14ac:dyDescent="0.2">
      <c r="A877" t="s">
        <v>1042</v>
      </c>
      <c r="B877" s="1">
        <v>45758</v>
      </c>
      <c r="C877" t="s">
        <v>18</v>
      </c>
      <c r="D877" t="s">
        <v>86</v>
      </c>
      <c r="E877" t="s">
        <v>92</v>
      </c>
      <c r="F877" t="s">
        <v>130</v>
      </c>
      <c r="G877" t="s">
        <v>54</v>
      </c>
      <c r="H877" t="s">
        <v>31</v>
      </c>
      <c r="I877" t="s">
        <v>64</v>
      </c>
      <c r="J877" t="s">
        <v>126</v>
      </c>
      <c r="K877">
        <v>1</v>
      </c>
      <c r="L877" s="2">
        <v>128.44999999999999</v>
      </c>
      <c r="M877" s="3">
        <v>0.15</v>
      </c>
      <c r="N877" s="2">
        <v>109.18</v>
      </c>
      <c r="O877" s="2">
        <v>82.72</v>
      </c>
      <c r="P877" s="2">
        <v>26.46</v>
      </c>
      <c r="Q877" t="s">
        <v>26</v>
      </c>
    </row>
    <row r="878" spans="1:17" x14ac:dyDescent="0.2">
      <c r="A878" t="s">
        <v>1043</v>
      </c>
      <c r="B878" s="1">
        <v>45758</v>
      </c>
      <c r="C878" t="s">
        <v>43</v>
      </c>
      <c r="D878" t="s">
        <v>161</v>
      </c>
      <c r="E878" t="s">
        <v>418</v>
      </c>
      <c r="F878" t="s">
        <v>21</v>
      </c>
      <c r="G878" t="s">
        <v>22</v>
      </c>
      <c r="H878" t="s">
        <v>47</v>
      </c>
      <c r="I878" t="s">
        <v>97</v>
      </c>
      <c r="J878" t="s">
        <v>116</v>
      </c>
      <c r="K878">
        <v>5</v>
      </c>
      <c r="L878" s="2">
        <v>241.27</v>
      </c>
      <c r="M878" s="3">
        <v>0.15</v>
      </c>
      <c r="N878" s="2">
        <v>1025.4000000000001</v>
      </c>
      <c r="O878" s="2">
        <v>810.89</v>
      </c>
      <c r="P878" s="2">
        <v>214.51</v>
      </c>
      <c r="Q878" t="s">
        <v>34</v>
      </c>
    </row>
    <row r="879" spans="1:17" x14ac:dyDescent="0.2">
      <c r="A879" t="s">
        <v>1044</v>
      </c>
      <c r="B879" s="1">
        <v>45758</v>
      </c>
      <c r="C879" t="s">
        <v>43</v>
      </c>
      <c r="D879" t="s">
        <v>44</v>
      </c>
      <c r="E879" t="s">
        <v>82</v>
      </c>
      <c r="F879" t="s">
        <v>69</v>
      </c>
      <c r="G879" t="s">
        <v>54</v>
      </c>
      <c r="H879" t="s">
        <v>31</v>
      </c>
      <c r="I879" t="s">
        <v>64</v>
      </c>
      <c r="J879" t="s">
        <v>126</v>
      </c>
      <c r="K879">
        <v>6</v>
      </c>
      <c r="L879" s="2">
        <v>65.11</v>
      </c>
      <c r="M879" s="3">
        <v>0.1</v>
      </c>
      <c r="N879" s="2">
        <v>351.59</v>
      </c>
      <c r="O879" s="2">
        <v>275.67</v>
      </c>
      <c r="P879" s="2">
        <v>75.92</v>
      </c>
      <c r="Q879" t="s">
        <v>61</v>
      </c>
    </row>
    <row r="880" spans="1:17" x14ac:dyDescent="0.2">
      <c r="A880" t="s">
        <v>1045</v>
      </c>
      <c r="B880" s="1">
        <v>45758</v>
      </c>
      <c r="C880" t="s">
        <v>43</v>
      </c>
      <c r="D880" t="s">
        <v>161</v>
      </c>
      <c r="E880" t="s">
        <v>418</v>
      </c>
      <c r="F880" t="s">
        <v>60</v>
      </c>
      <c r="G880" t="s">
        <v>75</v>
      </c>
      <c r="H880" t="s">
        <v>47</v>
      </c>
      <c r="I880" t="s">
        <v>89</v>
      </c>
      <c r="J880" t="s">
        <v>240</v>
      </c>
      <c r="K880">
        <v>9</v>
      </c>
      <c r="L880" s="2">
        <v>414.3</v>
      </c>
      <c r="M880" s="3">
        <v>0.05</v>
      </c>
      <c r="N880" s="2">
        <v>3542.26</v>
      </c>
      <c r="O880" s="2">
        <v>2114.54</v>
      </c>
      <c r="P880" s="2">
        <v>1427.72</v>
      </c>
      <c r="Q880" t="s">
        <v>57</v>
      </c>
    </row>
    <row r="881" spans="1:17" x14ac:dyDescent="0.2">
      <c r="A881" t="s">
        <v>1046</v>
      </c>
      <c r="B881" s="1">
        <v>45758</v>
      </c>
      <c r="C881" t="s">
        <v>18</v>
      </c>
      <c r="D881" t="s">
        <v>152</v>
      </c>
      <c r="E881" t="s">
        <v>166</v>
      </c>
      <c r="F881" t="s">
        <v>138</v>
      </c>
      <c r="G881" t="s">
        <v>75</v>
      </c>
      <c r="H881" t="s">
        <v>47</v>
      </c>
      <c r="I881" t="s">
        <v>89</v>
      </c>
      <c r="J881" t="s">
        <v>90</v>
      </c>
      <c r="K881">
        <v>9</v>
      </c>
      <c r="L881" s="2">
        <v>134.93</v>
      </c>
      <c r="M881" s="3">
        <v>0.05</v>
      </c>
      <c r="N881" s="2">
        <v>1153.6500000000001</v>
      </c>
      <c r="O881" s="2">
        <v>879.1</v>
      </c>
      <c r="P881" s="2">
        <v>274.55</v>
      </c>
      <c r="Q881" t="s">
        <v>57</v>
      </c>
    </row>
    <row r="882" spans="1:17" x14ac:dyDescent="0.2">
      <c r="A882" t="s">
        <v>1047</v>
      </c>
      <c r="B882" s="1">
        <v>45758</v>
      </c>
      <c r="C882" t="s">
        <v>36</v>
      </c>
      <c r="D882" t="s">
        <v>144</v>
      </c>
      <c r="E882" t="s">
        <v>232</v>
      </c>
      <c r="F882" t="s">
        <v>69</v>
      </c>
      <c r="G882" t="s">
        <v>75</v>
      </c>
      <c r="H882" t="s">
        <v>47</v>
      </c>
      <c r="I882" t="s">
        <v>97</v>
      </c>
      <c r="J882" t="s">
        <v>116</v>
      </c>
      <c r="K882">
        <v>1</v>
      </c>
      <c r="L882" s="2">
        <v>466.99</v>
      </c>
      <c r="M882" s="3">
        <v>0</v>
      </c>
      <c r="N882" s="2">
        <v>466.99</v>
      </c>
      <c r="O882" s="2">
        <v>364.67</v>
      </c>
      <c r="P882" s="2">
        <v>102.32</v>
      </c>
      <c r="Q882" t="s">
        <v>34</v>
      </c>
    </row>
    <row r="883" spans="1:17" x14ac:dyDescent="0.2">
      <c r="A883" t="s">
        <v>1048</v>
      </c>
      <c r="B883" s="1">
        <v>45758</v>
      </c>
      <c r="C883" t="s">
        <v>36</v>
      </c>
      <c r="D883" t="s">
        <v>144</v>
      </c>
      <c r="E883" t="s">
        <v>232</v>
      </c>
      <c r="F883" t="s">
        <v>39</v>
      </c>
      <c r="G883" t="s">
        <v>22</v>
      </c>
      <c r="H883" t="s">
        <v>47</v>
      </c>
      <c r="I883" t="s">
        <v>141</v>
      </c>
      <c r="J883" t="s">
        <v>372</v>
      </c>
      <c r="K883">
        <v>10</v>
      </c>
      <c r="L883" s="2">
        <v>566.36</v>
      </c>
      <c r="M883" s="3">
        <v>0</v>
      </c>
      <c r="N883" s="2">
        <v>5663.6</v>
      </c>
      <c r="O883" s="2">
        <v>3975.22</v>
      </c>
      <c r="P883" s="2">
        <v>1688.38</v>
      </c>
      <c r="Q883" t="s">
        <v>57</v>
      </c>
    </row>
    <row r="884" spans="1:17" x14ac:dyDescent="0.2">
      <c r="A884" t="s">
        <v>1049</v>
      </c>
      <c r="B884" s="1">
        <v>45758</v>
      </c>
      <c r="C884" t="s">
        <v>18</v>
      </c>
      <c r="D884" t="s">
        <v>28</v>
      </c>
      <c r="E884" t="s">
        <v>157</v>
      </c>
      <c r="F884" t="s">
        <v>69</v>
      </c>
      <c r="G884" t="s">
        <v>75</v>
      </c>
      <c r="H884" t="s">
        <v>23</v>
      </c>
      <c r="I884" t="s">
        <v>24</v>
      </c>
      <c r="J884" t="s">
        <v>108</v>
      </c>
      <c r="K884">
        <v>8</v>
      </c>
      <c r="L884" s="2">
        <v>7.67</v>
      </c>
      <c r="M884" s="3">
        <v>0.05</v>
      </c>
      <c r="N884" s="2">
        <v>58.29</v>
      </c>
      <c r="O884" s="2">
        <v>32.9</v>
      </c>
      <c r="P884" s="2">
        <v>25.39</v>
      </c>
      <c r="Q884" t="s">
        <v>57</v>
      </c>
    </row>
    <row r="885" spans="1:17" x14ac:dyDescent="0.2">
      <c r="A885" t="s">
        <v>1050</v>
      </c>
      <c r="B885" s="1">
        <v>45758</v>
      </c>
      <c r="C885" t="s">
        <v>18</v>
      </c>
      <c r="D885" t="s">
        <v>152</v>
      </c>
      <c r="E885" t="s">
        <v>153</v>
      </c>
      <c r="F885" t="s">
        <v>138</v>
      </c>
      <c r="G885" t="s">
        <v>22</v>
      </c>
      <c r="H885" t="s">
        <v>23</v>
      </c>
      <c r="I885" t="s">
        <v>24</v>
      </c>
      <c r="J885" t="s">
        <v>25</v>
      </c>
      <c r="K885">
        <v>1</v>
      </c>
      <c r="L885" s="2">
        <v>29.07</v>
      </c>
      <c r="M885" s="3">
        <v>0.15</v>
      </c>
      <c r="N885" s="2">
        <v>24.71</v>
      </c>
      <c r="O885" s="2">
        <v>16.95</v>
      </c>
      <c r="P885" s="2">
        <v>7.76</v>
      </c>
      <c r="Q885" t="s">
        <v>34</v>
      </c>
    </row>
    <row r="886" spans="1:17" x14ac:dyDescent="0.2">
      <c r="A886" t="s">
        <v>1051</v>
      </c>
      <c r="B886" s="1">
        <v>45759</v>
      </c>
      <c r="C886" t="s">
        <v>43</v>
      </c>
      <c r="D886" t="s">
        <v>51</v>
      </c>
      <c r="E886" t="s">
        <v>63</v>
      </c>
      <c r="F886" t="s">
        <v>130</v>
      </c>
      <c r="G886" t="s">
        <v>54</v>
      </c>
      <c r="H886" t="s">
        <v>47</v>
      </c>
      <c r="I886" t="s">
        <v>48</v>
      </c>
      <c r="J886" t="s">
        <v>164</v>
      </c>
      <c r="K886">
        <v>1</v>
      </c>
      <c r="L886" s="2">
        <v>572.07000000000005</v>
      </c>
      <c r="M886" s="3">
        <v>0.1</v>
      </c>
      <c r="N886" s="2">
        <v>514.86</v>
      </c>
      <c r="O886" s="2">
        <v>285.61</v>
      </c>
      <c r="P886" s="2">
        <v>229.25</v>
      </c>
      <c r="Q886" t="s">
        <v>61</v>
      </c>
    </row>
    <row r="887" spans="1:17" x14ac:dyDescent="0.2">
      <c r="A887" t="s">
        <v>1052</v>
      </c>
      <c r="B887" s="1">
        <v>45759</v>
      </c>
      <c r="C887" t="s">
        <v>36</v>
      </c>
      <c r="D887" t="s">
        <v>73</v>
      </c>
      <c r="E887" t="s">
        <v>247</v>
      </c>
      <c r="F887" t="s">
        <v>60</v>
      </c>
      <c r="G887" t="s">
        <v>54</v>
      </c>
      <c r="H887" t="s">
        <v>31</v>
      </c>
      <c r="I887" t="s">
        <v>40</v>
      </c>
      <c r="J887" t="s">
        <v>41</v>
      </c>
      <c r="K887">
        <v>1</v>
      </c>
      <c r="L887" s="2">
        <v>220.05</v>
      </c>
      <c r="M887" s="3">
        <v>0.1</v>
      </c>
      <c r="N887" s="2">
        <v>198.04</v>
      </c>
      <c r="O887" s="2">
        <v>151.46</v>
      </c>
      <c r="P887" s="2">
        <v>46.58</v>
      </c>
      <c r="Q887" t="s">
        <v>57</v>
      </c>
    </row>
    <row r="888" spans="1:17" x14ac:dyDescent="0.2">
      <c r="A888" t="s">
        <v>1053</v>
      </c>
      <c r="B888" s="1">
        <v>45759</v>
      </c>
      <c r="C888" t="s">
        <v>36</v>
      </c>
      <c r="D888" t="s">
        <v>67</v>
      </c>
      <c r="E888" t="s">
        <v>323</v>
      </c>
      <c r="F888" t="s">
        <v>71</v>
      </c>
      <c r="G888" t="s">
        <v>75</v>
      </c>
      <c r="H888" t="s">
        <v>31</v>
      </c>
      <c r="I888" t="s">
        <v>64</v>
      </c>
      <c r="J888" t="s">
        <v>126</v>
      </c>
      <c r="K888">
        <v>8</v>
      </c>
      <c r="L888" s="2">
        <v>48.41</v>
      </c>
      <c r="M888" s="3">
        <v>0.1</v>
      </c>
      <c r="N888" s="2">
        <v>348.55</v>
      </c>
      <c r="O888" s="2">
        <v>206.81</v>
      </c>
      <c r="P888" s="2">
        <v>141.74</v>
      </c>
      <c r="Q888" t="s">
        <v>34</v>
      </c>
    </row>
    <row r="889" spans="1:17" x14ac:dyDescent="0.2">
      <c r="A889" t="s">
        <v>1054</v>
      </c>
      <c r="B889" s="1">
        <v>45759</v>
      </c>
      <c r="C889" t="s">
        <v>18</v>
      </c>
      <c r="D889" t="s">
        <v>28</v>
      </c>
      <c r="E889" t="s">
        <v>170</v>
      </c>
      <c r="F889" t="s">
        <v>138</v>
      </c>
      <c r="G889" t="s">
        <v>54</v>
      </c>
      <c r="H889" t="s">
        <v>23</v>
      </c>
      <c r="I889" t="s">
        <v>79</v>
      </c>
      <c r="J889" t="s">
        <v>80</v>
      </c>
      <c r="K889">
        <v>8</v>
      </c>
      <c r="L889" s="2">
        <v>417.74</v>
      </c>
      <c r="M889" s="3">
        <v>0</v>
      </c>
      <c r="N889" s="2">
        <v>3341.92</v>
      </c>
      <c r="O889" s="2">
        <v>2570.2800000000002</v>
      </c>
      <c r="P889" s="2">
        <v>771.64</v>
      </c>
      <c r="Q889" t="s">
        <v>26</v>
      </c>
    </row>
    <row r="890" spans="1:17" x14ac:dyDescent="0.2">
      <c r="A890" t="s">
        <v>1055</v>
      </c>
      <c r="B890" s="1">
        <v>45759</v>
      </c>
      <c r="C890" t="s">
        <v>43</v>
      </c>
      <c r="D890" t="s">
        <v>161</v>
      </c>
      <c r="E890" t="s">
        <v>162</v>
      </c>
      <c r="F890" t="s">
        <v>60</v>
      </c>
      <c r="G890" t="s">
        <v>22</v>
      </c>
      <c r="H890" t="s">
        <v>23</v>
      </c>
      <c r="I890" t="s">
        <v>55</v>
      </c>
      <c r="J890" t="s">
        <v>102</v>
      </c>
      <c r="K890">
        <v>9</v>
      </c>
      <c r="L890" s="2">
        <v>11.1</v>
      </c>
      <c r="M890" s="3">
        <v>0.05</v>
      </c>
      <c r="N890" s="2">
        <v>94.9</v>
      </c>
      <c r="O890" s="2">
        <v>60.89</v>
      </c>
      <c r="P890" s="2">
        <v>34.01</v>
      </c>
      <c r="Q890" t="s">
        <v>61</v>
      </c>
    </row>
    <row r="891" spans="1:17" x14ac:dyDescent="0.2">
      <c r="A891" t="s">
        <v>1056</v>
      </c>
      <c r="B891" s="1">
        <v>45759</v>
      </c>
      <c r="C891" t="s">
        <v>43</v>
      </c>
      <c r="D891" t="s">
        <v>208</v>
      </c>
      <c r="E891" t="s">
        <v>209</v>
      </c>
      <c r="F891" t="s">
        <v>53</v>
      </c>
      <c r="G891" t="s">
        <v>22</v>
      </c>
      <c r="H891" t="s">
        <v>47</v>
      </c>
      <c r="I891" t="s">
        <v>48</v>
      </c>
      <c r="J891" t="s">
        <v>164</v>
      </c>
      <c r="K891">
        <v>10</v>
      </c>
      <c r="L891" s="2">
        <v>683.45</v>
      </c>
      <c r="M891" s="3">
        <v>0.1</v>
      </c>
      <c r="N891" s="2">
        <v>6151.05</v>
      </c>
      <c r="O891" s="2">
        <v>3855.28</v>
      </c>
      <c r="P891" s="2">
        <v>2295.77</v>
      </c>
      <c r="Q891" t="s">
        <v>26</v>
      </c>
    </row>
    <row r="892" spans="1:17" x14ac:dyDescent="0.2">
      <c r="A892" t="s">
        <v>1057</v>
      </c>
      <c r="B892" s="1">
        <v>45760</v>
      </c>
      <c r="C892" t="s">
        <v>18</v>
      </c>
      <c r="D892" t="s">
        <v>28</v>
      </c>
      <c r="E892" t="s">
        <v>170</v>
      </c>
      <c r="F892" t="s">
        <v>21</v>
      </c>
      <c r="G892" t="s">
        <v>75</v>
      </c>
      <c r="H892" t="s">
        <v>47</v>
      </c>
      <c r="I892" t="s">
        <v>97</v>
      </c>
      <c r="J892" t="s">
        <v>116</v>
      </c>
      <c r="K892">
        <v>4</v>
      </c>
      <c r="L892" s="2">
        <v>310.51</v>
      </c>
      <c r="M892" s="3">
        <v>0</v>
      </c>
      <c r="N892" s="2">
        <v>1242.04</v>
      </c>
      <c r="O892" s="2">
        <v>714.72</v>
      </c>
      <c r="P892" s="2">
        <v>527.32000000000005</v>
      </c>
      <c r="Q892" t="s">
        <v>61</v>
      </c>
    </row>
    <row r="893" spans="1:17" x14ac:dyDescent="0.2">
      <c r="A893" t="s">
        <v>1058</v>
      </c>
      <c r="B893" s="1">
        <v>45760</v>
      </c>
      <c r="C893" t="s">
        <v>18</v>
      </c>
      <c r="D893" t="s">
        <v>19</v>
      </c>
      <c r="E893" t="s">
        <v>118</v>
      </c>
      <c r="F893" t="s">
        <v>30</v>
      </c>
      <c r="G893" t="s">
        <v>22</v>
      </c>
      <c r="H893" t="s">
        <v>23</v>
      </c>
      <c r="I893" t="s">
        <v>24</v>
      </c>
      <c r="J893" t="s">
        <v>220</v>
      </c>
      <c r="K893">
        <v>10</v>
      </c>
      <c r="L893" s="2">
        <v>29</v>
      </c>
      <c r="M893" s="3">
        <v>0</v>
      </c>
      <c r="N893" s="2">
        <v>290</v>
      </c>
      <c r="O893" s="2">
        <v>165.66</v>
      </c>
      <c r="P893" s="2">
        <v>124.34</v>
      </c>
      <c r="Q893" t="s">
        <v>26</v>
      </c>
    </row>
    <row r="894" spans="1:17" x14ac:dyDescent="0.2">
      <c r="A894" t="s">
        <v>1059</v>
      </c>
      <c r="B894" s="1">
        <v>45760</v>
      </c>
      <c r="C894" t="s">
        <v>36</v>
      </c>
      <c r="D894" t="s">
        <v>37</v>
      </c>
      <c r="E894" t="s">
        <v>255</v>
      </c>
      <c r="F894" t="s">
        <v>138</v>
      </c>
      <c r="G894" t="s">
        <v>54</v>
      </c>
      <c r="H894" t="s">
        <v>23</v>
      </c>
      <c r="I894" t="s">
        <v>79</v>
      </c>
      <c r="J894" t="s">
        <v>233</v>
      </c>
      <c r="K894">
        <v>5</v>
      </c>
      <c r="L894" s="2">
        <v>355.18</v>
      </c>
      <c r="M894" s="3">
        <v>0.05</v>
      </c>
      <c r="N894" s="2">
        <v>1687.1</v>
      </c>
      <c r="O894" s="2">
        <v>1023</v>
      </c>
      <c r="P894" s="2">
        <v>664.1</v>
      </c>
      <c r="Q894" t="s">
        <v>34</v>
      </c>
    </row>
    <row r="895" spans="1:17" x14ac:dyDescent="0.2">
      <c r="A895" t="s">
        <v>1060</v>
      </c>
      <c r="B895" s="1">
        <v>45760</v>
      </c>
      <c r="C895" t="s">
        <v>77</v>
      </c>
      <c r="D895" t="s">
        <v>95</v>
      </c>
      <c r="E895" t="s">
        <v>300</v>
      </c>
      <c r="F895" t="s">
        <v>46</v>
      </c>
      <c r="G895" t="s">
        <v>54</v>
      </c>
      <c r="H895" t="s">
        <v>31</v>
      </c>
      <c r="I895" t="s">
        <v>32</v>
      </c>
      <c r="J895" t="s">
        <v>104</v>
      </c>
      <c r="K895">
        <v>5</v>
      </c>
      <c r="L895" s="2">
        <v>1682.01</v>
      </c>
      <c r="M895" s="3">
        <v>0</v>
      </c>
      <c r="N895" s="2">
        <v>8410.0499999999993</v>
      </c>
      <c r="O895" s="2">
        <v>4911.51</v>
      </c>
      <c r="P895" s="2">
        <v>3498.54</v>
      </c>
      <c r="Q895" t="s">
        <v>61</v>
      </c>
    </row>
    <row r="896" spans="1:17" x14ac:dyDescent="0.2">
      <c r="A896" t="s">
        <v>1061</v>
      </c>
      <c r="B896" s="1">
        <v>45761</v>
      </c>
      <c r="C896" t="s">
        <v>77</v>
      </c>
      <c r="D896" t="s">
        <v>78</v>
      </c>
      <c r="E896" t="s">
        <v>52</v>
      </c>
      <c r="F896" t="s">
        <v>30</v>
      </c>
      <c r="G896" t="s">
        <v>22</v>
      </c>
      <c r="H896" t="s">
        <v>23</v>
      </c>
      <c r="I896" t="s">
        <v>83</v>
      </c>
      <c r="J896" t="s">
        <v>84</v>
      </c>
      <c r="K896">
        <v>5</v>
      </c>
      <c r="L896" s="2">
        <v>30.14</v>
      </c>
      <c r="M896" s="3">
        <v>0</v>
      </c>
      <c r="N896" s="2">
        <v>150.69999999999999</v>
      </c>
      <c r="O896" s="2">
        <v>112.98</v>
      </c>
      <c r="P896" s="2">
        <v>37.72</v>
      </c>
      <c r="Q896" t="s">
        <v>61</v>
      </c>
    </row>
    <row r="897" spans="1:17" x14ac:dyDescent="0.2">
      <c r="A897" t="s">
        <v>1062</v>
      </c>
      <c r="B897" s="1">
        <v>45761</v>
      </c>
      <c r="C897" t="s">
        <v>18</v>
      </c>
      <c r="D897" t="s">
        <v>19</v>
      </c>
      <c r="E897" t="s">
        <v>118</v>
      </c>
      <c r="F897" t="s">
        <v>130</v>
      </c>
      <c r="G897" t="s">
        <v>22</v>
      </c>
      <c r="H897" t="s">
        <v>47</v>
      </c>
      <c r="I897" t="s">
        <v>48</v>
      </c>
      <c r="J897" t="s">
        <v>164</v>
      </c>
      <c r="K897">
        <v>7</v>
      </c>
      <c r="L897" s="2">
        <v>698.36</v>
      </c>
      <c r="M897" s="3">
        <v>0</v>
      </c>
      <c r="N897" s="2">
        <v>4888.5200000000004</v>
      </c>
      <c r="O897" s="2">
        <v>3841.64</v>
      </c>
      <c r="P897" s="2">
        <v>1046.8800000000001</v>
      </c>
      <c r="Q897" t="s">
        <v>61</v>
      </c>
    </row>
    <row r="898" spans="1:17" x14ac:dyDescent="0.2">
      <c r="A898" t="s">
        <v>1063</v>
      </c>
      <c r="B898" s="1">
        <v>45761</v>
      </c>
      <c r="C898" t="s">
        <v>77</v>
      </c>
      <c r="D898" t="s">
        <v>149</v>
      </c>
      <c r="E898" t="s">
        <v>150</v>
      </c>
      <c r="F898" t="s">
        <v>21</v>
      </c>
      <c r="G898" t="s">
        <v>75</v>
      </c>
      <c r="H898" t="s">
        <v>31</v>
      </c>
      <c r="I898" t="s">
        <v>32</v>
      </c>
      <c r="J898" t="s">
        <v>104</v>
      </c>
      <c r="K898">
        <v>8</v>
      </c>
      <c r="L898" s="2">
        <v>1515.2</v>
      </c>
      <c r="M898" s="3">
        <v>0.15</v>
      </c>
      <c r="N898" s="2">
        <v>10303.36</v>
      </c>
      <c r="O898" s="2">
        <v>7058.94</v>
      </c>
      <c r="P898" s="2">
        <v>3244.42</v>
      </c>
      <c r="Q898" t="s">
        <v>26</v>
      </c>
    </row>
    <row r="899" spans="1:17" x14ac:dyDescent="0.2">
      <c r="A899" t="s">
        <v>1064</v>
      </c>
      <c r="B899" s="1">
        <v>45762</v>
      </c>
      <c r="C899" t="s">
        <v>77</v>
      </c>
      <c r="D899" t="s">
        <v>78</v>
      </c>
      <c r="E899" t="s">
        <v>261</v>
      </c>
      <c r="F899" t="s">
        <v>60</v>
      </c>
      <c r="G899" t="s">
        <v>75</v>
      </c>
      <c r="H899" t="s">
        <v>47</v>
      </c>
      <c r="I899" t="s">
        <v>89</v>
      </c>
      <c r="J899" t="s">
        <v>240</v>
      </c>
      <c r="K899">
        <v>7</v>
      </c>
      <c r="L899" s="2">
        <v>297.07</v>
      </c>
      <c r="M899" s="3">
        <v>0</v>
      </c>
      <c r="N899" s="2">
        <v>2079.4899999999998</v>
      </c>
      <c r="O899" s="2">
        <v>1676.76</v>
      </c>
      <c r="P899" s="2">
        <v>402.73</v>
      </c>
      <c r="Q899" t="s">
        <v>61</v>
      </c>
    </row>
    <row r="900" spans="1:17" x14ac:dyDescent="0.2">
      <c r="A900" t="s">
        <v>1065</v>
      </c>
      <c r="B900" s="1">
        <v>45762</v>
      </c>
      <c r="C900" t="s">
        <v>77</v>
      </c>
      <c r="D900" t="s">
        <v>106</v>
      </c>
      <c r="E900" t="s">
        <v>303</v>
      </c>
      <c r="F900" t="s">
        <v>21</v>
      </c>
      <c r="G900" t="s">
        <v>22</v>
      </c>
      <c r="H900" t="s">
        <v>23</v>
      </c>
      <c r="I900" t="s">
        <v>24</v>
      </c>
      <c r="J900" t="s">
        <v>108</v>
      </c>
      <c r="K900">
        <v>10</v>
      </c>
      <c r="L900" s="2">
        <v>12.06</v>
      </c>
      <c r="M900" s="3">
        <v>0</v>
      </c>
      <c r="N900" s="2">
        <v>120.6</v>
      </c>
      <c r="O900" s="2">
        <v>74.73</v>
      </c>
      <c r="P900" s="2">
        <v>45.87</v>
      </c>
      <c r="Q900" t="s">
        <v>61</v>
      </c>
    </row>
    <row r="901" spans="1:17" x14ac:dyDescent="0.2">
      <c r="A901" t="s">
        <v>1066</v>
      </c>
      <c r="B901" s="1">
        <v>45762</v>
      </c>
      <c r="C901" t="s">
        <v>36</v>
      </c>
      <c r="D901" t="s">
        <v>67</v>
      </c>
      <c r="E901" t="s">
        <v>68</v>
      </c>
      <c r="F901" t="s">
        <v>60</v>
      </c>
      <c r="G901" t="s">
        <v>75</v>
      </c>
      <c r="H901" t="s">
        <v>31</v>
      </c>
      <c r="I901" t="s">
        <v>112</v>
      </c>
      <c r="J901" t="s">
        <v>136</v>
      </c>
      <c r="K901">
        <v>3</v>
      </c>
      <c r="L901" s="2">
        <v>329.51</v>
      </c>
      <c r="M901" s="3">
        <v>0.15</v>
      </c>
      <c r="N901" s="2">
        <v>840.25</v>
      </c>
      <c r="O901" s="2">
        <v>610.47</v>
      </c>
      <c r="P901" s="2">
        <v>229.78</v>
      </c>
      <c r="Q901" t="s">
        <v>61</v>
      </c>
    </row>
    <row r="902" spans="1:17" x14ac:dyDescent="0.2">
      <c r="A902" t="s">
        <v>1067</v>
      </c>
      <c r="B902" s="1">
        <v>45762</v>
      </c>
      <c r="C902" t="s">
        <v>18</v>
      </c>
      <c r="D902" t="s">
        <v>19</v>
      </c>
      <c r="E902" t="s">
        <v>118</v>
      </c>
      <c r="F902" t="s">
        <v>69</v>
      </c>
      <c r="G902" t="s">
        <v>75</v>
      </c>
      <c r="H902" t="s">
        <v>23</v>
      </c>
      <c r="I902" t="s">
        <v>83</v>
      </c>
      <c r="J902" t="s">
        <v>120</v>
      </c>
      <c r="K902">
        <v>4</v>
      </c>
      <c r="L902" s="2">
        <v>12.35</v>
      </c>
      <c r="M902" s="3">
        <v>0.1</v>
      </c>
      <c r="N902" s="2">
        <v>44.46</v>
      </c>
      <c r="O902" s="2">
        <v>25.16</v>
      </c>
      <c r="P902" s="2">
        <v>19.3</v>
      </c>
      <c r="Q902" t="s">
        <v>57</v>
      </c>
    </row>
    <row r="903" spans="1:17" x14ac:dyDescent="0.2">
      <c r="A903" t="s">
        <v>1068</v>
      </c>
      <c r="B903" s="1">
        <v>45762</v>
      </c>
      <c r="C903" t="s">
        <v>18</v>
      </c>
      <c r="D903" t="s">
        <v>133</v>
      </c>
      <c r="E903" t="s">
        <v>197</v>
      </c>
      <c r="F903" t="s">
        <v>30</v>
      </c>
      <c r="G903" t="s">
        <v>22</v>
      </c>
      <c r="H903" t="s">
        <v>47</v>
      </c>
      <c r="I903" t="s">
        <v>89</v>
      </c>
      <c r="J903" t="s">
        <v>240</v>
      </c>
      <c r="K903">
        <v>6</v>
      </c>
      <c r="L903" s="2">
        <v>488.12</v>
      </c>
      <c r="M903" s="3">
        <v>0.15</v>
      </c>
      <c r="N903" s="2">
        <v>2489.41</v>
      </c>
      <c r="O903" s="2">
        <v>1927.41</v>
      </c>
      <c r="P903" s="2">
        <v>562</v>
      </c>
      <c r="Q903" t="s">
        <v>34</v>
      </c>
    </row>
    <row r="904" spans="1:17" x14ac:dyDescent="0.2">
      <c r="A904" t="s">
        <v>1069</v>
      </c>
      <c r="B904" s="1">
        <v>45762</v>
      </c>
      <c r="C904" t="s">
        <v>18</v>
      </c>
      <c r="D904" t="s">
        <v>152</v>
      </c>
      <c r="E904" t="s">
        <v>185</v>
      </c>
      <c r="F904" t="s">
        <v>71</v>
      </c>
      <c r="G904" t="s">
        <v>22</v>
      </c>
      <c r="H904" t="s">
        <v>23</v>
      </c>
      <c r="I904" t="s">
        <v>83</v>
      </c>
      <c r="J904" t="s">
        <v>131</v>
      </c>
      <c r="K904">
        <v>8</v>
      </c>
      <c r="L904" s="2">
        <v>15.8</v>
      </c>
      <c r="M904" s="3">
        <v>0.15</v>
      </c>
      <c r="N904" s="2">
        <v>107.44</v>
      </c>
      <c r="O904" s="2">
        <v>78.52</v>
      </c>
      <c r="P904" s="2">
        <v>28.92</v>
      </c>
      <c r="Q904" t="s">
        <v>61</v>
      </c>
    </row>
    <row r="905" spans="1:17" x14ac:dyDescent="0.2">
      <c r="A905" t="s">
        <v>1070</v>
      </c>
      <c r="B905" s="1">
        <v>45762</v>
      </c>
      <c r="C905" t="s">
        <v>36</v>
      </c>
      <c r="D905" t="s">
        <v>73</v>
      </c>
      <c r="E905" t="s">
        <v>247</v>
      </c>
      <c r="F905" t="s">
        <v>60</v>
      </c>
      <c r="G905" t="s">
        <v>22</v>
      </c>
      <c r="H905" t="s">
        <v>31</v>
      </c>
      <c r="I905" t="s">
        <v>112</v>
      </c>
      <c r="J905" t="s">
        <v>136</v>
      </c>
      <c r="K905">
        <v>5</v>
      </c>
      <c r="L905" s="2">
        <v>599.29999999999995</v>
      </c>
      <c r="M905" s="3">
        <v>0.1</v>
      </c>
      <c r="N905" s="2">
        <v>2696.85</v>
      </c>
      <c r="O905" s="2">
        <v>1959.45</v>
      </c>
      <c r="P905" s="2">
        <v>737.4</v>
      </c>
      <c r="Q905" t="s">
        <v>34</v>
      </c>
    </row>
    <row r="906" spans="1:17" x14ac:dyDescent="0.2">
      <c r="A906" t="s">
        <v>1071</v>
      </c>
      <c r="B906" s="1">
        <v>45762</v>
      </c>
      <c r="C906" t="s">
        <v>18</v>
      </c>
      <c r="D906" t="s">
        <v>28</v>
      </c>
      <c r="E906" t="s">
        <v>170</v>
      </c>
      <c r="F906" t="s">
        <v>60</v>
      </c>
      <c r="G906" t="s">
        <v>22</v>
      </c>
      <c r="H906" t="s">
        <v>23</v>
      </c>
      <c r="I906" t="s">
        <v>79</v>
      </c>
      <c r="J906" t="s">
        <v>80</v>
      </c>
      <c r="K906">
        <v>3</v>
      </c>
      <c r="L906" s="2">
        <v>189.8</v>
      </c>
      <c r="M906" s="3">
        <v>0.05</v>
      </c>
      <c r="N906" s="2">
        <v>540.92999999999995</v>
      </c>
      <c r="O906" s="2">
        <v>343.78</v>
      </c>
      <c r="P906" s="2">
        <v>197.15</v>
      </c>
      <c r="Q906" t="s">
        <v>61</v>
      </c>
    </row>
    <row r="907" spans="1:17" x14ac:dyDescent="0.2">
      <c r="A907" t="s">
        <v>1072</v>
      </c>
      <c r="B907" s="1">
        <v>45762</v>
      </c>
      <c r="C907" t="s">
        <v>77</v>
      </c>
      <c r="D907" t="s">
        <v>78</v>
      </c>
      <c r="E907" t="s">
        <v>261</v>
      </c>
      <c r="F907" t="s">
        <v>138</v>
      </c>
      <c r="G907" t="s">
        <v>22</v>
      </c>
      <c r="H907" t="s">
        <v>47</v>
      </c>
      <c r="I907" t="s">
        <v>97</v>
      </c>
      <c r="J907" t="s">
        <v>98</v>
      </c>
      <c r="K907">
        <v>3</v>
      </c>
      <c r="L907" s="2">
        <v>684.58</v>
      </c>
      <c r="M907" s="3">
        <v>0</v>
      </c>
      <c r="N907" s="2">
        <v>2053.7399999999998</v>
      </c>
      <c r="O907" s="2">
        <v>1413</v>
      </c>
      <c r="P907" s="2">
        <v>640.74</v>
      </c>
      <c r="Q907" t="s">
        <v>57</v>
      </c>
    </row>
    <row r="908" spans="1:17" x14ac:dyDescent="0.2">
      <c r="A908" t="s">
        <v>1073</v>
      </c>
      <c r="B908" s="1">
        <v>45762</v>
      </c>
      <c r="C908" t="s">
        <v>77</v>
      </c>
      <c r="D908" t="s">
        <v>78</v>
      </c>
      <c r="E908" t="s">
        <v>52</v>
      </c>
      <c r="F908" t="s">
        <v>130</v>
      </c>
      <c r="G908" t="s">
        <v>22</v>
      </c>
      <c r="H908" t="s">
        <v>47</v>
      </c>
      <c r="I908" t="s">
        <v>141</v>
      </c>
      <c r="J908" t="s">
        <v>201</v>
      </c>
      <c r="K908">
        <v>1</v>
      </c>
      <c r="L908" s="2">
        <v>430.22</v>
      </c>
      <c r="M908" s="3">
        <v>0.1</v>
      </c>
      <c r="N908" s="2">
        <v>387.2</v>
      </c>
      <c r="O908" s="2">
        <v>249.65</v>
      </c>
      <c r="P908" s="2">
        <v>137.55000000000001</v>
      </c>
      <c r="Q908" t="s">
        <v>34</v>
      </c>
    </row>
    <row r="909" spans="1:17" x14ac:dyDescent="0.2">
      <c r="A909" t="s">
        <v>1074</v>
      </c>
      <c r="B909" s="1">
        <v>45762</v>
      </c>
      <c r="C909" t="s">
        <v>77</v>
      </c>
      <c r="D909" t="s">
        <v>95</v>
      </c>
      <c r="E909" t="s">
        <v>96</v>
      </c>
      <c r="F909" t="s">
        <v>46</v>
      </c>
      <c r="G909" t="s">
        <v>54</v>
      </c>
      <c r="H909" t="s">
        <v>23</v>
      </c>
      <c r="I909" t="s">
        <v>83</v>
      </c>
      <c r="J909" t="s">
        <v>120</v>
      </c>
      <c r="K909">
        <v>7</v>
      </c>
      <c r="L909" s="2">
        <v>30.02</v>
      </c>
      <c r="M909" s="3">
        <v>0</v>
      </c>
      <c r="N909" s="2">
        <v>210.14</v>
      </c>
      <c r="O909" s="2">
        <v>123.64</v>
      </c>
      <c r="P909" s="2">
        <v>86.5</v>
      </c>
      <c r="Q909" t="s">
        <v>34</v>
      </c>
    </row>
    <row r="910" spans="1:17" x14ac:dyDescent="0.2">
      <c r="A910" t="s">
        <v>1075</v>
      </c>
      <c r="B910" s="1">
        <v>45763</v>
      </c>
      <c r="C910" t="s">
        <v>43</v>
      </c>
      <c r="D910" t="s">
        <v>44</v>
      </c>
      <c r="E910" t="s">
        <v>45</v>
      </c>
      <c r="F910" t="s">
        <v>39</v>
      </c>
      <c r="G910" t="s">
        <v>22</v>
      </c>
      <c r="H910" t="s">
        <v>47</v>
      </c>
      <c r="I910" t="s">
        <v>48</v>
      </c>
      <c r="J910" t="s">
        <v>93</v>
      </c>
      <c r="K910">
        <v>8</v>
      </c>
      <c r="L910" s="2">
        <v>742.6</v>
      </c>
      <c r="M910" s="3">
        <v>0.15</v>
      </c>
      <c r="N910" s="2">
        <v>5049.68</v>
      </c>
      <c r="O910" s="2">
        <v>3250.66</v>
      </c>
      <c r="P910" s="2">
        <v>1799.02</v>
      </c>
      <c r="Q910" t="s">
        <v>26</v>
      </c>
    </row>
    <row r="911" spans="1:17" x14ac:dyDescent="0.2">
      <c r="A911" t="s">
        <v>1076</v>
      </c>
      <c r="B911" s="1">
        <v>45763</v>
      </c>
      <c r="C911" t="s">
        <v>18</v>
      </c>
      <c r="D911" t="s">
        <v>133</v>
      </c>
      <c r="E911" t="s">
        <v>226</v>
      </c>
      <c r="F911" t="s">
        <v>46</v>
      </c>
      <c r="G911" t="s">
        <v>22</v>
      </c>
      <c r="H911" t="s">
        <v>31</v>
      </c>
      <c r="I911" t="s">
        <v>64</v>
      </c>
      <c r="J911" t="s">
        <v>65</v>
      </c>
      <c r="K911">
        <v>4</v>
      </c>
      <c r="L911" s="2">
        <v>128.4</v>
      </c>
      <c r="M911" s="3">
        <v>0.15</v>
      </c>
      <c r="N911" s="2">
        <v>436.56</v>
      </c>
      <c r="O911" s="2">
        <v>304.11</v>
      </c>
      <c r="P911" s="2">
        <v>132.44999999999999</v>
      </c>
      <c r="Q911" t="s">
        <v>61</v>
      </c>
    </row>
    <row r="912" spans="1:17" x14ac:dyDescent="0.2">
      <c r="A912" t="s">
        <v>1077</v>
      </c>
      <c r="B912" s="1">
        <v>45763</v>
      </c>
      <c r="C912" t="s">
        <v>36</v>
      </c>
      <c r="D912" t="s">
        <v>37</v>
      </c>
      <c r="E912" t="s">
        <v>187</v>
      </c>
      <c r="F912" t="s">
        <v>138</v>
      </c>
      <c r="G912" t="s">
        <v>75</v>
      </c>
      <c r="H912" t="s">
        <v>31</v>
      </c>
      <c r="I912" t="s">
        <v>40</v>
      </c>
      <c r="J912" t="s">
        <v>41</v>
      </c>
      <c r="K912">
        <v>5</v>
      </c>
      <c r="L912" s="2">
        <v>97.79</v>
      </c>
      <c r="M912" s="3">
        <v>0.15</v>
      </c>
      <c r="N912" s="2">
        <v>415.61</v>
      </c>
      <c r="O912" s="2">
        <v>301.01</v>
      </c>
      <c r="P912" s="2">
        <v>114.6</v>
      </c>
      <c r="Q912" t="s">
        <v>34</v>
      </c>
    </row>
    <row r="913" spans="1:17" x14ac:dyDescent="0.2">
      <c r="A913" t="s">
        <v>1078</v>
      </c>
      <c r="B913" s="1">
        <v>45763</v>
      </c>
      <c r="C913" t="s">
        <v>36</v>
      </c>
      <c r="D913" t="s">
        <v>110</v>
      </c>
      <c r="E913" t="s">
        <v>111</v>
      </c>
      <c r="F913" t="s">
        <v>69</v>
      </c>
      <c r="G913" t="s">
        <v>22</v>
      </c>
      <c r="H913" t="s">
        <v>23</v>
      </c>
      <c r="I913" t="s">
        <v>79</v>
      </c>
      <c r="J913" t="s">
        <v>179</v>
      </c>
      <c r="K913">
        <v>10</v>
      </c>
      <c r="L913" s="2">
        <v>300.12</v>
      </c>
      <c r="M913" s="3">
        <v>0.1</v>
      </c>
      <c r="N913" s="2">
        <v>2701.08</v>
      </c>
      <c r="O913" s="2">
        <v>1788.22</v>
      </c>
      <c r="P913" s="2">
        <v>912.86</v>
      </c>
      <c r="Q913" t="s">
        <v>57</v>
      </c>
    </row>
    <row r="914" spans="1:17" x14ac:dyDescent="0.2">
      <c r="A914" t="s">
        <v>1079</v>
      </c>
      <c r="B914" s="1">
        <v>45763</v>
      </c>
      <c r="C914" t="s">
        <v>43</v>
      </c>
      <c r="D914" t="s">
        <v>44</v>
      </c>
      <c r="E914" t="s">
        <v>147</v>
      </c>
      <c r="F914" t="s">
        <v>138</v>
      </c>
      <c r="G914" t="s">
        <v>22</v>
      </c>
      <c r="H914" t="s">
        <v>31</v>
      </c>
      <c r="I914" t="s">
        <v>64</v>
      </c>
      <c r="J914" t="s">
        <v>126</v>
      </c>
      <c r="K914">
        <v>4</v>
      </c>
      <c r="L914" s="2">
        <v>150.75</v>
      </c>
      <c r="M914" s="3">
        <v>0.05</v>
      </c>
      <c r="N914" s="2">
        <v>572.85</v>
      </c>
      <c r="O914" s="2">
        <v>382.75</v>
      </c>
      <c r="P914" s="2">
        <v>190.1</v>
      </c>
      <c r="Q914" t="s">
        <v>61</v>
      </c>
    </row>
    <row r="915" spans="1:17" x14ac:dyDescent="0.2">
      <c r="A915" t="s">
        <v>1080</v>
      </c>
      <c r="B915" s="1">
        <v>45763</v>
      </c>
      <c r="C915" t="s">
        <v>36</v>
      </c>
      <c r="D915" t="s">
        <v>37</v>
      </c>
      <c r="E915" t="s">
        <v>38</v>
      </c>
      <c r="F915" t="s">
        <v>69</v>
      </c>
      <c r="G915" t="s">
        <v>54</v>
      </c>
      <c r="H915" t="s">
        <v>23</v>
      </c>
      <c r="I915" t="s">
        <v>55</v>
      </c>
      <c r="J915" t="s">
        <v>56</v>
      </c>
      <c r="K915">
        <v>8</v>
      </c>
      <c r="L915" s="2">
        <v>14.8</v>
      </c>
      <c r="M915" s="3">
        <v>0</v>
      </c>
      <c r="N915" s="2">
        <v>118.4</v>
      </c>
      <c r="O915" s="2">
        <v>92.43</v>
      </c>
      <c r="P915" s="2">
        <v>25.97</v>
      </c>
      <c r="Q915" t="s">
        <v>61</v>
      </c>
    </row>
    <row r="916" spans="1:17" x14ac:dyDescent="0.2">
      <c r="A916" t="s">
        <v>1081</v>
      </c>
      <c r="B916" s="1">
        <v>45763</v>
      </c>
      <c r="C916" t="s">
        <v>36</v>
      </c>
      <c r="D916" t="s">
        <v>37</v>
      </c>
      <c r="E916" t="s">
        <v>255</v>
      </c>
      <c r="F916" t="s">
        <v>30</v>
      </c>
      <c r="G916" t="s">
        <v>22</v>
      </c>
      <c r="H916" t="s">
        <v>23</v>
      </c>
      <c r="I916" t="s">
        <v>79</v>
      </c>
      <c r="J916" t="s">
        <v>233</v>
      </c>
      <c r="K916">
        <v>7</v>
      </c>
      <c r="L916" s="2">
        <v>427.05</v>
      </c>
      <c r="M916" s="3">
        <v>0.1</v>
      </c>
      <c r="N916" s="2">
        <v>2690.42</v>
      </c>
      <c r="O916" s="2">
        <v>1975.94</v>
      </c>
      <c r="P916" s="2">
        <v>714.48</v>
      </c>
      <c r="Q916" t="s">
        <v>26</v>
      </c>
    </row>
    <row r="917" spans="1:17" x14ac:dyDescent="0.2">
      <c r="A917" t="s">
        <v>1082</v>
      </c>
      <c r="B917" s="1">
        <v>45764</v>
      </c>
      <c r="C917" t="s">
        <v>18</v>
      </c>
      <c r="D917" t="s">
        <v>28</v>
      </c>
      <c r="E917" t="s">
        <v>29</v>
      </c>
      <c r="F917" t="s">
        <v>138</v>
      </c>
      <c r="G917" t="s">
        <v>54</v>
      </c>
      <c r="H917" t="s">
        <v>23</v>
      </c>
      <c r="I917" t="s">
        <v>24</v>
      </c>
      <c r="J917" t="s">
        <v>25</v>
      </c>
      <c r="K917">
        <v>1</v>
      </c>
      <c r="L917" s="2">
        <v>7.27</v>
      </c>
      <c r="M917" s="3">
        <v>0.1</v>
      </c>
      <c r="N917" s="2">
        <v>6.54</v>
      </c>
      <c r="O917" s="2">
        <v>4.1900000000000004</v>
      </c>
      <c r="P917" s="2">
        <v>2.35</v>
      </c>
      <c r="Q917" t="s">
        <v>34</v>
      </c>
    </row>
    <row r="918" spans="1:17" x14ac:dyDescent="0.2">
      <c r="A918" t="s">
        <v>1083</v>
      </c>
      <c r="B918" s="1">
        <v>45764</v>
      </c>
      <c r="C918" t="s">
        <v>36</v>
      </c>
      <c r="D918" t="s">
        <v>37</v>
      </c>
      <c r="E918" t="s">
        <v>255</v>
      </c>
      <c r="F918" t="s">
        <v>53</v>
      </c>
      <c r="G918" t="s">
        <v>54</v>
      </c>
      <c r="H918" t="s">
        <v>47</v>
      </c>
      <c r="I918" t="s">
        <v>141</v>
      </c>
      <c r="J918" t="s">
        <v>201</v>
      </c>
      <c r="K918">
        <v>10</v>
      </c>
      <c r="L918" s="2">
        <v>326.67</v>
      </c>
      <c r="M918" s="3">
        <v>0.1</v>
      </c>
      <c r="N918" s="2">
        <v>2940.03</v>
      </c>
      <c r="O918" s="2">
        <v>2276.2800000000002</v>
      </c>
      <c r="P918" s="2">
        <v>663.75</v>
      </c>
      <c r="Q918" t="s">
        <v>57</v>
      </c>
    </row>
    <row r="919" spans="1:17" x14ac:dyDescent="0.2">
      <c r="A919" t="s">
        <v>1084</v>
      </c>
      <c r="B919" s="1">
        <v>45764</v>
      </c>
      <c r="C919" t="s">
        <v>36</v>
      </c>
      <c r="D919" t="s">
        <v>37</v>
      </c>
      <c r="E919" t="s">
        <v>38</v>
      </c>
      <c r="F919" t="s">
        <v>71</v>
      </c>
      <c r="G919" t="s">
        <v>22</v>
      </c>
      <c r="H919" t="s">
        <v>23</v>
      </c>
      <c r="I919" t="s">
        <v>83</v>
      </c>
      <c r="J919" t="s">
        <v>131</v>
      </c>
      <c r="K919">
        <v>2</v>
      </c>
      <c r="L919" s="2">
        <v>20.149999999999999</v>
      </c>
      <c r="M919" s="3">
        <v>0</v>
      </c>
      <c r="N919" s="2">
        <v>40.299999999999997</v>
      </c>
      <c r="O919" s="2">
        <v>30.74</v>
      </c>
      <c r="P919" s="2">
        <v>9.56</v>
      </c>
      <c r="Q919" t="s">
        <v>34</v>
      </c>
    </row>
    <row r="920" spans="1:17" x14ac:dyDescent="0.2">
      <c r="A920" t="s">
        <v>1085</v>
      </c>
      <c r="B920" s="1">
        <v>45764</v>
      </c>
      <c r="C920" t="s">
        <v>43</v>
      </c>
      <c r="D920" t="s">
        <v>51</v>
      </c>
      <c r="E920" t="s">
        <v>52</v>
      </c>
      <c r="F920" t="s">
        <v>46</v>
      </c>
      <c r="G920" t="s">
        <v>75</v>
      </c>
      <c r="H920" t="s">
        <v>31</v>
      </c>
      <c r="I920" t="s">
        <v>64</v>
      </c>
      <c r="J920" t="s">
        <v>65</v>
      </c>
      <c r="K920">
        <v>6</v>
      </c>
      <c r="L920" s="2">
        <v>141.33000000000001</v>
      </c>
      <c r="M920" s="3">
        <v>0.05</v>
      </c>
      <c r="N920" s="2">
        <v>805.58</v>
      </c>
      <c r="O920" s="2">
        <v>628.07000000000005</v>
      </c>
      <c r="P920" s="2">
        <v>177.51</v>
      </c>
      <c r="Q920" t="s">
        <v>34</v>
      </c>
    </row>
    <row r="921" spans="1:17" x14ac:dyDescent="0.2">
      <c r="A921" t="s">
        <v>1086</v>
      </c>
      <c r="B921" s="1">
        <v>45764</v>
      </c>
      <c r="C921" t="s">
        <v>77</v>
      </c>
      <c r="D921" t="s">
        <v>78</v>
      </c>
      <c r="E921" t="s">
        <v>295</v>
      </c>
      <c r="F921" t="s">
        <v>39</v>
      </c>
      <c r="G921" t="s">
        <v>22</v>
      </c>
      <c r="H921" t="s">
        <v>31</v>
      </c>
      <c r="I921" t="s">
        <v>40</v>
      </c>
      <c r="J921" t="s">
        <v>216</v>
      </c>
      <c r="K921">
        <v>1</v>
      </c>
      <c r="L921" s="2">
        <v>141.27000000000001</v>
      </c>
      <c r="M921" s="3">
        <v>0.1</v>
      </c>
      <c r="N921" s="2">
        <v>127.14</v>
      </c>
      <c r="O921" s="2">
        <v>87.94</v>
      </c>
      <c r="P921" s="2">
        <v>39.200000000000003</v>
      </c>
      <c r="Q921" t="s">
        <v>34</v>
      </c>
    </row>
    <row r="922" spans="1:17" x14ac:dyDescent="0.2">
      <c r="A922" t="s">
        <v>1087</v>
      </c>
      <c r="B922" s="1">
        <v>45764</v>
      </c>
      <c r="C922" t="s">
        <v>43</v>
      </c>
      <c r="D922" t="s">
        <v>44</v>
      </c>
      <c r="E922" t="s">
        <v>147</v>
      </c>
      <c r="F922" t="s">
        <v>46</v>
      </c>
      <c r="G922" t="s">
        <v>54</v>
      </c>
      <c r="H922" t="s">
        <v>31</v>
      </c>
      <c r="I922" t="s">
        <v>40</v>
      </c>
      <c r="J922" t="s">
        <v>216</v>
      </c>
      <c r="K922">
        <v>2</v>
      </c>
      <c r="L922" s="2">
        <v>85.08</v>
      </c>
      <c r="M922" s="3">
        <v>0.1</v>
      </c>
      <c r="N922" s="2">
        <v>153.13999999999999</v>
      </c>
      <c r="O922" s="2">
        <v>107.06</v>
      </c>
      <c r="P922" s="2">
        <v>46.08</v>
      </c>
      <c r="Q922" t="s">
        <v>61</v>
      </c>
    </row>
    <row r="923" spans="1:17" x14ac:dyDescent="0.2">
      <c r="A923" t="s">
        <v>1088</v>
      </c>
      <c r="B923" s="1">
        <v>45764</v>
      </c>
      <c r="C923" t="s">
        <v>36</v>
      </c>
      <c r="D923" t="s">
        <v>144</v>
      </c>
      <c r="E923" t="s">
        <v>232</v>
      </c>
      <c r="F923" t="s">
        <v>138</v>
      </c>
      <c r="G923" t="s">
        <v>75</v>
      </c>
      <c r="H923" t="s">
        <v>23</v>
      </c>
      <c r="I923" t="s">
        <v>55</v>
      </c>
      <c r="J923" t="s">
        <v>173</v>
      </c>
      <c r="K923">
        <v>10</v>
      </c>
      <c r="L923" s="2">
        <v>19.010000000000002</v>
      </c>
      <c r="M923" s="3">
        <v>0.05</v>
      </c>
      <c r="N923" s="2">
        <v>180.6</v>
      </c>
      <c r="O923" s="2">
        <v>106.17</v>
      </c>
      <c r="P923" s="2">
        <v>74.430000000000007</v>
      </c>
      <c r="Q923" t="s">
        <v>34</v>
      </c>
    </row>
    <row r="924" spans="1:17" x14ac:dyDescent="0.2">
      <c r="A924" t="s">
        <v>1089</v>
      </c>
      <c r="B924" s="1">
        <v>45765</v>
      </c>
      <c r="C924" t="s">
        <v>36</v>
      </c>
      <c r="D924" t="s">
        <v>144</v>
      </c>
      <c r="E924" t="s">
        <v>214</v>
      </c>
      <c r="F924" t="s">
        <v>30</v>
      </c>
      <c r="G924" t="s">
        <v>22</v>
      </c>
      <c r="H924" t="s">
        <v>31</v>
      </c>
      <c r="I924" t="s">
        <v>64</v>
      </c>
      <c r="J924" t="s">
        <v>252</v>
      </c>
      <c r="K924">
        <v>8</v>
      </c>
      <c r="L924" s="2">
        <v>136.44</v>
      </c>
      <c r="M924" s="3">
        <v>0.1</v>
      </c>
      <c r="N924" s="2">
        <v>982.37</v>
      </c>
      <c r="O924" s="2">
        <v>650.89</v>
      </c>
      <c r="P924" s="2">
        <v>331.48</v>
      </c>
      <c r="Q924" t="s">
        <v>61</v>
      </c>
    </row>
    <row r="925" spans="1:17" x14ac:dyDescent="0.2">
      <c r="A925" t="s">
        <v>1090</v>
      </c>
      <c r="B925" s="1">
        <v>45765</v>
      </c>
      <c r="C925" t="s">
        <v>77</v>
      </c>
      <c r="D925" t="s">
        <v>106</v>
      </c>
      <c r="E925" t="s">
        <v>107</v>
      </c>
      <c r="F925" t="s">
        <v>71</v>
      </c>
      <c r="G925" t="s">
        <v>75</v>
      </c>
      <c r="H925" t="s">
        <v>31</v>
      </c>
      <c r="I925" t="s">
        <v>40</v>
      </c>
      <c r="J925" t="s">
        <v>122</v>
      </c>
      <c r="K925">
        <v>2</v>
      </c>
      <c r="L925" s="2">
        <v>120.63</v>
      </c>
      <c r="M925" s="3">
        <v>0</v>
      </c>
      <c r="N925" s="2">
        <v>241.26</v>
      </c>
      <c r="O925" s="2">
        <v>175.8</v>
      </c>
      <c r="P925" s="2">
        <v>65.459999999999994</v>
      </c>
      <c r="Q925" t="s">
        <v>34</v>
      </c>
    </row>
    <row r="926" spans="1:17" x14ac:dyDescent="0.2">
      <c r="A926" t="s">
        <v>1091</v>
      </c>
      <c r="B926" s="1">
        <v>45765</v>
      </c>
      <c r="C926" t="s">
        <v>18</v>
      </c>
      <c r="D926" t="s">
        <v>28</v>
      </c>
      <c r="E926" t="s">
        <v>29</v>
      </c>
      <c r="F926" t="s">
        <v>130</v>
      </c>
      <c r="G926" t="s">
        <v>22</v>
      </c>
      <c r="H926" t="s">
        <v>47</v>
      </c>
      <c r="I926" t="s">
        <v>97</v>
      </c>
      <c r="J926" t="s">
        <v>98</v>
      </c>
      <c r="K926">
        <v>10</v>
      </c>
      <c r="L926" s="2">
        <v>222.8</v>
      </c>
      <c r="M926" s="3">
        <v>0</v>
      </c>
      <c r="N926" s="2">
        <v>2228</v>
      </c>
      <c r="O926" s="2">
        <v>1717.52</v>
      </c>
      <c r="P926" s="2">
        <v>510.48</v>
      </c>
      <c r="Q926" t="s">
        <v>61</v>
      </c>
    </row>
    <row r="927" spans="1:17" x14ac:dyDescent="0.2">
      <c r="A927" t="s">
        <v>1092</v>
      </c>
      <c r="B927" s="1">
        <v>45765</v>
      </c>
      <c r="C927" t="s">
        <v>43</v>
      </c>
      <c r="D927" t="s">
        <v>51</v>
      </c>
      <c r="E927" t="s">
        <v>59</v>
      </c>
      <c r="F927" t="s">
        <v>46</v>
      </c>
      <c r="G927" t="s">
        <v>22</v>
      </c>
      <c r="H927" t="s">
        <v>23</v>
      </c>
      <c r="I927" t="s">
        <v>83</v>
      </c>
      <c r="J927" t="s">
        <v>120</v>
      </c>
      <c r="K927">
        <v>9</v>
      </c>
      <c r="L927" s="2">
        <v>33.11</v>
      </c>
      <c r="M927" s="3">
        <v>0.05</v>
      </c>
      <c r="N927" s="2">
        <v>283.08999999999997</v>
      </c>
      <c r="O927" s="2">
        <v>208.38</v>
      </c>
      <c r="P927" s="2">
        <v>74.709999999999994</v>
      </c>
      <c r="Q927" t="s">
        <v>57</v>
      </c>
    </row>
    <row r="928" spans="1:17" x14ac:dyDescent="0.2">
      <c r="A928" t="s">
        <v>1093</v>
      </c>
      <c r="B928" s="1">
        <v>45765</v>
      </c>
      <c r="C928" t="s">
        <v>36</v>
      </c>
      <c r="D928" t="s">
        <v>37</v>
      </c>
      <c r="E928" t="s">
        <v>187</v>
      </c>
      <c r="F928" t="s">
        <v>53</v>
      </c>
      <c r="G928" t="s">
        <v>22</v>
      </c>
      <c r="H928" t="s">
        <v>31</v>
      </c>
      <c r="I928" t="s">
        <v>64</v>
      </c>
      <c r="J928" t="s">
        <v>252</v>
      </c>
      <c r="K928">
        <v>8</v>
      </c>
      <c r="L928" s="2">
        <v>37.46</v>
      </c>
      <c r="M928" s="3">
        <v>0.1</v>
      </c>
      <c r="N928" s="2">
        <v>269.70999999999998</v>
      </c>
      <c r="O928" s="2">
        <v>150.61000000000001</v>
      </c>
      <c r="P928" s="2">
        <v>119.1</v>
      </c>
      <c r="Q928" t="s">
        <v>61</v>
      </c>
    </row>
    <row r="929" spans="1:17" x14ac:dyDescent="0.2">
      <c r="A929" t="s">
        <v>1094</v>
      </c>
      <c r="B929" s="1">
        <v>45765</v>
      </c>
      <c r="C929" t="s">
        <v>36</v>
      </c>
      <c r="D929" t="s">
        <v>67</v>
      </c>
      <c r="E929" t="s">
        <v>68</v>
      </c>
      <c r="F929" t="s">
        <v>39</v>
      </c>
      <c r="G929" t="s">
        <v>22</v>
      </c>
      <c r="H929" t="s">
        <v>23</v>
      </c>
      <c r="I929" t="s">
        <v>55</v>
      </c>
      <c r="J929" t="s">
        <v>102</v>
      </c>
      <c r="K929">
        <v>5</v>
      </c>
      <c r="L929" s="2">
        <v>24.44</v>
      </c>
      <c r="M929" s="3">
        <v>0.15</v>
      </c>
      <c r="N929" s="2">
        <v>103.87</v>
      </c>
      <c r="O929" s="2">
        <v>76.260000000000005</v>
      </c>
      <c r="P929" s="2">
        <v>27.61</v>
      </c>
      <c r="Q929" t="s">
        <v>57</v>
      </c>
    </row>
    <row r="930" spans="1:17" x14ac:dyDescent="0.2">
      <c r="A930" t="s">
        <v>1095</v>
      </c>
      <c r="B930" s="1">
        <v>45766</v>
      </c>
      <c r="C930" t="s">
        <v>43</v>
      </c>
      <c r="D930" t="s">
        <v>161</v>
      </c>
      <c r="E930" t="s">
        <v>418</v>
      </c>
      <c r="F930" t="s">
        <v>53</v>
      </c>
      <c r="G930" t="s">
        <v>75</v>
      </c>
      <c r="H930" t="s">
        <v>31</v>
      </c>
      <c r="I930" t="s">
        <v>40</v>
      </c>
      <c r="J930" t="s">
        <v>216</v>
      </c>
      <c r="K930">
        <v>6</v>
      </c>
      <c r="L930" s="2">
        <v>211.8</v>
      </c>
      <c r="M930" s="3">
        <v>0.15</v>
      </c>
      <c r="N930" s="2">
        <v>1080.18</v>
      </c>
      <c r="O930" s="2">
        <v>600.59</v>
      </c>
      <c r="P930" s="2">
        <v>479.59</v>
      </c>
      <c r="Q930" t="s">
        <v>61</v>
      </c>
    </row>
    <row r="931" spans="1:17" x14ac:dyDescent="0.2">
      <c r="A931" t="s">
        <v>1096</v>
      </c>
      <c r="B931" s="1">
        <v>45766</v>
      </c>
      <c r="C931" t="s">
        <v>43</v>
      </c>
      <c r="D931" t="s">
        <v>51</v>
      </c>
      <c r="E931" t="s">
        <v>63</v>
      </c>
      <c r="F931" t="s">
        <v>39</v>
      </c>
      <c r="G931" t="s">
        <v>75</v>
      </c>
      <c r="H931" t="s">
        <v>31</v>
      </c>
      <c r="I931" t="s">
        <v>32</v>
      </c>
      <c r="J931" t="s">
        <v>33</v>
      </c>
      <c r="K931">
        <v>1</v>
      </c>
      <c r="L931" s="2">
        <v>1431.82</v>
      </c>
      <c r="M931" s="3">
        <v>0.1</v>
      </c>
      <c r="N931" s="2">
        <v>1288.6400000000001</v>
      </c>
      <c r="O931" s="2">
        <v>1013.9</v>
      </c>
      <c r="P931" s="2">
        <v>274.74</v>
      </c>
      <c r="Q931" t="s">
        <v>26</v>
      </c>
    </row>
    <row r="932" spans="1:17" x14ac:dyDescent="0.2">
      <c r="A932" t="s">
        <v>1097</v>
      </c>
      <c r="B932" s="1">
        <v>45766</v>
      </c>
      <c r="C932" t="s">
        <v>43</v>
      </c>
      <c r="D932" t="s">
        <v>208</v>
      </c>
      <c r="E932" t="s">
        <v>287</v>
      </c>
      <c r="F932" t="s">
        <v>46</v>
      </c>
      <c r="G932" t="s">
        <v>22</v>
      </c>
      <c r="H932" t="s">
        <v>31</v>
      </c>
      <c r="I932" t="s">
        <v>40</v>
      </c>
      <c r="J932" t="s">
        <v>122</v>
      </c>
      <c r="K932">
        <v>6</v>
      </c>
      <c r="L932" s="2">
        <v>204.55</v>
      </c>
      <c r="M932" s="3">
        <v>0</v>
      </c>
      <c r="N932" s="2">
        <v>1227.3</v>
      </c>
      <c r="O932" s="2">
        <v>846.01</v>
      </c>
      <c r="P932" s="2">
        <v>381.29</v>
      </c>
      <c r="Q932" t="s">
        <v>61</v>
      </c>
    </row>
    <row r="933" spans="1:17" x14ac:dyDescent="0.2">
      <c r="A933" t="s">
        <v>1098</v>
      </c>
      <c r="B933" s="1">
        <v>45766</v>
      </c>
      <c r="C933" t="s">
        <v>43</v>
      </c>
      <c r="D933" t="s">
        <v>244</v>
      </c>
      <c r="E933" t="s">
        <v>300</v>
      </c>
      <c r="F933" t="s">
        <v>130</v>
      </c>
      <c r="G933" t="s">
        <v>75</v>
      </c>
      <c r="H933" t="s">
        <v>23</v>
      </c>
      <c r="I933" t="s">
        <v>79</v>
      </c>
      <c r="J933" t="s">
        <v>233</v>
      </c>
      <c r="K933">
        <v>2</v>
      </c>
      <c r="L933" s="2">
        <v>494.38</v>
      </c>
      <c r="M933" s="3">
        <v>0</v>
      </c>
      <c r="N933" s="2">
        <v>988.76</v>
      </c>
      <c r="O933" s="2">
        <v>591.78</v>
      </c>
      <c r="P933" s="2">
        <v>396.98</v>
      </c>
      <c r="Q933" t="s">
        <v>26</v>
      </c>
    </row>
    <row r="934" spans="1:17" x14ac:dyDescent="0.2">
      <c r="A934" t="s">
        <v>1099</v>
      </c>
      <c r="B934" s="1">
        <v>45766</v>
      </c>
      <c r="C934" t="s">
        <v>18</v>
      </c>
      <c r="D934" t="s">
        <v>28</v>
      </c>
      <c r="E934" t="s">
        <v>170</v>
      </c>
      <c r="F934" t="s">
        <v>30</v>
      </c>
      <c r="G934" t="s">
        <v>75</v>
      </c>
      <c r="H934" t="s">
        <v>31</v>
      </c>
      <c r="I934" t="s">
        <v>64</v>
      </c>
      <c r="J934" t="s">
        <v>65</v>
      </c>
      <c r="K934">
        <v>4</v>
      </c>
      <c r="L934" s="2">
        <v>133.88</v>
      </c>
      <c r="M934" s="3">
        <v>0.05</v>
      </c>
      <c r="N934" s="2">
        <v>508.74</v>
      </c>
      <c r="O934" s="2">
        <v>285.94</v>
      </c>
      <c r="P934" s="2">
        <v>222.8</v>
      </c>
      <c r="Q934" t="s">
        <v>34</v>
      </c>
    </row>
    <row r="935" spans="1:17" x14ac:dyDescent="0.2">
      <c r="A935" t="s">
        <v>1100</v>
      </c>
      <c r="B935" s="1">
        <v>45766</v>
      </c>
      <c r="C935" t="s">
        <v>77</v>
      </c>
      <c r="D935" t="s">
        <v>95</v>
      </c>
      <c r="E935" t="s">
        <v>367</v>
      </c>
      <c r="F935" t="s">
        <v>21</v>
      </c>
      <c r="G935" t="s">
        <v>54</v>
      </c>
      <c r="H935" t="s">
        <v>31</v>
      </c>
      <c r="I935" t="s">
        <v>40</v>
      </c>
      <c r="J935" t="s">
        <v>216</v>
      </c>
      <c r="K935">
        <v>6</v>
      </c>
      <c r="L935" s="2">
        <v>225.79</v>
      </c>
      <c r="M935" s="3">
        <v>0.1</v>
      </c>
      <c r="N935" s="2">
        <v>1219.27</v>
      </c>
      <c r="O935" s="2">
        <v>886.09</v>
      </c>
      <c r="P935" s="2">
        <v>333.18</v>
      </c>
      <c r="Q935" t="s">
        <v>57</v>
      </c>
    </row>
    <row r="936" spans="1:17" x14ac:dyDescent="0.2">
      <c r="A936" t="s">
        <v>1101</v>
      </c>
      <c r="B936" s="1">
        <v>45766</v>
      </c>
      <c r="C936" t="s">
        <v>18</v>
      </c>
      <c r="D936" t="s">
        <v>152</v>
      </c>
      <c r="E936" t="s">
        <v>185</v>
      </c>
      <c r="F936" t="s">
        <v>71</v>
      </c>
      <c r="G936" t="s">
        <v>22</v>
      </c>
      <c r="H936" t="s">
        <v>23</v>
      </c>
      <c r="I936" t="s">
        <v>55</v>
      </c>
      <c r="J936" t="s">
        <v>173</v>
      </c>
      <c r="K936">
        <v>6</v>
      </c>
      <c r="L936" s="2">
        <v>16.079999999999998</v>
      </c>
      <c r="M936" s="3">
        <v>0</v>
      </c>
      <c r="N936" s="2">
        <v>96.48</v>
      </c>
      <c r="O936" s="2">
        <v>57.21</v>
      </c>
      <c r="P936" s="2">
        <v>39.270000000000003</v>
      </c>
      <c r="Q936" t="s">
        <v>57</v>
      </c>
    </row>
    <row r="937" spans="1:17" x14ac:dyDescent="0.2">
      <c r="A937" t="s">
        <v>1102</v>
      </c>
      <c r="B937" s="1">
        <v>45767</v>
      </c>
      <c r="C937" t="s">
        <v>36</v>
      </c>
      <c r="D937" t="s">
        <v>110</v>
      </c>
      <c r="E937" t="s">
        <v>111</v>
      </c>
      <c r="F937" t="s">
        <v>130</v>
      </c>
      <c r="G937" t="s">
        <v>22</v>
      </c>
      <c r="H937" t="s">
        <v>31</v>
      </c>
      <c r="I937" t="s">
        <v>32</v>
      </c>
      <c r="J937" t="s">
        <v>258</v>
      </c>
      <c r="K937">
        <v>2</v>
      </c>
      <c r="L937" s="2">
        <v>969.88</v>
      </c>
      <c r="M937" s="3">
        <v>0</v>
      </c>
      <c r="N937" s="2">
        <v>1939.76</v>
      </c>
      <c r="O937" s="2">
        <v>1509.1</v>
      </c>
      <c r="P937" s="2">
        <v>430.66</v>
      </c>
      <c r="Q937" t="s">
        <v>34</v>
      </c>
    </row>
    <row r="938" spans="1:17" x14ac:dyDescent="0.2">
      <c r="A938" t="s">
        <v>1103</v>
      </c>
      <c r="B938" s="1">
        <v>45767</v>
      </c>
      <c r="C938" t="s">
        <v>36</v>
      </c>
      <c r="D938" t="s">
        <v>73</v>
      </c>
      <c r="E938" t="s">
        <v>74</v>
      </c>
      <c r="F938" t="s">
        <v>30</v>
      </c>
      <c r="G938" t="s">
        <v>22</v>
      </c>
      <c r="H938" t="s">
        <v>47</v>
      </c>
      <c r="I938" t="s">
        <v>89</v>
      </c>
      <c r="J938" t="s">
        <v>204</v>
      </c>
      <c r="K938">
        <v>3</v>
      </c>
      <c r="L938" s="2">
        <v>493.37</v>
      </c>
      <c r="M938" s="3">
        <v>0.05</v>
      </c>
      <c r="N938" s="2">
        <v>1406.1</v>
      </c>
      <c r="O938" s="2">
        <v>1038.43</v>
      </c>
      <c r="P938" s="2">
        <v>367.67</v>
      </c>
      <c r="Q938" t="s">
        <v>34</v>
      </c>
    </row>
    <row r="939" spans="1:17" x14ac:dyDescent="0.2">
      <c r="A939" t="s">
        <v>1104</v>
      </c>
      <c r="B939" s="1">
        <v>45767</v>
      </c>
      <c r="C939" t="s">
        <v>77</v>
      </c>
      <c r="D939" t="s">
        <v>128</v>
      </c>
      <c r="E939" t="s">
        <v>159</v>
      </c>
      <c r="F939" t="s">
        <v>69</v>
      </c>
      <c r="G939" t="s">
        <v>22</v>
      </c>
      <c r="H939" t="s">
        <v>23</v>
      </c>
      <c r="I939" t="s">
        <v>83</v>
      </c>
      <c r="J939" t="s">
        <v>120</v>
      </c>
      <c r="K939">
        <v>3</v>
      </c>
      <c r="L939" s="2">
        <v>11.44</v>
      </c>
      <c r="M939" s="3">
        <v>0.1</v>
      </c>
      <c r="N939" s="2">
        <v>30.89</v>
      </c>
      <c r="O939" s="2">
        <v>17.239999999999998</v>
      </c>
      <c r="P939" s="2">
        <v>13.65</v>
      </c>
      <c r="Q939" t="s">
        <v>57</v>
      </c>
    </row>
    <row r="940" spans="1:17" x14ac:dyDescent="0.2">
      <c r="A940" t="s">
        <v>1105</v>
      </c>
      <c r="B940" s="1">
        <v>45767</v>
      </c>
      <c r="C940" t="s">
        <v>36</v>
      </c>
      <c r="D940" t="s">
        <v>144</v>
      </c>
      <c r="E940" t="s">
        <v>145</v>
      </c>
      <c r="F940" t="s">
        <v>30</v>
      </c>
      <c r="G940" t="s">
        <v>75</v>
      </c>
      <c r="H940" t="s">
        <v>31</v>
      </c>
      <c r="I940" t="s">
        <v>112</v>
      </c>
      <c r="J940" t="s">
        <v>136</v>
      </c>
      <c r="K940">
        <v>2</v>
      </c>
      <c r="L940" s="2">
        <v>661.41</v>
      </c>
      <c r="M940" s="3">
        <v>0.15</v>
      </c>
      <c r="N940" s="2">
        <v>1124.4000000000001</v>
      </c>
      <c r="O940" s="2">
        <v>655.66</v>
      </c>
      <c r="P940" s="2">
        <v>468.74</v>
      </c>
      <c r="Q940" t="s">
        <v>26</v>
      </c>
    </row>
    <row r="941" spans="1:17" x14ac:dyDescent="0.2">
      <c r="A941" t="s">
        <v>1106</v>
      </c>
      <c r="B941" s="1">
        <v>45767</v>
      </c>
      <c r="C941" t="s">
        <v>43</v>
      </c>
      <c r="D941" t="s">
        <v>44</v>
      </c>
      <c r="E941" t="s">
        <v>147</v>
      </c>
      <c r="F941" t="s">
        <v>138</v>
      </c>
      <c r="G941" t="s">
        <v>75</v>
      </c>
      <c r="H941" t="s">
        <v>31</v>
      </c>
      <c r="I941" t="s">
        <v>32</v>
      </c>
      <c r="J941" t="s">
        <v>104</v>
      </c>
      <c r="K941">
        <v>3</v>
      </c>
      <c r="L941" s="2">
        <v>1581.47</v>
      </c>
      <c r="M941" s="3">
        <v>0.2</v>
      </c>
      <c r="N941" s="2">
        <v>3795.53</v>
      </c>
      <c r="O941" s="2">
        <v>2811.83</v>
      </c>
      <c r="P941" s="2">
        <v>983.7</v>
      </c>
      <c r="Q941" t="s">
        <v>57</v>
      </c>
    </row>
    <row r="942" spans="1:17" x14ac:dyDescent="0.2">
      <c r="A942" t="s">
        <v>1107</v>
      </c>
      <c r="B942" s="1">
        <v>45767</v>
      </c>
      <c r="C942" t="s">
        <v>36</v>
      </c>
      <c r="D942" t="s">
        <v>67</v>
      </c>
      <c r="E942" t="s">
        <v>270</v>
      </c>
      <c r="F942" t="s">
        <v>69</v>
      </c>
      <c r="G942" t="s">
        <v>75</v>
      </c>
      <c r="H942" t="s">
        <v>31</v>
      </c>
      <c r="I942" t="s">
        <v>32</v>
      </c>
      <c r="J942" t="s">
        <v>258</v>
      </c>
      <c r="K942">
        <v>5</v>
      </c>
      <c r="L942" s="2">
        <v>617.33000000000004</v>
      </c>
      <c r="M942" s="3">
        <v>0.15</v>
      </c>
      <c r="N942" s="2">
        <v>2623.65</v>
      </c>
      <c r="O942" s="2">
        <v>1639.6</v>
      </c>
      <c r="P942" s="2">
        <v>984.05</v>
      </c>
      <c r="Q942" t="s">
        <v>26</v>
      </c>
    </row>
    <row r="943" spans="1:17" x14ac:dyDescent="0.2">
      <c r="A943" t="s">
        <v>1108</v>
      </c>
      <c r="B943" s="1">
        <v>45767</v>
      </c>
      <c r="C943" t="s">
        <v>18</v>
      </c>
      <c r="D943" t="s">
        <v>86</v>
      </c>
      <c r="E943" t="s">
        <v>140</v>
      </c>
      <c r="F943" t="s">
        <v>53</v>
      </c>
      <c r="G943" t="s">
        <v>22</v>
      </c>
      <c r="H943" t="s">
        <v>47</v>
      </c>
      <c r="I943" t="s">
        <v>48</v>
      </c>
      <c r="J943" t="s">
        <v>164</v>
      </c>
      <c r="K943">
        <v>5</v>
      </c>
      <c r="L943" s="2">
        <v>411.67</v>
      </c>
      <c r="M943" s="3">
        <v>0.05</v>
      </c>
      <c r="N943" s="2">
        <v>1955.43</v>
      </c>
      <c r="O943" s="2">
        <v>1200.3699999999999</v>
      </c>
      <c r="P943" s="2">
        <v>755.06</v>
      </c>
      <c r="Q943" t="s">
        <v>61</v>
      </c>
    </row>
    <row r="944" spans="1:17" x14ac:dyDescent="0.2">
      <c r="A944" t="s">
        <v>1109</v>
      </c>
      <c r="B944" s="1">
        <v>45767</v>
      </c>
      <c r="C944" t="s">
        <v>43</v>
      </c>
      <c r="D944" t="s">
        <v>51</v>
      </c>
      <c r="E944" t="s">
        <v>52</v>
      </c>
      <c r="F944" t="s">
        <v>46</v>
      </c>
      <c r="G944" t="s">
        <v>22</v>
      </c>
      <c r="H944" t="s">
        <v>47</v>
      </c>
      <c r="I944" t="s">
        <v>97</v>
      </c>
      <c r="J944" t="s">
        <v>168</v>
      </c>
      <c r="K944">
        <v>1</v>
      </c>
      <c r="L944" s="2">
        <v>503.74</v>
      </c>
      <c r="M944" s="3">
        <v>0.05</v>
      </c>
      <c r="N944" s="2">
        <v>478.55</v>
      </c>
      <c r="O944" s="2">
        <v>276.39</v>
      </c>
      <c r="P944" s="2">
        <v>202.16</v>
      </c>
      <c r="Q944" t="s">
        <v>34</v>
      </c>
    </row>
    <row r="945" spans="1:17" x14ac:dyDescent="0.2">
      <c r="A945" t="s">
        <v>1110</v>
      </c>
      <c r="B945" s="1">
        <v>45767</v>
      </c>
      <c r="C945" t="s">
        <v>36</v>
      </c>
      <c r="D945" t="s">
        <v>37</v>
      </c>
      <c r="E945" t="s">
        <v>38</v>
      </c>
      <c r="F945" t="s">
        <v>46</v>
      </c>
      <c r="G945" t="s">
        <v>22</v>
      </c>
      <c r="H945" t="s">
        <v>31</v>
      </c>
      <c r="I945" t="s">
        <v>32</v>
      </c>
      <c r="J945" t="s">
        <v>258</v>
      </c>
      <c r="K945">
        <v>10</v>
      </c>
      <c r="L945" s="2">
        <v>1293.71</v>
      </c>
      <c r="M945" s="3">
        <v>0.05</v>
      </c>
      <c r="N945" s="2">
        <v>12290.24</v>
      </c>
      <c r="O945" s="2">
        <v>6790.67</v>
      </c>
      <c r="P945" s="2">
        <v>5499.57</v>
      </c>
      <c r="Q945" t="s">
        <v>26</v>
      </c>
    </row>
    <row r="946" spans="1:17" x14ac:dyDescent="0.2">
      <c r="A946" t="s">
        <v>1111</v>
      </c>
      <c r="B946" s="1">
        <v>45767</v>
      </c>
      <c r="C946" t="s">
        <v>18</v>
      </c>
      <c r="D946" t="s">
        <v>28</v>
      </c>
      <c r="E946" t="s">
        <v>157</v>
      </c>
      <c r="F946" t="s">
        <v>130</v>
      </c>
      <c r="G946" t="s">
        <v>22</v>
      </c>
      <c r="H946" t="s">
        <v>31</v>
      </c>
      <c r="I946" t="s">
        <v>32</v>
      </c>
      <c r="J946" t="s">
        <v>258</v>
      </c>
      <c r="K946">
        <v>2</v>
      </c>
      <c r="L946" s="2">
        <v>1402.32</v>
      </c>
      <c r="M946" s="3">
        <v>0.15</v>
      </c>
      <c r="N946" s="2">
        <v>2383.94</v>
      </c>
      <c r="O946" s="2">
        <v>1809.08</v>
      </c>
      <c r="P946" s="2">
        <v>574.86</v>
      </c>
      <c r="Q946" t="s">
        <v>26</v>
      </c>
    </row>
    <row r="947" spans="1:17" x14ac:dyDescent="0.2">
      <c r="A947" t="s">
        <v>1112</v>
      </c>
      <c r="B947" s="1">
        <v>45767</v>
      </c>
      <c r="C947" t="s">
        <v>77</v>
      </c>
      <c r="D947" t="s">
        <v>78</v>
      </c>
      <c r="E947" t="s">
        <v>52</v>
      </c>
      <c r="F947" t="s">
        <v>53</v>
      </c>
      <c r="G947" t="s">
        <v>22</v>
      </c>
      <c r="H947" t="s">
        <v>23</v>
      </c>
      <c r="I947" t="s">
        <v>24</v>
      </c>
      <c r="J947" t="s">
        <v>108</v>
      </c>
      <c r="K947">
        <v>9</v>
      </c>
      <c r="L947" s="2">
        <v>29.46</v>
      </c>
      <c r="M947" s="3">
        <v>0.15</v>
      </c>
      <c r="N947" s="2">
        <v>225.37</v>
      </c>
      <c r="O947" s="2">
        <v>124.85</v>
      </c>
      <c r="P947" s="2">
        <v>100.52</v>
      </c>
      <c r="Q947" t="s">
        <v>61</v>
      </c>
    </row>
    <row r="948" spans="1:17" x14ac:dyDescent="0.2">
      <c r="A948" t="s">
        <v>1113</v>
      </c>
      <c r="B948" s="1">
        <v>45768</v>
      </c>
      <c r="C948" t="s">
        <v>77</v>
      </c>
      <c r="D948" t="s">
        <v>106</v>
      </c>
      <c r="E948" t="s">
        <v>107</v>
      </c>
      <c r="F948" t="s">
        <v>21</v>
      </c>
      <c r="G948" t="s">
        <v>22</v>
      </c>
      <c r="H948" t="s">
        <v>31</v>
      </c>
      <c r="I948" t="s">
        <v>32</v>
      </c>
      <c r="J948" t="s">
        <v>104</v>
      </c>
      <c r="K948">
        <v>3</v>
      </c>
      <c r="L948" s="2">
        <v>735.86</v>
      </c>
      <c r="M948" s="3">
        <v>0</v>
      </c>
      <c r="N948" s="2">
        <v>2207.58</v>
      </c>
      <c r="O948" s="2">
        <v>1314.03</v>
      </c>
      <c r="P948" s="2">
        <v>893.55</v>
      </c>
      <c r="Q948" t="s">
        <v>57</v>
      </c>
    </row>
    <row r="949" spans="1:17" x14ac:dyDescent="0.2">
      <c r="A949" t="s">
        <v>1114</v>
      </c>
      <c r="B949" s="1">
        <v>45768</v>
      </c>
      <c r="C949" t="s">
        <v>36</v>
      </c>
      <c r="D949" t="s">
        <v>144</v>
      </c>
      <c r="E949" t="s">
        <v>145</v>
      </c>
      <c r="F949" t="s">
        <v>53</v>
      </c>
      <c r="G949" t="s">
        <v>75</v>
      </c>
      <c r="H949" t="s">
        <v>23</v>
      </c>
      <c r="I949" t="s">
        <v>79</v>
      </c>
      <c r="J949" t="s">
        <v>179</v>
      </c>
      <c r="K949">
        <v>5</v>
      </c>
      <c r="L949" s="2">
        <v>434.61</v>
      </c>
      <c r="M949" s="3">
        <v>0.05</v>
      </c>
      <c r="N949" s="2">
        <v>2064.4</v>
      </c>
      <c r="O949" s="2">
        <v>1645.88</v>
      </c>
      <c r="P949" s="2">
        <v>418.52</v>
      </c>
      <c r="Q949" t="s">
        <v>26</v>
      </c>
    </row>
    <row r="950" spans="1:17" x14ac:dyDescent="0.2">
      <c r="A950" t="s">
        <v>1115</v>
      </c>
      <c r="B950" s="1">
        <v>45768</v>
      </c>
      <c r="C950" t="s">
        <v>18</v>
      </c>
      <c r="D950" t="s">
        <v>133</v>
      </c>
      <c r="E950" t="s">
        <v>134</v>
      </c>
      <c r="F950" t="s">
        <v>71</v>
      </c>
      <c r="G950" t="s">
        <v>22</v>
      </c>
      <c r="H950" t="s">
        <v>47</v>
      </c>
      <c r="I950" t="s">
        <v>97</v>
      </c>
      <c r="J950" t="s">
        <v>168</v>
      </c>
      <c r="K950">
        <v>8</v>
      </c>
      <c r="L950" s="2">
        <v>690.36</v>
      </c>
      <c r="M950" s="3">
        <v>0.1</v>
      </c>
      <c r="N950" s="2">
        <v>4970.59</v>
      </c>
      <c r="O950" s="2">
        <v>3075.69</v>
      </c>
      <c r="P950" s="2">
        <v>1894.9</v>
      </c>
      <c r="Q950" t="s">
        <v>34</v>
      </c>
    </row>
    <row r="951" spans="1:17" x14ac:dyDescent="0.2">
      <c r="A951" t="s">
        <v>1116</v>
      </c>
      <c r="B951" s="1">
        <v>45768</v>
      </c>
      <c r="C951" t="s">
        <v>18</v>
      </c>
      <c r="D951" t="s">
        <v>133</v>
      </c>
      <c r="E951" t="s">
        <v>134</v>
      </c>
      <c r="F951" t="s">
        <v>71</v>
      </c>
      <c r="G951" t="s">
        <v>22</v>
      </c>
      <c r="H951" t="s">
        <v>31</v>
      </c>
      <c r="I951" t="s">
        <v>112</v>
      </c>
      <c r="J951" t="s">
        <v>176</v>
      </c>
      <c r="K951">
        <v>4</v>
      </c>
      <c r="L951" s="2">
        <v>444.69</v>
      </c>
      <c r="M951" s="3">
        <v>0</v>
      </c>
      <c r="N951" s="2">
        <v>1778.76</v>
      </c>
      <c r="O951" s="2">
        <v>1125.98</v>
      </c>
      <c r="P951" s="2">
        <v>652.78</v>
      </c>
      <c r="Q951" t="s">
        <v>26</v>
      </c>
    </row>
    <row r="952" spans="1:17" x14ac:dyDescent="0.2">
      <c r="A952" t="s">
        <v>1117</v>
      </c>
      <c r="B952" s="1">
        <v>45768</v>
      </c>
      <c r="C952" t="s">
        <v>77</v>
      </c>
      <c r="D952" t="s">
        <v>95</v>
      </c>
      <c r="E952" t="s">
        <v>367</v>
      </c>
      <c r="F952" t="s">
        <v>69</v>
      </c>
      <c r="G952" t="s">
        <v>22</v>
      </c>
      <c r="H952" t="s">
        <v>23</v>
      </c>
      <c r="I952" t="s">
        <v>79</v>
      </c>
      <c r="J952" t="s">
        <v>179</v>
      </c>
      <c r="K952">
        <v>2</v>
      </c>
      <c r="L952" s="2">
        <v>521.20000000000005</v>
      </c>
      <c r="M952" s="3">
        <v>0.05</v>
      </c>
      <c r="N952" s="2">
        <v>990.28</v>
      </c>
      <c r="O952" s="2">
        <v>733.28</v>
      </c>
      <c r="P952" s="2">
        <v>257</v>
      </c>
      <c r="Q952" t="s">
        <v>26</v>
      </c>
    </row>
    <row r="953" spans="1:17" x14ac:dyDescent="0.2">
      <c r="A953" t="s">
        <v>1118</v>
      </c>
      <c r="B953" s="1">
        <v>45768</v>
      </c>
      <c r="C953" t="s">
        <v>43</v>
      </c>
      <c r="D953" t="s">
        <v>244</v>
      </c>
      <c r="E953" t="s">
        <v>326</v>
      </c>
      <c r="F953" t="s">
        <v>39</v>
      </c>
      <c r="G953" t="s">
        <v>75</v>
      </c>
      <c r="H953" t="s">
        <v>23</v>
      </c>
      <c r="I953" t="s">
        <v>79</v>
      </c>
      <c r="J953" t="s">
        <v>179</v>
      </c>
      <c r="K953">
        <v>8</v>
      </c>
      <c r="L953" s="2">
        <v>266.49</v>
      </c>
      <c r="M953" s="3">
        <v>0.15</v>
      </c>
      <c r="N953" s="2">
        <v>1812.13</v>
      </c>
      <c r="O953" s="2">
        <v>1259.83</v>
      </c>
      <c r="P953" s="2">
        <v>552.29999999999995</v>
      </c>
      <c r="Q953" t="s">
        <v>61</v>
      </c>
    </row>
    <row r="954" spans="1:17" x14ac:dyDescent="0.2">
      <c r="A954" t="s">
        <v>1119</v>
      </c>
      <c r="B954" s="1">
        <v>45768</v>
      </c>
      <c r="C954" t="s">
        <v>36</v>
      </c>
      <c r="D954" t="s">
        <v>67</v>
      </c>
      <c r="E954" t="s">
        <v>68</v>
      </c>
      <c r="F954" t="s">
        <v>21</v>
      </c>
      <c r="G954" t="s">
        <v>75</v>
      </c>
      <c r="H954" t="s">
        <v>31</v>
      </c>
      <c r="I954" t="s">
        <v>112</v>
      </c>
      <c r="J954" t="s">
        <v>113</v>
      </c>
      <c r="K954">
        <v>5</v>
      </c>
      <c r="L954" s="2">
        <v>699.26</v>
      </c>
      <c r="M954" s="3">
        <v>0.05</v>
      </c>
      <c r="N954" s="2">
        <v>3321.48</v>
      </c>
      <c r="O954" s="2">
        <v>2708.09</v>
      </c>
      <c r="P954" s="2">
        <v>613.39</v>
      </c>
      <c r="Q954" t="s">
        <v>34</v>
      </c>
    </row>
    <row r="955" spans="1:17" x14ac:dyDescent="0.2">
      <c r="A955" t="s">
        <v>1120</v>
      </c>
      <c r="B955" s="1">
        <v>45768</v>
      </c>
      <c r="C955" t="s">
        <v>18</v>
      </c>
      <c r="D955" t="s">
        <v>86</v>
      </c>
      <c r="E955" t="s">
        <v>140</v>
      </c>
      <c r="F955" t="s">
        <v>30</v>
      </c>
      <c r="G955" t="s">
        <v>22</v>
      </c>
      <c r="H955" t="s">
        <v>23</v>
      </c>
      <c r="I955" t="s">
        <v>79</v>
      </c>
      <c r="J955" t="s">
        <v>179</v>
      </c>
      <c r="K955">
        <v>5</v>
      </c>
      <c r="L955" s="2">
        <v>255.02</v>
      </c>
      <c r="M955" s="3">
        <v>0.1</v>
      </c>
      <c r="N955" s="2">
        <v>1147.5899999999999</v>
      </c>
      <c r="O955" s="2">
        <v>705.96</v>
      </c>
      <c r="P955" s="2">
        <v>441.63</v>
      </c>
      <c r="Q955" t="s">
        <v>26</v>
      </c>
    </row>
    <row r="956" spans="1:17" x14ac:dyDescent="0.2">
      <c r="A956" t="s">
        <v>1121</v>
      </c>
      <c r="B956" s="1">
        <v>45769</v>
      </c>
      <c r="C956" t="s">
        <v>18</v>
      </c>
      <c r="D956" t="s">
        <v>86</v>
      </c>
      <c r="E956" t="s">
        <v>92</v>
      </c>
      <c r="F956" t="s">
        <v>60</v>
      </c>
      <c r="G956" t="s">
        <v>54</v>
      </c>
      <c r="H956" t="s">
        <v>47</v>
      </c>
      <c r="I956" t="s">
        <v>89</v>
      </c>
      <c r="J956" t="s">
        <v>204</v>
      </c>
      <c r="K956">
        <v>3</v>
      </c>
      <c r="L956" s="2">
        <v>379.02</v>
      </c>
      <c r="M956" s="3">
        <v>0.15</v>
      </c>
      <c r="N956" s="2">
        <v>966.5</v>
      </c>
      <c r="O956" s="2">
        <v>555.80999999999995</v>
      </c>
      <c r="P956" s="2">
        <v>410.69</v>
      </c>
      <c r="Q956" t="s">
        <v>26</v>
      </c>
    </row>
    <row r="957" spans="1:17" x14ac:dyDescent="0.2">
      <c r="A957" t="s">
        <v>1122</v>
      </c>
      <c r="B957" s="1">
        <v>45769</v>
      </c>
      <c r="C957" t="s">
        <v>43</v>
      </c>
      <c r="D957" t="s">
        <v>44</v>
      </c>
      <c r="E957" t="s">
        <v>82</v>
      </c>
      <c r="F957" t="s">
        <v>71</v>
      </c>
      <c r="G957" t="s">
        <v>54</v>
      </c>
      <c r="H957" t="s">
        <v>23</v>
      </c>
      <c r="I957" t="s">
        <v>55</v>
      </c>
      <c r="J957" t="s">
        <v>56</v>
      </c>
      <c r="K957">
        <v>6</v>
      </c>
      <c r="L957" s="2">
        <v>23.91</v>
      </c>
      <c r="M957" s="3">
        <v>0.1</v>
      </c>
      <c r="N957" s="2">
        <v>129.11000000000001</v>
      </c>
      <c r="O957" s="2">
        <v>92.96</v>
      </c>
      <c r="P957" s="2">
        <v>36.15</v>
      </c>
      <c r="Q957" t="s">
        <v>57</v>
      </c>
    </row>
    <row r="958" spans="1:17" x14ac:dyDescent="0.2">
      <c r="A958" t="s">
        <v>1123</v>
      </c>
      <c r="B958" s="1">
        <v>45769</v>
      </c>
      <c r="C958" t="s">
        <v>77</v>
      </c>
      <c r="D958" t="s">
        <v>149</v>
      </c>
      <c r="E958" t="s">
        <v>309</v>
      </c>
      <c r="F958" t="s">
        <v>71</v>
      </c>
      <c r="G958" t="s">
        <v>75</v>
      </c>
      <c r="H958" t="s">
        <v>23</v>
      </c>
      <c r="I958" t="s">
        <v>79</v>
      </c>
      <c r="J958" t="s">
        <v>233</v>
      </c>
      <c r="K958">
        <v>6</v>
      </c>
      <c r="L958" s="2">
        <v>263.38</v>
      </c>
      <c r="M958" s="3">
        <v>0.05</v>
      </c>
      <c r="N958" s="2">
        <v>1501.27</v>
      </c>
      <c r="O958" s="2">
        <v>1077.4000000000001</v>
      </c>
      <c r="P958" s="2">
        <v>423.87</v>
      </c>
      <c r="Q958" t="s">
        <v>57</v>
      </c>
    </row>
    <row r="959" spans="1:17" x14ac:dyDescent="0.2">
      <c r="A959" t="s">
        <v>1124</v>
      </c>
      <c r="B959" s="1">
        <v>45769</v>
      </c>
      <c r="C959" t="s">
        <v>36</v>
      </c>
      <c r="D959" t="s">
        <v>110</v>
      </c>
      <c r="E959" t="s">
        <v>111</v>
      </c>
      <c r="F959" t="s">
        <v>21</v>
      </c>
      <c r="G959" t="s">
        <v>22</v>
      </c>
      <c r="H959" t="s">
        <v>31</v>
      </c>
      <c r="I959" t="s">
        <v>112</v>
      </c>
      <c r="J959" t="s">
        <v>136</v>
      </c>
      <c r="K959">
        <v>10</v>
      </c>
      <c r="L959" s="2">
        <v>549.97</v>
      </c>
      <c r="M959" s="3">
        <v>0.05</v>
      </c>
      <c r="N959" s="2">
        <v>5224.72</v>
      </c>
      <c r="O959" s="2">
        <v>3116.5</v>
      </c>
      <c r="P959" s="2">
        <v>2108.2199999999998</v>
      </c>
      <c r="Q959" t="s">
        <v>34</v>
      </c>
    </row>
    <row r="960" spans="1:17" x14ac:dyDescent="0.2">
      <c r="A960" t="s">
        <v>1125</v>
      </c>
      <c r="B960" s="1">
        <v>45769</v>
      </c>
      <c r="C960" t="s">
        <v>36</v>
      </c>
      <c r="D960" t="s">
        <v>37</v>
      </c>
      <c r="E960" t="s">
        <v>187</v>
      </c>
      <c r="F960" t="s">
        <v>21</v>
      </c>
      <c r="G960" t="s">
        <v>22</v>
      </c>
      <c r="H960" t="s">
        <v>23</v>
      </c>
      <c r="I960" t="s">
        <v>24</v>
      </c>
      <c r="J960" t="s">
        <v>25</v>
      </c>
      <c r="K960">
        <v>6</v>
      </c>
      <c r="L960" s="2">
        <v>26.22</v>
      </c>
      <c r="M960" s="3">
        <v>0.1</v>
      </c>
      <c r="N960" s="2">
        <v>141.59</v>
      </c>
      <c r="O960" s="2">
        <v>114.23</v>
      </c>
      <c r="P960" s="2">
        <v>27.36</v>
      </c>
      <c r="Q960" t="s">
        <v>61</v>
      </c>
    </row>
    <row r="961" spans="1:17" x14ac:dyDescent="0.2">
      <c r="A961" t="s">
        <v>1126</v>
      </c>
      <c r="B961" s="1">
        <v>45769</v>
      </c>
      <c r="C961" t="s">
        <v>18</v>
      </c>
      <c r="D961" t="s">
        <v>152</v>
      </c>
      <c r="E961" t="s">
        <v>166</v>
      </c>
      <c r="F961" t="s">
        <v>60</v>
      </c>
      <c r="G961" t="s">
        <v>22</v>
      </c>
      <c r="H961" t="s">
        <v>47</v>
      </c>
      <c r="I961" t="s">
        <v>141</v>
      </c>
      <c r="J961" t="s">
        <v>372</v>
      </c>
      <c r="K961">
        <v>2</v>
      </c>
      <c r="L961" s="2">
        <v>792.24</v>
      </c>
      <c r="M961" s="3">
        <v>0.2</v>
      </c>
      <c r="N961" s="2">
        <v>1267.58</v>
      </c>
      <c r="O961" s="2">
        <v>828.91</v>
      </c>
      <c r="P961" s="2">
        <v>438.67</v>
      </c>
      <c r="Q961" t="s">
        <v>34</v>
      </c>
    </row>
    <row r="962" spans="1:17" x14ac:dyDescent="0.2">
      <c r="A962" t="s">
        <v>1127</v>
      </c>
      <c r="B962" s="1">
        <v>45769</v>
      </c>
      <c r="C962" t="s">
        <v>36</v>
      </c>
      <c r="D962" t="s">
        <v>67</v>
      </c>
      <c r="E962" t="s">
        <v>270</v>
      </c>
      <c r="F962" t="s">
        <v>39</v>
      </c>
      <c r="G962" t="s">
        <v>75</v>
      </c>
      <c r="H962" t="s">
        <v>47</v>
      </c>
      <c r="I962" t="s">
        <v>141</v>
      </c>
      <c r="J962" t="s">
        <v>201</v>
      </c>
      <c r="K962">
        <v>9</v>
      </c>
      <c r="L962" s="2">
        <v>580.64</v>
      </c>
      <c r="M962" s="3">
        <v>0.1</v>
      </c>
      <c r="N962" s="2">
        <v>4703.18</v>
      </c>
      <c r="O962" s="2">
        <v>2605.67</v>
      </c>
      <c r="P962" s="2">
        <v>2097.5100000000002</v>
      </c>
      <c r="Q962" t="s">
        <v>57</v>
      </c>
    </row>
    <row r="963" spans="1:17" x14ac:dyDescent="0.2">
      <c r="A963" t="s">
        <v>1128</v>
      </c>
      <c r="B963" s="1">
        <v>45769</v>
      </c>
      <c r="C963" t="s">
        <v>43</v>
      </c>
      <c r="D963" t="s">
        <v>208</v>
      </c>
      <c r="E963" t="s">
        <v>230</v>
      </c>
      <c r="F963" t="s">
        <v>53</v>
      </c>
      <c r="G963" t="s">
        <v>54</v>
      </c>
      <c r="H963" t="s">
        <v>47</v>
      </c>
      <c r="I963" t="s">
        <v>48</v>
      </c>
      <c r="J963" t="s">
        <v>164</v>
      </c>
      <c r="K963">
        <v>8</v>
      </c>
      <c r="L963" s="2">
        <v>644.87</v>
      </c>
      <c r="M963" s="3">
        <v>0</v>
      </c>
      <c r="N963" s="2">
        <v>5158.96</v>
      </c>
      <c r="O963" s="2">
        <v>2933.64</v>
      </c>
      <c r="P963" s="2">
        <v>2225.3200000000002</v>
      </c>
      <c r="Q963" t="s">
        <v>61</v>
      </c>
    </row>
    <row r="964" spans="1:17" x14ac:dyDescent="0.2">
      <c r="A964" t="s">
        <v>1129</v>
      </c>
      <c r="B964" s="1">
        <v>45769</v>
      </c>
      <c r="C964" t="s">
        <v>43</v>
      </c>
      <c r="D964" t="s">
        <v>244</v>
      </c>
      <c r="E964" t="s">
        <v>326</v>
      </c>
      <c r="F964" t="s">
        <v>46</v>
      </c>
      <c r="G964" t="s">
        <v>75</v>
      </c>
      <c r="H964" t="s">
        <v>31</v>
      </c>
      <c r="I964" t="s">
        <v>64</v>
      </c>
      <c r="J964" t="s">
        <v>252</v>
      </c>
      <c r="K964">
        <v>5</v>
      </c>
      <c r="L964" s="2">
        <v>88.81</v>
      </c>
      <c r="M964" s="3">
        <v>0.1</v>
      </c>
      <c r="N964" s="2">
        <v>399.65</v>
      </c>
      <c r="O964" s="2">
        <v>311.42</v>
      </c>
      <c r="P964" s="2">
        <v>88.23</v>
      </c>
      <c r="Q964" t="s">
        <v>34</v>
      </c>
    </row>
    <row r="965" spans="1:17" x14ac:dyDescent="0.2">
      <c r="A965" t="s">
        <v>1130</v>
      </c>
      <c r="B965" s="1">
        <v>45769</v>
      </c>
      <c r="C965" t="s">
        <v>77</v>
      </c>
      <c r="D965" t="s">
        <v>149</v>
      </c>
      <c r="E965" t="s">
        <v>206</v>
      </c>
      <c r="F965" t="s">
        <v>30</v>
      </c>
      <c r="G965" t="s">
        <v>75</v>
      </c>
      <c r="H965" t="s">
        <v>23</v>
      </c>
      <c r="I965" t="s">
        <v>55</v>
      </c>
      <c r="J965" t="s">
        <v>102</v>
      </c>
      <c r="K965">
        <v>8</v>
      </c>
      <c r="L965" s="2">
        <v>15.24</v>
      </c>
      <c r="M965" s="3">
        <v>0</v>
      </c>
      <c r="N965" s="2">
        <v>121.92</v>
      </c>
      <c r="O965" s="2">
        <v>72.53</v>
      </c>
      <c r="P965" s="2">
        <v>49.39</v>
      </c>
      <c r="Q965" t="s">
        <v>34</v>
      </c>
    </row>
    <row r="966" spans="1:17" x14ac:dyDescent="0.2">
      <c r="A966" t="s">
        <v>1131</v>
      </c>
      <c r="B966" s="1">
        <v>45769</v>
      </c>
      <c r="C966" t="s">
        <v>77</v>
      </c>
      <c r="D966" t="s">
        <v>106</v>
      </c>
      <c r="E966" t="s">
        <v>236</v>
      </c>
      <c r="F966" t="s">
        <v>71</v>
      </c>
      <c r="G966" t="s">
        <v>22</v>
      </c>
      <c r="H966" t="s">
        <v>47</v>
      </c>
      <c r="I966" t="s">
        <v>141</v>
      </c>
      <c r="J966" t="s">
        <v>372</v>
      </c>
      <c r="K966">
        <v>8</v>
      </c>
      <c r="L966" s="2">
        <v>674.13</v>
      </c>
      <c r="M966" s="3">
        <v>0</v>
      </c>
      <c r="N966" s="2">
        <v>5393.04</v>
      </c>
      <c r="O966" s="2">
        <v>3704.71</v>
      </c>
      <c r="P966" s="2">
        <v>1688.33</v>
      </c>
      <c r="Q966" t="s">
        <v>61</v>
      </c>
    </row>
    <row r="967" spans="1:17" x14ac:dyDescent="0.2">
      <c r="A967" t="s">
        <v>1132</v>
      </c>
      <c r="B967" s="1">
        <v>45769</v>
      </c>
      <c r="C967" t="s">
        <v>36</v>
      </c>
      <c r="D967" t="s">
        <v>73</v>
      </c>
      <c r="E967" t="s">
        <v>212</v>
      </c>
      <c r="F967" t="s">
        <v>21</v>
      </c>
      <c r="G967" t="s">
        <v>75</v>
      </c>
      <c r="H967" t="s">
        <v>47</v>
      </c>
      <c r="I967" t="s">
        <v>48</v>
      </c>
      <c r="J967" t="s">
        <v>49</v>
      </c>
      <c r="K967">
        <v>7</v>
      </c>
      <c r="L967" s="2">
        <v>653.53</v>
      </c>
      <c r="M967" s="3">
        <v>0.05</v>
      </c>
      <c r="N967" s="2">
        <v>4345.97</v>
      </c>
      <c r="O967" s="2">
        <v>2687.94</v>
      </c>
      <c r="P967" s="2">
        <v>1658.03</v>
      </c>
      <c r="Q967" t="s">
        <v>34</v>
      </c>
    </row>
    <row r="968" spans="1:17" x14ac:dyDescent="0.2">
      <c r="A968" t="s">
        <v>1133</v>
      </c>
      <c r="B968" s="1">
        <v>45769</v>
      </c>
      <c r="C968" t="s">
        <v>43</v>
      </c>
      <c r="D968" t="s">
        <v>208</v>
      </c>
      <c r="E968" t="s">
        <v>230</v>
      </c>
      <c r="F968" t="s">
        <v>130</v>
      </c>
      <c r="G968" t="s">
        <v>22</v>
      </c>
      <c r="H968" t="s">
        <v>31</v>
      </c>
      <c r="I968" t="s">
        <v>40</v>
      </c>
      <c r="J968" t="s">
        <v>122</v>
      </c>
      <c r="K968">
        <v>6</v>
      </c>
      <c r="L968" s="2">
        <v>90.38</v>
      </c>
      <c r="M968" s="3">
        <v>0</v>
      </c>
      <c r="N968" s="2">
        <v>542.28</v>
      </c>
      <c r="O968" s="2">
        <v>323.81</v>
      </c>
      <c r="P968" s="2">
        <v>218.47</v>
      </c>
      <c r="Q968" t="s">
        <v>34</v>
      </c>
    </row>
    <row r="969" spans="1:17" x14ac:dyDescent="0.2">
      <c r="A969" t="s">
        <v>1134</v>
      </c>
      <c r="B969" s="1">
        <v>45770</v>
      </c>
      <c r="C969" t="s">
        <v>36</v>
      </c>
      <c r="D969" t="s">
        <v>110</v>
      </c>
      <c r="E969" t="s">
        <v>115</v>
      </c>
      <c r="F969" t="s">
        <v>71</v>
      </c>
      <c r="G969" t="s">
        <v>75</v>
      </c>
      <c r="H969" t="s">
        <v>47</v>
      </c>
      <c r="I969" t="s">
        <v>141</v>
      </c>
      <c r="J969" t="s">
        <v>142</v>
      </c>
      <c r="K969">
        <v>7</v>
      </c>
      <c r="L969" s="2">
        <v>256.55</v>
      </c>
      <c r="M969" s="3">
        <v>0</v>
      </c>
      <c r="N969" s="2">
        <v>1795.85</v>
      </c>
      <c r="O969" s="2">
        <v>1441.49</v>
      </c>
      <c r="P969" s="2">
        <v>354.36</v>
      </c>
      <c r="Q969" t="s">
        <v>57</v>
      </c>
    </row>
    <row r="970" spans="1:17" x14ac:dyDescent="0.2">
      <c r="A970" t="s">
        <v>1135</v>
      </c>
      <c r="B970" s="1">
        <v>45770</v>
      </c>
      <c r="C970" t="s">
        <v>36</v>
      </c>
      <c r="D970" t="s">
        <v>67</v>
      </c>
      <c r="E970" t="s">
        <v>68</v>
      </c>
      <c r="F970" t="s">
        <v>21</v>
      </c>
      <c r="G970" t="s">
        <v>54</v>
      </c>
      <c r="H970" t="s">
        <v>23</v>
      </c>
      <c r="I970" t="s">
        <v>55</v>
      </c>
      <c r="J970" t="s">
        <v>102</v>
      </c>
      <c r="K970">
        <v>5</v>
      </c>
      <c r="L970" s="2">
        <v>7.21</v>
      </c>
      <c r="M970" s="3">
        <v>0.05</v>
      </c>
      <c r="N970" s="2">
        <v>34.25</v>
      </c>
      <c r="O970" s="2">
        <v>24.96</v>
      </c>
      <c r="P970" s="2">
        <v>9.2899999999999991</v>
      </c>
      <c r="Q970" t="s">
        <v>61</v>
      </c>
    </row>
    <row r="971" spans="1:17" x14ac:dyDescent="0.2">
      <c r="A971" t="s">
        <v>1136</v>
      </c>
      <c r="B971" s="1">
        <v>45770</v>
      </c>
      <c r="C971" t="s">
        <v>43</v>
      </c>
      <c r="D971" t="s">
        <v>44</v>
      </c>
      <c r="E971" t="s">
        <v>45</v>
      </c>
      <c r="F971" t="s">
        <v>71</v>
      </c>
      <c r="G971" t="s">
        <v>22</v>
      </c>
      <c r="H971" t="s">
        <v>23</v>
      </c>
      <c r="I971" t="s">
        <v>83</v>
      </c>
      <c r="J971" t="s">
        <v>120</v>
      </c>
      <c r="K971">
        <v>5</v>
      </c>
      <c r="L971" s="2">
        <v>8.4600000000000009</v>
      </c>
      <c r="M971" s="3">
        <v>0</v>
      </c>
      <c r="N971" s="2">
        <v>42.3</v>
      </c>
      <c r="O971" s="2">
        <v>30.44</v>
      </c>
      <c r="P971" s="2">
        <v>11.86</v>
      </c>
      <c r="Q971" t="s">
        <v>57</v>
      </c>
    </row>
    <row r="972" spans="1:17" x14ac:dyDescent="0.2">
      <c r="A972" t="s">
        <v>1137</v>
      </c>
      <c r="B972" s="1">
        <v>45770</v>
      </c>
      <c r="C972" t="s">
        <v>77</v>
      </c>
      <c r="D972" t="s">
        <v>78</v>
      </c>
      <c r="E972" t="s">
        <v>295</v>
      </c>
      <c r="F972" t="s">
        <v>39</v>
      </c>
      <c r="G972" t="s">
        <v>22</v>
      </c>
      <c r="H972" t="s">
        <v>31</v>
      </c>
      <c r="I972" t="s">
        <v>40</v>
      </c>
      <c r="J972" t="s">
        <v>122</v>
      </c>
      <c r="K972">
        <v>5</v>
      </c>
      <c r="L972" s="2">
        <v>154.41999999999999</v>
      </c>
      <c r="M972" s="3">
        <v>0.05</v>
      </c>
      <c r="N972" s="2">
        <v>733.49</v>
      </c>
      <c r="O972" s="2">
        <v>453.92</v>
      </c>
      <c r="P972" s="2">
        <v>279.57</v>
      </c>
      <c r="Q972" t="s">
        <v>61</v>
      </c>
    </row>
    <row r="973" spans="1:17" x14ac:dyDescent="0.2">
      <c r="A973" t="s">
        <v>1138</v>
      </c>
      <c r="B973" s="1">
        <v>45771</v>
      </c>
      <c r="C973" t="s">
        <v>36</v>
      </c>
      <c r="D973" t="s">
        <v>37</v>
      </c>
      <c r="E973" t="s">
        <v>187</v>
      </c>
      <c r="F973" t="s">
        <v>138</v>
      </c>
      <c r="G973" t="s">
        <v>22</v>
      </c>
      <c r="H973" t="s">
        <v>47</v>
      </c>
      <c r="I973" t="s">
        <v>89</v>
      </c>
      <c r="J973" t="s">
        <v>90</v>
      </c>
      <c r="K973">
        <v>1</v>
      </c>
      <c r="L973" s="2">
        <v>212.29</v>
      </c>
      <c r="M973" s="3">
        <v>0.15</v>
      </c>
      <c r="N973" s="2">
        <v>180.45</v>
      </c>
      <c r="O973" s="2">
        <v>122.86</v>
      </c>
      <c r="P973" s="2">
        <v>57.59</v>
      </c>
      <c r="Q973" t="s">
        <v>34</v>
      </c>
    </row>
    <row r="974" spans="1:17" x14ac:dyDescent="0.2">
      <c r="A974" t="s">
        <v>1139</v>
      </c>
      <c r="B974" s="1">
        <v>45771</v>
      </c>
      <c r="C974" t="s">
        <v>43</v>
      </c>
      <c r="D974" t="s">
        <v>51</v>
      </c>
      <c r="E974" t="s">
        <v>59</v>
      </c>
      <c r="F974" t="s">
        <v>69</v>
      </c>
      <c r="G974" t="s">
        <v>22</v>
      </c>
      <c r="H974" t="s">
        <v>31</v>
      </c>
      <c r="I974" t="s">
        <v>40</v>
      </c>
      <c r="J974" t="s">
        <v>216</v>
      </c>
      <c r="K974">
        <v>6</v>
      </c>
      <c r="L974" s="2">
        <v>44.19</v>
      </c>
      <c r="M974" s="3">
        <v>0.1</v>
      </c>
      <c r="N974" s="2">
        <v>238.63</v>
      </c>
      <c r="O974" s="2">
        <v>151.26</v>
      </c>
      <c r="P974" s="2">
        <v>87.37</v>
      </c>
      <c r="Q974" t="s">
        <v>57</v>
      </c>
    </row>
    <row r="975" spans="1:17" x14ac:dyDescent="0.2">
      <c r="A975" t="s">
        <v>1140</v>
      </c>
      <c r="B975" s="1">
        <v>45771</v>
      </c>
      <c r="C975" t="s">
        <v>77</v>
      </c>
      <c r="D975" t="s">
        <v>106</v>
      </c>
      <c r="E975" t="s">
        <v>236</v>
      </c>
      <c r="F975" t="s">
        <v>46</v>
      </c>
      <c r="G975" t="s">
        <v>75</v>
      </c>
      <c r="H975" t="s">
        <v>31</v>
      </c>
      <c r="I975" t="s">
        <v>64</v>
      </c>
      <c r="J975" t="s">
        <v>65</v>
      </c>
      <c r="K975">
        <v>7</v>
      </c>
      <c r="L975" s="2">
        <v>137.58000000000001</v>
      </c>
      <c r="M975" s="3">
        <v>0.05</v>
      </c>
      <c r="N975" s="2">
        <v>914.91</v>
      </c>
      <c r="O975" s="2">
        <v>607.62</v>
      </c>
      <c r="P975" s="2">
        <v>307.29000000000002</v>
      </c>
      <c r="Q975" t="s">
        <v>61</v>
      </c>
    </row>
    <row r="976" spans="1:17" x14ac:dyDescent="0.2">
      <c r="A976" t="s">
        <v>1141</v>
      </c>
      <c r="B976" s="1">
        <v>45771</v>
      </c>
      <c r="C976" t="s">
        <v>18</v>
      </c>
      <c r="D976" t="s">
        <v>86</v>
      </c>
      <c r="E976" t="s">
        <v>92</v>
      </c>
      <c r="F976" t="s">
        <v>21</v>
      </c>
      <c r="G976" t="s">
        <v>22</v>
      </c>
      <c r="H976" t="s">
        <v>31</v>
      </c>
      <c r="I976" t="s">
        <v>64</v>
      </c>
      <c r="J976" t="s">
        <v>126</v>
      </c>
      <c r="K976">
        <v>5</v>
      </c>
      <c r="L976" s="2">
        <v>34.729999999999997</v>
      </c>
      <c r="M976" s="3">
        <v>0.2</v>
      </c>
      <c r="N976" s="2">
        <v>138.91999999999999</v>
      </c>
      <c r="O976" s="2">
        <v>100.28</v>
      </c>
      <c r="P976" s="2">
        <v>38.64</v>
      </c>
      <c r="Q976" t="s">
        <v>61</v>
      </c>
    </row>
    <row r="977" spans="1:17" x14ac:dyDescent="0.2">
      <c r="A977" t="s">
        <v>1142</v>
      </c>
      <c r="B977" s="1">
        <v>45771</v>
      </c>
      <c r="C977" t="s">
        <v>77</v>
      </c>
      <c r="D977" t="s">
        <v>106</v>
      </c>
      <c r="E977" t="s">
        <v>236</v>
      </c>
      <c r="F977" t="s">
        <v>60</v>
      </c>
      <c r="G977" t="s">
        <v>22</v>
      </c>
      <c r="H977" t="s">
        <v>23</v>
      </c>
      <c r="I977" t="s">
        <v>79</v>
      </c>
      <c r="J977" t="s">
        <v>80</v>
      </c>
      <c r="K977">
        <v>3</v>
      </c>
      <c r="L977" s="2">
        <v>242.3</v>
      </c>
      <c r="M977" s="3">
        <v>0.05</v>
      </c>
      <c r="N977" s="2">
        <v>690.56</v>
      </c>
      <c r="O977" s="2">
        <v>528.5</v>
      </c>
      <c r="P977" s="2">
        <v>162.06</v>
      </c>
      <c r="Q977" t="s">
        <v>57</v>
      </c>
    </row>
    <row r="978" spans="1:17" x14ac:dyDescent="0.2">
      <c r="A978" t="s">
        <v>1143</v>
      </c>
      <c r="B978" s="1">
        <v>45771</v>
      </c>
      <c r="C978" t="s">
        <v>18</v>
      </c>
      <c r="D978" t="s">
        <v>28</v>
      </c>
      <c r="E978" t="s">
        <v>170</v>
      </c>
      <c r="F978" t="s">
        <v>130</v>
      </c>
      <c r="G978" t="s">
        <v>22</v>
      </c>
      <c r="H978" t="s">
        <v>31</v>
      </c>
      <c r="I978" t="s">
        <v>32</v>
      </c>
      <c r="J978" t="s">
        <v>104</v>
      </c>
      <c r="K978">
        <v>7</v>
      </c>
      <c r="L978" s="2">
        <v>1689.01</v>
      </c>
      <c r="M978" s="3">
        <v>0.15</v>
      </c>
      <c r="N978" s="2">
        <v>10049.61</v>
      </c>
      <c r="O978" s="2">
        <v>6759.95</v>
      </c>
      <c r="P978" s="2">
        <v>3289.66</v>
      </c>
      <c r="Q978" t="s">
        <v>34</v>
      </c>
    </row>
    <row r="979" spans="1:17" x14ac:dyDescent="0.2">
      <c r="A979" t="s">
        <v>1144</v>
      </c>
      <c r="B979" s="1">
        <v>45771</v>
      </c>
      <c r="C979" t="s">
        <v>36</v>
      </c>
      <c r="D979" t="s">
        <v>37</v>
      </c>
      <c r="E979" t="s">
        <v>187</v>
      </c>
      <c r="F979" t="s">
        <v>53</v>
      </c>
      <c r="G979" t="s">
        <v>75</v>
      </c>
      <c r="H979" t="s">
        <v>47</v>
      </c>
      <c r="I979" t="s">
        <v>48</v>
      </c>
      <c r="J979" t="s">
        <v>164</v>
      </c>
      <c r="K979">
        <v>4</v>
      </c>
      <c r="L979" s="2">
        <v>419.91</v>
      </c>
      <c r="M979" s="3">
        <v>0.2</v>
      </c>
      <c r="N979" s="2">
        <v>1343.71</v>
      </c>
      <c r="O979" s="2">
        <v>811.92</v>
      </c>
      <c r="P979" s="2">
        <v>531.79</v>
      </c>
      <c r="Q979" t="s">
        <v>26</v>
      </c>
    </row>
    <row r="980" spans="1:17" x14ac:dyDescent="0.2">
      <c r="A980" t="s">
        <v>1145</v>
      </c>
      <c r="B980" s="1">
        <v>45772</v>
      </c>
      <c r="C980" t="s">
        <v>36</v>
      </c>
      <c r="D980" t="s">
        <v>144</v>
      </c>
      <c r="E980" t="s">
        <v>145</v>
      </c>
      <c r="F980" t="s">
        <v>39</v>
      </c>
      <c r="G980" t="s">
        <v>75</v>
      </c>
      <c r="H980" t="s">
        <v>47</v>
      </c>
      <c r="I980" t="s">
        <v>141</v>
      </c>
      <c r="J980" t="s">
        <v>372</v>
      </c>
      <c r="K980">
        <v>4</v>
      </c>
      <c r="L980" s="2">
        <v>410</v>
      </c>
      <c r="M980" s="3">
        <v>0.05</v>
      </c>
      <c r="N980" s="2">
        <v>1558</v>
      </c>
      <c r="O980" s="2">
        <v>981.81</v>
      </c>
      <c r="P980" s="2">
        <v>576.19000000000005</v>
      </c>
      <c r="Q980" t="s">
        <v>61</v>
      </c>
    </row>
    <row r="981" spans="1:17" x14ac:dyDescent="0.2">
      <c r="A981" t="s">
        <v>1146</v>
      </c>
      <c r="B981" s="1">
        <v>45772</v>
      </c>
      <c r="C981" t="s">
        <v>18</v>
      </c>
      <c r="D981" t="s">
        <v>152</v>
      </c>
      <c r="E981" t="s">
        <v>153</v>
      </c>
      <c r="F981" t="s">
        <v>130</v>
      </c>
      <c r="G981" t="s">
        <v>75</v>
      </c>
      <c r="H981" t="s">
        <v>31</v>
      </c>
      <c r="I981" t="s">
        <v>112</v>
      </c>
      <c r="J981" t="s">
        <v>113</v>
      </c>
      <c r="K981">
        <v>1</v>
      </c>
      <c r="L981" s="2">
        <v>269.26</v>
      </c>
      <c r="M981" s="3">
        <v>0</v>
      </c>
      <c r="N981" s="2">
        <v>269.26</v>
      </c>
      <c r="O981" s="2">
        <v>185.7</v>
      </c>
      <c r="P981" s="2">
        <v>83.56</v>
      </c>
      <c r="Q981" t="s">
        <v>26</v>
      </c>
    </row>
    <row r="982" spans="1:17" x14ac:dyDescent="0.2">
      <c r="A982" t="s">
        <v>1147</v>
      </c>
      <c r="B982" s="1">
        <v>45772</v>
      </c>
      <c r="C982" t="s">
        <v>18</v>
      </c>
      <c r="D982" t="s">
        <v>152</v>
      </c>
      <c r="E982" t="s">
        <v>166</v>
      </c>
      <c r="F982" t="s">
        <v>30</v>
      </c>
      <c r="G982" t="s">
        <v>22</v>
      </c>
      <c r="H982" t="s">
        <v>47</v>
      </c>
      <c r="I982" t="s">
        <v>97</v>
      </c>
      <c r="J982" t="s">
        <v>116</v>
      </c>
      <c r="K982">
        <v>9</v>
      </c>
      <c r="L982" s="2">
        <v>644.07000000000005</v>
      </c>
      <c r="M982" s="3">
        <v>0.15</v>
      </c>
      <c r="N982" s="2">
        <v>4927.1400000000003</v>
      </c>
      <c r="O982" s="2">
        <v>2757.2</v>
      </c>
      <c r="P982" s="2">
        <v>2169.94</v>
      </c>
      <c r="Q982" t="s">
        <v>57</v>
      </c>
    </row>
    <row r="983" spans="1:17" x14ac:dyDescent="0.2">
      <c r="A983" t="s">
        <v>1148</v>
      </c>
      <c r="B983" s="1">
        <v>45772</v>
      </c>
      <c r="C983" t="s">
        <v>77</v>
      </c>
      <c r="D983" t="s">
        <v>128</v>
      </c>
      <c r="E983" t="s">
        <v>129</v>
      </c>
      <c r="F983" t="s">
        <v>60</v>
      </c>
      <c r="G983" t="s">
        <v>75</v>
      </c>
      <c r="H983" t="s">
        <v>31</v>
      </c>
      <c r="I983" t="s">
        <v>64</v>
      </c>
      <c r="J983" t="s">
        <v>252</v>
      </c>
      <c r="K983">
        <v>8</v>
      </c>
      <c r="L983" s="2">
        <v>132.44</v>
      </c>
      <c r="M983" s="3">
        <v>0.05</v>
      </c>
      <c r="N983" s="2">
        <v>1006.54</v>
      </c>
      <c r="O983" s="2">
        <v>591.4</v>
      </c>
      <c r="P983" s="2">
        <v>415.14</v>
      </c>
      <c r="Q983" t="s">
        <v>34</v>
      </c>
    </row>
    <row r="984" spans="1:17" x14ac:dyDescent="0.2">
      <c r="A984" t="s">
        <v>1149</v>
      </c>
      <c r="B984" s="1">
        <v>45772</v>
      </c>
      <c r="C984" t="s">
        <v>18</v>
      </c>
      <c r="D984" t="s">
        <v>133</v>
      </c>
      <c r="E984" t="s">
        <v>134</v>
      </c>
      <c r="F984" t="s">
        <v>53</v>
      </c>
      <c r="G984" t="s">
        <v>75</v>
      </c>
      <c r="H984" t="s">
        <v>47</v>
      </c>
      <c r="I984" t="s">
        <v>48</v>
      </c>
      <c r="J984" t="s">
        <v>164</v>
      </c>
      <c r="K984">
        <v>3</v>
      </c>
      <c r="L984" s="2">
        <v>383.04</v>
      </c>
      <c r="M984" s="3">
        <v>0</v>
      </c>
      <c r="N984" s="2">
        <v>1149.1199999999999</v>
      </c>
      <c r="O984" s="2">
        <v>633.35</v>
      </c>
      <c r="P984" s="2">
        <v>515.77</v>
      </c>
      <c r="Q984" t="s">
        <v>26</v>
      </c>
    </row>
    <row r="985" spans="1:17" x14ac:dyDescent="0.2">
      <c r="A985" t="s">
        <v>1150</v>
      </c>
      <c r="B985" s="1">
        <v>45772</v>
      </c>
      <c r="C985" t="s">
        <v>36</v>
      </c>
      <c r="D985" t="s">
        <v>67</v>
      </c>
      <c r="E985" t="s">
        <v>68</v>
      </c>
      <c r="F985" t="s">
        <v>39</v>
      </c>
      <c r="G985" t="s">
        <v>54</v>
      </c>
      <c r="H985" t="s">
        <v>47</v>
      </c>
      <c r="I985" t="s">
        <v>89</v>
      </c>
      <c r="J985" t="s">
        <v>204</v>
      </c>
      <c r="K985">
        <v>10</v>
      </c>
      <c r="L985" s="2">
        <v>183.67</v>
      </c>
      <c r="M985" s="3">
        <v>0</v>
      </c>
      <c r="N985" s="2">
        <v>1836.7</v>
      </c>
      <c r="O985" s="2">
        <v>1488.11</v>
      </c>
      <c r="P985" s="2">
        <v>348.59</v>
      </c>
      <c r="Q985" t="s">
        <v>34</v>
      </c>
    </row>
    <row r="986" spans="1:17" x14ac:dyDescent="0.2">
      <c r="A986" t="s">
        <v>1151</v>
      </c>
      <c r="B986" s="1">
        <v>45773</v>
      </c>
      <c r="C986" t="s">
        <v>77</v>
      </c>
      <c r="D986" t="s">
        <v>78</v>
      </c>
      <c r="E986" t="s">
        <v>261</v>
      </c>
      <c r="F986" t="s">
        <v>53</v>
      </c>
      <c r="G986" t="s">
        <v>75</v>
      </c>
      <c r="H986" t="s">
        <v>47</v>
      </c>
      <c r="I986" t="s">
        <v>141</v>
      </c>
      <c r="J986" t="s">
        <v>142</v>
      </c>
      <c r="K986">
        <v>3</v>
      </c>
      <c r="L986" s="2">
        <v>212.1</v>
      </c>
      <c r="M986" s="3">
        <v>0.05</v>
      </c>
      <c r="N986" s="2">
        <v>604.48</v>
      </c>
      <c r="O986" s="2">
        <v>467.44</v>
      </c>
      <c r="P986" s="2">
        <v>137.04</v>
      </c>
      <c r="Q986" t="s">
        <v>34</v>
      </c>
    </row>
    <row r="987" spans="1:17" x14ac:dyDescent="0.2">
      <c r="A987" t="s">
        <v>1152</v>
      </c>
      <c r="B987" s="1">
        <v>45773</v>
      </c>
      <c r="C987" t="s">
        <v>77</v>
      </c>
      <c r="D987" t="s">
        <v>128</v>
      </c>
      <c r="E987" t="s">
        <v>155</v>
      </c>
      <c r="F987" t="s">
        <v>53</v>
      </c>
      <c r="G987" t="s">
        <v>75</v>
      </c>
      <c r="H987" t="s">
        <v>23</v>
      </c>
      <c r="I987" t="s">
        <v>79</v>
      </c>
      <c r="J987" t="s">
        <v>233</v>
      </c>
      <c r="K987">
        <v>1</v>
      </c>
      <c r="L987" s="2">
        <v>433.79</v>
      </c>
      <c r="M987" s="3">
        <v>0.1</v>
      </c>
      <c r="N987" s="2">
        <v>390.41</v>
      </c>
      <c r="O987" s="2">
        <v>236.09</v>
      </c>
      <c r="P987" s="2">
        <v>154.32</v>
      </c>
      <c r="Q987" t="s">
        <v>57</v>
      </c>
    </row>
    <row r="988" spans="1:17" x14ac:dyDescent="0.2">
      <c r="A988" t="s">
        <v>1153</v>
      </c>
      <c r="B988" s="1">
        <v>45773</v>
      </c>
      <c r="C988" t="s">
        <v>36</v>
      </c>
      <c r="D988" t="s">
        <v>73</v>
      </c>
      <c r="E988" t="s">
        <v>74</v>
      </c>
      <c r="F988" t="s">
        <v>39</v>
      </c>
      <c r="G988" t="s">
        <v>22</v>
      </c>
      <c r="H988" t="s">
        <v>31</v>
      </c>
      <c r="I988" t="s">
        <v>112</v>
      </c>
      <c r="J988" t="s">
        <v>176</v>
      </c>
      <c r="K988">
        <v>5</v>
      </c>
      <c r="L988" s="2">
        <v>399.22</v>
      </c>
      <c r="M988" s="3">
        <v>0</v>
      </c>
      <c r="N988" s="2">
        <v>1996.1</v>
      </c>
      <c r="O988" s="2">
        <v>1612.61</v>
      </c>
      <c r="P988" s="2">
        <v>383.49</v>
      </c>
      <c r="Q988" t="s">
        <v>26</v>
      </c>
    </row>
    <row r="989" spans="1:17" x14ac:dyDescent="0.2">
      <c r="A989" t="s">
        <v>1154</v>
      </c>
      <c r="B989" s="1">
        <v>45773</v>
      </c>
      <c r="C989" t="s">
        <v>36</v>
      </c>
      <c r="D989" t="s">
        <v>144</v>
      </c>
      <c r="E989" t="s">
        <v>232</v>
      </c>
      <c r="F989" t="s">
        <v>30</v>
      </c>
      <c r="G989" t="s">
        <v>22</v>
      </c>
      <c r="H989" t="s">
        <v>23</v>
      </c>
      <c r="I989" t="s">
        <v>24</v>
      </c>
      <c r="J989" t="s">
        <v>108</v>
      </c>
      <c r="K989">
        <v>5</v>
      </c>
      <c r="L989" s="2">
        <v>12.37</v>
      </c>
      <c r="M989" s="3">
        <v>0.1</v>
      </c>
      <c r="N989" s="2">
        <v>55.66</v>
      </c>
      <c r="O989" s="2">
        <v>31.05</v>
      </c>
      <c r="P989" s="2">
        <v>24.61</v>
      </c>
      <c r="Q989" t="s">
        <v>61</v>
      </c>
    </row>
    <row r="990" spans="1:17" x14ac:dyDescent="0.2">
      <c r="A990" t="s">
        <v>1155</v>
      </c>
      <c r="B990" s="1">
        <v>45773</v>
      </c>
      <c r="C990" t="s">
        <v>18</v>
      </c>
      <c r="D990" t="s">
        <v>19</v>
      </c>
      <c r="E990" t="s">
        <v>118</v>
      </c>
      <c r="F990" t="s">
        <v>21</v>
      </c>
      <c r="G990" t="s">
        <v>22</v>
      </c>
      <c r="H990" t="s">
        <v>47</v>
      </c>
      <c r="I990" t="s">
        <v>48</v>
      </c>
      <c r="J990" t="s">
        <v>93</v>
      </c>
      <c r="K990">
        <v>7</v>
      </c>
      <c r="L990" s="2">
        <v>586.04</v>
      </c>
      <c r="M990" s="3">
        <v>0</v>
      </c>
      <c r="N990" s="2">
        <v>4102.28</v>
      </c>
      <c r="O990" s="2">
        <v>2602.9</v>
      </c>
      <c r="P990" s="2">
        <v>1499.38</v>
      </c>
      <c r="Q990" t="s">
        <v>61</v>
      </c>
    </row>
    <row r="991" spans="1:17" x14ac:dyDescent="0.2">
      <c r="A991" t="s">
        <v>1156</v>
      </c>
      <c r="B991" s="1">
        <v>45773</v>
      </c>
      <c r="C991" t="s">
        <v>77</v>
      </c>
      <c r="D991" t="s">
        <v>128</v>
      </c>
      <c r="E991" t="s">
        <v>129</v>
      </c>
      <c r="F991" t="s">
        <v>30</v>
      </c>
      <c r="G991" t="s">
        <v>54</v>
      </c>
      <c r="H991" t="s">
        <v>31</v>
      </c>
      <c r="I991" t="s">
        <v>40</v>
      </c>
      <c r="J991" t="s">
        <v>122</v>
      </c>
      <c r="K991">
        <v>6</v>
      </c>
      <c r="L991" s="2">
        <v>103.61</v>
      </c>
      <c r="M991" s="3">
        <v>0.05</v>
      </c>
      <c r="N991" s="2">
        <v>590.58000000000004</v>
      </c>
      <c r="O991" s="2">
        <v>473.36</v>
      </c>
      <c r="P991" s="2">
        <v>117.22</v>
      </c>
      <c r="Q991" t="s">
        <v>34</v>
      </c>
    </row>
    <row r="992" spans="1:17" x14ac:dyDescent="0.2">
      <c r="A992" t="s">
        <v>1157</v>
      </c>
      <c r="B992" s="1">
        <v>45773</v>
      </c>
      <c r="C992" t="s">
        <v>36</v>
      </c>
      <c r="D992" t="s">
        <v>110</v>
      </c>
      <c r="E992" t="s">
        <v>203</v>
      </c>
      <c r="F992" t="s">
        <v>46</v>
      </c>
      <c r="G992" t="s">
        <v>75</v>
      </c>
      <c r="H992" t="s">
        <v>23</v>
      </c>
      <c r="I992" t="s">
        <v>24</v>
      </c>
      <c r="J992" t="s">
        <v>220</v>
      </c>
      <c r="K992">
        <v>7</v>
      </c>
      <c r="L992" s="2">
        <v>17.54</v>
      </c>
      <c r="M992" s="3">
        <v>0.1</v>
      </c>
      <c r="N992" s="2">
        <v>110.5</v>
      </c>
      <c r="O992" s="2">
        <v>71.680000000000007</v>
      </c>
      <c r="P992" s="2">
        <v>38.82</v>
      </c>
      <c r="Q992" t="s">
        <v>26</v>
      </c>
    </row>
    <row r="993" spans="1:17" x14ac:dyDescent="0.2">
      <c r="A993" t="s">
        <v>1158</v>
      </c>
      <c r="B993" s="1">
        <v>45773</v>
      </c>
      <c r="C993" t="s">
        <v>36</v>
      </c>
      <c r="D993" t="s">
        <v>73</v>
      </c>
      <c r="E993" t="s">
        <v>74</v>
      </c>
      <c r="F993" t="s">
        <v>71</v>
      </c>
      <c r="G993" t="s">
        <v>22</v>
      </c>
      <c r="H993" t="s">
        <v>23</v>
      </c>
      <c r="I993" t="s">
        <v>79</v>
      </c>
      <c r="J993" t="s">
        <v>179</v>
      </c>
      <c r="K993">
        <v>8</v>
      </c>
      <c r="L993" s="2">
        <v>457.2</v>
      </c>
      <c r="M993" s="3">
        <v>0.15</v>
      </c>
      <c r="N993" s="2">
        <v>3108.96</v>
      </c>
      <c r="O993" s="2">
        <v>1809.18</v>
      </c>
      <c r="P993" s="2">
        <v>1299.78</v>
      </c>
      <c r="Q993" t="s">
        <v>57</v>
      </c>
    </row>
    <row r="994" spans="1:17" x14ac:dyDescent="0.2">
      <c r="A994" t="s">
        <v>1159</v>
      </c>
      <c r="B994" s="1">
        <v>45773</v>
      </c>
      <c r="C994" t="s">
        <v>77</v>
      </c>
      <c r="D994" t="s">
        <v>128</v>
      </c>
      <c r="E994" t="s">
        <v>155</v>
      </c>
      <c r="F994" t="s">
        <v>138</v>
      </c>
      <c r="G994" t="s">
        <v>22</v>
      </c>
      <c r="H994" t="s">
        <v>47</v>
      </c>
      <c r="I994" t="s">
        <v>97</v>
      </c>
      <c r="J994" t="s">
        <v>168</v>
      </c>
      <c r="K994">
        <v>3</v>
      </c>
      <c r="L994" s="2">
        <v>148.71</v>
      </c>
      <c r="M994" s="3">
        <v>0</v>
      </c>
      <c r="N994" s="2">
        <v>446.13</v>
      </c>
      <c r="O994" s="2">
        <v>286.10000000000002</v>
      </c>
      <c r="P994" s="2">
        <v>160.03</v>
      </c>
      <c r="Q994" t="s">
        <v>34</v>
      </c>
    </row>
    <row r="995" spans="1:17" x14ac:dyDescent="0.2">
      <c r="A995" t="s">
        <v>1160</v>
      </c>
      <c r="B995" s="1">
        <v>45774</v>
      </c>
      <c r="C995" t="s">
        <v>18</v>
      </c>
      <c r="D995" t="s">
        <v>133</v>
      </c>
      <c r="E995" t="s">
        <v>226</v>
      </c>
      <c r="F995" t="s">
        <v>69</v>
      </c>
      <c r="G995" t="s">
        <v>22</v>
      </c>
      <c r="H995" t="s">
        <v>23</v>
      </c>
      <c r="I995" t="s">
        <v>24</v>
      </c>
      <c r="J995" t="s">
        <v>108</v>
      </c>
      <c r="K995">
        <v>5</v>
      </c>
      <c r="L995" s="2">
        <v>15.83</v>
      </c>
      <c r="M995" s="3">
        <v>0</v>
      </c>
      <c r="N995" s="2">
        <v>79.150000000000006</v>
      </c>
      <c r="O995" s="2">
        <v>62.66</v>
      </c>
      <c r="P995" s="2">
        <v>16.489999999999998</v>
      </c>
      <c r="Q995" t="s">
        <v>57</v>
      </c>
    </row>
    <row r="996" spans="1:17" x14ac:dyDescent="0.2">
      <c r="A996" t="s">
        <v>1161</v>
      </c>
      <c r="B996" s="1">
        <v>45774</v>
      </c>
      <c r="C996" t="s">
        <v>18</v>
      </c>
      <c r="D996" t="s">
        <v>28</v>
      </c>
      <c r="E996" t="s">
        <v>29</v>
      </c>
      <c r="F996" t="s">
        <v>60</v>
      </c>
      <c r="G996" t="s">
        <v>75</v>
      </c>
      <c r="H996" t="s">
        <v>31</v>
      </c>
      <c r="I996" t="s">
        <v>40</v>
      </c>
      <c r="J996" t="s">
        <v>41</v>
      </c>
      <c r="K996">
        <v>10</v>
      </c>
      <c r="L996" s="2">
        <v>57.12</v>
      </c>
      <c r="M996" s="3">
        <v>0</v>
      </c>
      <c r="N996" s="2">
        <v>571.20000000000005</v>
      </c>
      <c r="O996" s="2">
        <v>438.49</v>
      </c>
      <c r="P996" s="2">
        <v>132.71</v>
      </c>
      <c r="Q996" t="s">
        <v>34</v>
      </c>
    </row>
    <row r="997" spans="1:17" x14ac:dyDescent="0.2">
      <c r="A997" t="s">
        <v>1162</v>
      </c>
      <c r="B997" s="1">
        <v>45774</v>
      </c>
      <c r="C997" t="s">
        <v>43</v>
      </c>
      <c r="D997" t="s">
        <v>51</v>
      </c>
      <c r="E997" t="s">
        <v>59</v>
      </c>
      <c r="F997" t="s">
        <v>71</v>
      </c>
      <c r="G997" t="s">
        <v>54</v>
      </c>
      <c r="H997" t="s">
        <v>23</v>
      </c>
      <c r="I997" t="s">
        <v>24</v>
      </c>
      <c r="J997" t="s">
        <v>25</v>
      </c>
      <c r="K997">
        <v>10</v>
      </c>
      <c r="L997" s="2">
        <v>5.38</v>
      </c>
      <c r="M997" s="3">
        <v>0.1</v>
      </c>
      <c r="N997" s="2">
        <v>48.42</v>
      </c>
      <c r="O997" s="2">
        <v>36.51</v>
      </c>
      <c r="P997" s="2">
        <v>11.91</v>
      </c>
      <c r="Q997" t="s">
        <v>61</v>
      </c>
    </row>
    <row r="998" spans="1:17" x14ac:dyDescent="0.2">
      <c r="A998" t="s">
        <v>1163</v>
      </c>
      <c r="B998" s="1">
        <v>45774</v>
      </c>
      <c r="C998" t="s">
        <v>36</v>
      </c>
      <c r="D998" t="s">
        <v>110</v>
      </c>
      <c r="E998" t="s">
        <v>115</v>
      </c>
      <c r="F998" t="s">
        <v>39</v>
      </c>
      <c r="G998" t="s">
        <v>75</v>
      </c>
      <c r="H998" t="s">
        <v>31</v>
      </c>
      <c r="I998" t="s">
        <v>32</v>
      </c>
      <c r="J998" t="s">
        <v>258</v>
      </c>
      <c r="K998">
        <v>4</v>
      </c>
      <c r="L998" s="2">
        <v>1334.2</v>
      </c>
      <c r="M998" s="3">
        <v>0</v>
      </c>
      <c r="N998" s="2">
        <v>5336.8</v>
      </c>
      <c r="O998" s="2">
        <v>3618.29</v>
      </c>
      <c r="P998" s="2">
        <v>1718.51</v>
      </c>
      <c r="Q998" t="s">
        <v>26</v>
      </c>
    </row>
    <row r="999" spans="1:17" x14ac:dyDescent="0.2">
      <c r="A999" t="s">
        <v>1164</v>
      </c>
      <c r="B999" s="1">
        <v>45774</v>
      </c>
      <c r="C999" t="s">
        <v>18</v>
      </c>
      <c r="D999" t="s">
        <v>152</v>
      </c>
      <c r="E999" t="s">
        <v>153</v>
      </c>
      <c r="F999" t="s">
        <v>130</v>
      </c>
      <c r="G999" t="s">
        <v>22</v>
      </c>
      <c r="H999" t="s">
        <v>31</v>
      </c>
      <c r="I999" t="s">
        <v>64</v>
      </c>
      <c r="J999" t="s">
        <v>65</v>
      </c>
      <c r="K999">
        <v>3</v>
      </c>
      <c r="L999" s="2">
        <v>179.63</v>
      </c>
      <c r="M999" s="3">
        <v>0.1</v>
      </c>
      <c r="N999" s="2">
        <v>485</v>
      </c>
      <c r="O999" s="2">
        <v>303.55</v>
      </c>
      <c r="P999" s="2">
        <v>181.45</v>
      </c>
      <c r="Q999" t="s">
        <v>34</v>
      </c>
    </row>
    <row r="1000" spans="1:17" x14ac:dyDescent="0.2">
      <c r="A1000" t="s">
        <v>1165</v>
      </c>
      <c r="B1000" s="1">
        <v>45774</v>
      </c>
      <c r="C1000" t="s">
        <v>36</v>
      </c>
      <c r="D1000" t="s">
        <v>37</v>
      </c>
      <c r="E1000" t="s">
        <v>187</v>
      </c>
      <c r="F1000" t="s">
        <v>30</v>
      </c>
      <c r="G1000" t="s">
        <v>22</v>
      </c>
      <c r="H1000" t="s">
        <v>23</v>
      </c>
      <c r="I1000" t="s">
        <v>24</v>
      </c>
      <c r="J1000" t="s">
        <v>108</v>
      </c>
      <c r="K1000">
        <v>10</v>
      </c>
      <c r="L1000" s="2">
        <v>23.67</v>
      </c>
      <c r="M1000" s="3">
        <v>0.1</v>
      </c>
      <c r="N1000" s="2">
        <v>213.03</v>
      </c>
      <c r="O1000" s="2">
        <v>144.37</v>
      </c>
      <c r="P1000" s="2">
        <v>68.66</v>
      </c>
      <c r="Q1000" t="s">
        <v>61</v>
      </c>
    </row>
    <row r="1001" spans="1:17" x14ac:dyDescent="0.2">
      <c r="A1001" t="s">
        <v>1166</v>
      </c>
      <c r="B1001" s="1">
        <v>45774</v>
      </c>
      <c r="C1001" t="s">
        <v>36</v>
      </c>
      <c r="D1001" t="s">
        <v>144</v>
      </c>
      <c r="E1001" t="s">
        <v>145</v>
      </c>
      <c r="F1001" t="s">
        <v>21</v>
      </c>
      <c r="G1001" t="s">
        <v>22</v>
      </c>
      <c r="H1001" t="s">
        <v>31</v>
      </c>
      <c r="I1001" t="s">
        <v>64</v>
      </c>
      <c r="J1001" t="s">
        <v>252</v>
      </c>
      <c r="K1001">
        <v>2</v>
      </c>
      <c r="L1001" s="2">
        <v>101.11</v>
      </c>
      <c r="M1001" s="3">
        <v>0.1</v>
      </c>
      <c r="N1001" s="2">
        <v>182</v>
      </c>
      <c r="O1001" s="2">
        <v>144.09</v>
      </c>
      <c r="P1001" s="2">
        <v>37.909999999999997</v>
      </c>
      <c r="Q1001" t="s">
        <v>26</v>
      </c>
    </row>
    <row r="1002" spans="1:17" x14ac:dyDescent="0.2">
      <c r="A1002" t="s">
        <v>1167</v>
      </c>
      <c r="B1002" s="1">
        <v>45774</v>
      </c>
      <c r="C1002" t="s">
        <v>36</v>
      </c>
      <c r="D1002" t="s">
        <v>67</v>
      </c>
      <c r="E1002" t="s">
        <v>323</v>
      </c>
      <c r="F1002" t="s">
        <v>30</v>
      </c>
      <c r="G1002" t="s">
        <v>22</v>
      </c>
      <c r="H1002" t="s">
        <v>31</v>
      </c>
      <c r="I1002" t="s">
        <v>40</v>
      </c>
      <c r="J1002" t="s">
        <v>122</v>
      </c>
      <c r="K1002">
        <v>8</v>
      </c>
      <c r="L1002" s="2">
        <v>91.98</v>
      </c>
      <c r="M1002" s="3">
        <v>0.05</v>
      </c>
      <c r="N1002" s="2">
        <v>699.05</v>
      </c>
      <c r="O1002" s="2">
        <v>482.54</v>
      </c>
      <c r="P1002" s="2">
        <v>216.51</v>
      </c>
      <c r="Q1002" t="s">
        <v>34</v>
      </c>
    </row>
    <row r="1003" spans="1:17" x14ac:dyDescent="0.2">
      <c r="A1003" t="s">
        <v>1168</v>
      </c>
      <c r="B1003" s="1">
        <v>45774</v>
      </c>
      <c r="C1003" t="s">
        <v>43</v>
      </c>
      <c r="D1003" t="s">
        <v>44</v>
      </c>
      <c r="E1003" t="s">
        <v>147</v>
      </c>
      <c r="F1003" t="s">
        <v>30</v>
      </c>
      <c r="G1003" t="s">
        <v>22</v>
      </c>
      <c r="H1003" t="s">
        <v>23</v>
      </c>
      <c r="I1003" t="s">
        <v>55</v>
      </c>
      <c r="J1003" t="s">
        <v>173</v>
      </c>
      <c r="K1003">
        <v>6</v>
      </c>
      <c r="L1003" s="2">
        <v>12.81</v>
      </c>
      <c r="M1003" s="3">
        <v>0.1</v>
      </c>
      <c r="N1003" s="2">
        <v>69.17</v>
      </c>
      <c r="O1003" s="2">
        <v>55.75</v>
      </c>
      <c r="P1003" s="2">
        <v>13.42</v>
      </c>
      <c r="Q1003" t="s">
        <v>34</v>
      </c>
    </row>
    <row r="1004" spans="1:17" x14ac:dyDescent="0.2">
      <c r="A1004" t="s">
        <v>1169</v>
      </c>
      <c r="B1004" s="1">
        <v>45774</v>
      </c>
      <c r="C1004" t="s">
        <v>36</v>
      </c>
      <c r="D1004" t="s">
        <v>110</v>
      </c>
      <c r="E1004" t="s">
        <v>111</v>
      </c>
      <c r="F1004" t="s">
        <v>30</v>
      </c>
      <c r="G1004" t="s">
        <v>54</v>
      </c>
      <c r="H1004" t="s">
        <v>31</v>
      </c>
      <c r="I1004" t="s">
        <v>32</v>
      </c>
      <c r="J1004" t="s">
        <v>104</v>
      </c>
      <c r="K1004">
        <v>8</v>
      </c>
      <c r="L1004" s="2">
        <v>1680.55</v>
      </c>
      <c r="M1004" s="3">
        <v>0.1</v>
      </c>
      <c r="N1004" s="2">
        <v>12099.96</v>
      </c>
      <c r="O1004" s="2">
        <v>9452.14</v>
      </c>
      <c r="P1004" s="2">
        <v>2647.82</v>
      </c>
      <c r="Q1004" t="s">
        <v>61</v>
      </c>
    </row>
    <row r="1005" spans="1:17" x14ac:dyDescent="0.2">
      <c r="A1005" t="s">
        <v>1170</v>
      </c>
      <c r="B1005" s="1">
        <v>45774</v>
      </c>
      <c r="C1005" t="s">
        <v>18</v>
      </c>
      <c r="D1005" t="s">
        <v>133</v>
      </c>
      <c r="E1005" t="s">
        <v>134</v>
      </c>
      <c r="F1005" t="s">
        <v>53</v>
      </c>
      <c r="G1005" t="s">
        <v>54</v>
      </c>
      <c r="H1005" t="s">
        <v>47</v>
      </c>
      <c r="I1005" t="s">
        <v>48</v>
      </c>
      <c r="J1005" t="s">
        <v>164</v>
      </c>
      <c r="K1005">
        <v>10</v>
      </c>
      <c r="L1005" s="2">
        <v>494.17</v>
      </c>
      <c r="M1005" s="3">
        <v>0</v>
      </c>
      <c r="N1005" s="2">
        <v>4941.7</v>
      </c>
      <c r="O1005" s="2">
        <v>3091.73</v>
      </c>
      <c r="P1005" s="2">
        <v>1849.97</v>
      </c>
      <c r="Q1005" t="s">
        <v>26</v>
      </c>
    </row>
    <row r="1006" spans="1:17" x14ac:dyDescent="0.2">
      <c r="A1006" t="s">
        <v>1171</v>
      </c>
      <c r="B1006" s="1">
        <v>45774</v>
      </c>
      <c r="C1006" t="s">
        <v>18</v>
      </c>
      <c r="D1006" t="s">
        <v>133</v>
      </c>
      <c r="E1006" t="s">
        <v>197</v>
      </c>
      <c r="F1006" t="s">
        <v>39</v>
      </c>
      <c r="G1006" t="s">
        <v>22</v>
      </c>
      <c r="H1006" t="s">
        <v>47</v>
      </c>
      <c r="I1006" t="s">
        <v>89</v>
      </c>
      <c r="J1006" t="s">
        <v>240</v>
      </c>
      <c r="K1006">
        <v>7</v>
      </c>
      <c r="L1006" s="2">
        <v>465.33</v>
      </c>
      <c r="M1006" s="3">
        <v>0.1</v>
      </c>
      <c r="N1006" s="2">
        <v>2931.58</v>
      </c>
      <c r="O1006" s="2">
        <v>1854.77</v>
      </c>
      <c r="P1006" s="2">
        <v>1076.81</v>
      </c>
      <c r="Q1006" t="s">
        <v>34</v>
      </c>
    </row>
    <row r="1007" spans="1:17" x14ac:dyDescent="0.2">
      <c r="A1007" t="s">
        <v>1172</v>
      </c>
      <c r="B1007" s="1">
        <v>45775</v>
      </c>
      <c r="C1007" t="s">
        <v>43</v>
      </c>
      <c r="D1007" t="s">
        <v>44</v>
      </c>
      <c r="E1007" t="s">
        <v>45</v>
      </c>
      <c r="F1007" t="s">
        <v>39</v>
      </c>
      <c r="G1007" t="s">
        <v>22</v>
      </c>
      <c r="H1007" t="s">
        <v>31</v>
      </c>
      <c r="I1007" t="s">
        <v>64</v>
      </c>
      <c r="J1007" t="s">
        <v>126</v>
      </c>
      <c r="K1007">
        <v>5</v>
      </c>
      <c r="L1007" s="2">
        <v>76.2</v>
      </c>
      <c r="M1007" s="3">
        <v>0.05</v>
      </c>
      <c r="N1007" s="2">
        <v>361.95</v>
      </c>
      <c r="O1007" s="2">
        <v>232.59</v>
      </c>
      <c r="P1007" s="2">
        <v>129.36000000000001</v>
      </c>
      <c r="Q1007" t="s">
        <v>34</v>
      </c>
    </row>
    <row r="1008" spans="1:17" x14ac:dyDescent="0.2">
      <c r="A1008" t="s">
        <v>1173</v>
      </c>
      <c r="B1008" s="1">
        <v>45775</v>
      </c>
      <c r="C1008" t="s">
        <v>43</v>
      </c>
      <c r="D1008" t="s">
        <v>161</v>
      </c>
      <c r="E1008" t="s">
        <v>162</v>
      </c>
      <c r="F1008" t="s">
        <v>39</v>
      </c>
      <c r="G1008" t="s">
        <v>75</v>
      </c>
      <c r="H1008" t="s">
        <v>23</v>
      </c>
      <c r="I1008" t="s">
        <v>55</v>
      </c>
      <c r="J1008" t="s">
        <v>56</v>
      </c>
      <c r="K1008">
        <v>6</v>
      </c>
      <c r="L1008" s="2">
        <v>23.06</v>
      </c>
      <c r="M1008" s="3">
        <v>0.15</v>
      </c>
      <c r="N1008" s="2">
        <v>117.61</v>
      </c>
      <c r="O1008" s="2">
        <v>90.07</v>
      </c>
      <c r="P1008" s="2">
        <v>27.54</v>
      </c>
      <c r="Q1008" t="s">
        <v>61</v>
      </c>
    </row>
    <row r="1009" spans="1:17" x14ac:dyDescent="0.2">
      <c r="A1009" t="s">
        <v>1174</v>
      </c>
      <c r="B1009" s="1">
        <v>45775</v>
      </c>
      <c r="C1009" t="s">
        <v>18</v>
      </c>
      <c r="D1009" t="s">
        <v>133</v>
      </c>
      <c r="E1009" t="s">
        <v>134</v>
      </c>
      <c r="F1009" t="s">
        <v>71</v>
      </c>
      <c r="G1009" t="s">
        <v>54</v>
      </c>
      <c r="H1009" t="s">
        <v>31</v>
      </c>
      <c r="I1009" t="s">
        <v>40</v>
      </c>
      <c r="J1009" t="s">
        <v>41</v>
      </c>
      <c r="K1009">
        <v>10</v>
      </c>
      <c r="L1009" s="2">
        <v>122.58</v>
      </c>
      <c r="M1009" s="3">
        <v>0.15</v>
      </c>
      <c r="N1009" s="2">
        <v>1041.93</v>
      </c>
      <c r="O1009" s="2">
        <v>627.17999999999995</v>
      </c>
      <c r="P1009" s="2">
        <v>414.75</v>
      </c>
      <c r="Q1009" t="s">
        <v>61</v>
      </c>
    </row>
    <row r="1010" spans="1:17" x14ac:dyDescent="0.2">
      <c r="A1010" t="s">
        <v>1175</v>
      </c>
      <c r="B1010" s="1">
        <v>45775</v>
      </c>
      <c r="C1010" t="s">
        <v>77</v>
      </c>
      <c r="D1010" t="s">
        <v>128</v>
      </c>
      <c r="E1010" t="s">
        <v>155</v>
      </c>
      <c r="F1010" t="s">
        <v>60</v>
      </c>
      <c r="G1010" t="s">
        <v>22</v>
      </c>
      <c r="H1010" t="s">
        <v>47</v>
      </c>
      <c r="I1010" t="s">
        <v>141</v>
      </c>
      <c r="J1010" t="s">
        <v>201</v>
      </c>
      <c r="K1010">
        <v>9</v>
      </c>
      <c r="L1010" s="2">
        <v>220.32</v>
      </c>
      <c r="M1010" s="3">
        <v>0.1</v>
      </c>
      <c r="N1010" s="2">
        <v>1784.59</v>
      </c>
      <c r="O1010" s="2">
        <v>1250.99</v>
      </c>
      <c r="P1010" s="2">
        <v>533.6</v>
      </c>
      <c r="Q1010" t="s">
        <v>34</v>
      </c>
    </row>
    <row r="1011" spans="1:17" x14ac:dyDescent="0.2">
      <c r="A1011" t="s">
        <v>1176</v>
      </c>
      <c r="B1011" s="1">
        <v>45775</v>
      </c>
      <c r="C1011" t="s">
        <v>18</v>
      </c>
      <c r="D1011" t="s">
        <v>28</v>
      </c>
      <c r="E1011" t="s">
        <v>170</v>
      </c>
      <c r="F1011" t="s">
        <v>69</v>
      </c>
      <c r="G1011" t="s">
        <v>22</v>
      </c>
      <c r="H1011" t="s">
        <v>31</v>
      </c>
      <c r="I1011" t="s">
        <v>112</v>
      </c>
      <c r="J1011" t="s">
        <v>113</v>
      </c>
      <c r="K1011">
        <v>2</v>
      </c>
      <c r="L1011" s="2">
        <v>423.35</v>
      </c>
      <c r="M1011" s="3">
        <v>0</v>
      </c>
      <c r="N1011" s="2">
        <v>846.7</v>
      </c>
      <c r="O1011" s="2">
        <v>506.72</v>
      </c>
      <c r="P1011" s="2">
        <v>339.98</v>
      </c>
      <c r="Q1011" t="s">
        <v>61</v>
      </c>
    </row>
    <row r="1012" spans="1:17" x14ac:dyDescent="0.2">
      <c r="A1012" t="s">
        <v>1177</v>
      </c>
      <c r="B1012" s="1">
        <v>45775</v>
      </c>
      <c r="C1012" t="s">
        <v>77</v>
      </c>
      <c r="D1012" t="s">
        <v>78</v>
      </c>
      <c r="E1012" t="s">
        <v>261</v>
      </c>
      <c r="F1012" t="s">
        <v>69</v>
      </c>
      <c r="G1012" t="s">
        <v>22</v>
      </c>
      <c r="H1012" t="s">
        <v>47</v>
      </c>
      <c r="I1012" t="s">
        <v>97</v>
      </c>
      <c r="J1012" t="s">
        <v>168</v>
      </c>
      <c r="K1012">
        <v>1</v>
      </c>
      <c r="L1012" s="2">
        <v>109.13</v>
      </c>
      <c r="M1012" s="3">
        <v>0</v>
      </c>
      <c r="N1012" s="2">
        <v>109.13</v>
      </c>
      <c r="O1012" s="2">
        <v>84.62</v>
      </c>
      <c r="P1012" s="2">
        <v>24.51</v>
      </c>
      <c r="Q1012" t="s">
        <v>26</v>
      </c>
    </row>
    <row r="1013" spans="1:17" x14ac:dyDescent="0.2">
      <c r="A1013" t="s">
        <v>1178</v>
      </c>
      <c r="B1013" s="1">
        <v>45775</v>
      </c>
      <c r="C1013" t="s">
        <v>77</v>
      </c>
      <c r="D1013" t="s">
        <v>128</v>
      </c>
      <c r="E1013" t="s">
        <v>155</v>
      </c>
      <c r="F1013" t="s">
        <v>138</v>
      </c>
      <c r="G1013" t="s">
        <v>75</v>
      </c>
      <c r="H1013" t="s">
        <v>23</v>
      </c>
      <c r="I1013" t="s">
        <v>24</v>
      </c>
      <c r="J1013" t="s">
        <v>220</v>
      </c>
      <c r="K1013">
        <v>6</v>
      </c>
      <c r="L1013" s="2">
        <v>23.71</v>
      </c>
      <c r="M1013" s="3">
        <v>0</v>
      </c>
      <c r="N1013" s="2">
        <v>142.26</v>
      </c>
      <c r="O1013" s="2">
        <v>79.55</v>
      </c>
      <c r="P1013" s="2">
        <v>62.71</v>
      </c>
      <c r="Q1013" t="s">
        <v>34</v>
      </c>
    </row>
    <row r="1014" spans="1:17" x14ac:dyDescent="0.2">
      <c r="A1014" t="s">
        <v>1179</v>
      </c>
      <c r="B1014" s="1">
        <v>45775</v>
      </c>
      <c r="C1014" t="s">
        <v>77</v>
      </c>
      <c r="D1014" t="s">
        <v>149</v>
      </c>
      <c r="E1014" t="s">
        <v>150</v>
      </c>
      <c r="F1014" t="s">
        <v>60</v>
      </c>
      <c r="G1014" t="s">
        <v>75</v>
      </c>
      <c r="H1014" t="s">
        <v>47</v>
      </c>
      <c r="I1014" t="s">
        <v>141</v>
      </c>
      <c r="J1014" t="s">
        <v>142</v>
      </c>
      <c r="K1014">
        <v>3</v>
      </c>
      <c r="L1014" s="2">
        <v>502.83</v>
      </c>
      <c r="M1014" s="3">
        <v>0.15</v>
      </c>
      <c r="N1014" s="2">
        <v>1282.22</v>
      </c>
      <c r="O1014" s="2">
        <v>843.31</v>
      </c>
      <c r="P1014" s="2">
        <v>438.91</v>
      </c>
      <c r="Q1014" t="s">
        <v>57</v>
      </c>
    </row>
    <row r="1015" spans="1:17" x14ac:dyDescent="0.2">
      <c r="A1015" t="s">
        <v>1180</v>
      </c>
      <c r="B1015" s="1">
        <v>45776</v>
      </c>
      <c r="C1015" t="s">
        <v>43</v>
      </c>
      <c r="D1015" t="s">
        <v>244</v>
      </c>
      <c r="E1015" t="s">
        <v>326</v>
      </c>
      <c r="F1015" t="s">
        <v>71</v>
      </c>
      <c r="G1015" t="s">
        <v>22</v>
      </c>
      <c r="H1015" t="s">
        <v>31</v>
      </c>
      <c r="I1015" t="s">
        <v>64</v>
      </c>
      <c r="J1015" t="s">
        <v>126</v>
      </c>
      <c r="K1015">
        <v>9</v>
      </c>
      <c r="L1015" s="2">
        <v>39.49</v>
      </c>
      <c r="M1015" s="3">
        <v>0.1</v>
      </c>
      <c r="N1015" s="2">
        <v>319.87</v>
      </c>
      <c r="O1015" s="2">
        <v>183.14</v>
      </c>
      <c r="P1015" s="2">
        <v>136.72999999999999</v>
      </c>
      <c r="Q1015" t="s">
        <v>61</v>
      </c>
    </row>
    <row r="1016" spans="1:17" x14ac:dyDescent="0.2">
      <c r="A1016" t="s">
        <v>1181</v>
      </c>
      <c r="B1016" s="1">
        <v>45776</v>
      </c>
      <c r="C1016" t="s">
        <v>77</v>
      </c>
      <c r="D1016" t="s">
        <v>149</v>
      </c>
      <c r="E1016" t="s">
        <v>206</v>
      </c>
      <c r="F1016" t="s">
        <v>53</v>
      </c>
      <c r="G1016" t="s">
        <v>54</v>
      </c>
      <c r="H1016" t="s">
        <v>23</v>
      </c>
      <c r="I1016" t="s">
        <v>79</v>
      </c>
      <c r="J1016" t="s">
        <v>179</v>
      </c>
      <c r="K1016">
        <v>2</v>
      </c>
      <c r="L1016" s="2">
        <v>300.33999999999997</v>
      </c>
      <c r="M1016" s="3">
        <v>0.1</v>
      </c>
      <c r="N1016" s="2">
        <v>540.61</v>
      </c>
      <c r="O1016" s="2">
        <v>305.86</v>
      </c>
      <c r="P1016" s="2">
        <v>234.75</v>
      </c>
      <c r="Q1016" t="s">
        <v>26</v>
      </c>
    </row>
    <row r="1017" spans="1:17" x14ac:dyDescent="0.2">
      <c r="A1017" t="s">
        <v>1182</v>
      </c>
      <c r="B1017" s="1">
        <v>45776</v>
      </c>
      <c r="C1017" t="s">
        <v>43</v>
      </c>
      <c r="D1017" t="s">
        <v>208</v>
      </c>
      <c r="E1017" t="s">
        <v>287</v>
      </c>
      <c r="F1017" t="s">
        <v>30</v>
      </c>
      <c r="G1017" t="s">
        <v>22</v>
      </c>
      <c r="H1017" t="s">
        <v>31</v>
      </c>
      <c r="I1017" t="s">
        <v>112</v>
      </c>
      <c r="J1017" t="s">
        <v>136</v>
      </c>
      <c r="K1017">
        <v>2</v>
      </c>
      <c r="L1017" s="2">
        <v>368.71</v>
      </c>
      <c r="M1017" s="3">
        <v>0</v>
      </c>
      <c r="N1017" s="2">
        <v>737.42</v>
      </c>
      <c r="O1017" s="2">
        <v>471.97</v>
      </c>
      <c r="P1017" s="2">
        <v>265.45</v>
      </c>
      <c r="Q1017" t="s">
        <v>61</v>
      </c>
    </row>
    <row r="1018" spans="1:17" x14ac:dyDescent="0.2">
      <c r="A1018" t="s">
        <v>1183</v>
      </c>
      <c r="B1018" s="1">
        <v>45776</v>
      </c>
      <c r="C1018" t="s">
        <v>77</v>
      </c>
      <c r="D1018" t="s">
        <v>78</v>
      </c>
      <c r="E1018" t="s">
        <v>295</v>
      </c>
      <c r="F1018" t="s">
        <v>53</v>
      </c>
      <c r="G1018" t="s">
        <v>75</v>
      </c>
      <c r="H1018" t="s">
        <v>47</v>
      </c>
      <c r="I1018" t="s">
        <v>97</v>
      </c>
      <c r="J1018" t="s">
        <v>116</v>
      </c>
      <c r="K1018">
        <v>4</v>
      </c>
      <c r="L1018" s="2">
        <v>338.54</v>
      </c>
      <c r="M1018" s="3">
        <v>0</v>
      </c>
      <c r="N1018" s="2">
        <v>1354.16</v>
      </c>
      <c r="O1018" s="2">
        <v>814.89</v>
      </c>
      <c r="P1018" s="2">
        <v>539.27</v>
      </c>
      <c r="Q1018" t="s">
        <v>34</v>
      </c>
    </row>
    <row r="1019" spans="1:17" x14ac:dyDescent="0.2">
      <c r="A1019" t="s">
        <v>1184</v>
      </c>
      <c r="B1019" s="1">
        <v>45776</v>
      </c>
      <c r="C1019" t="s">
        <v>77</v>
      </c>
      <c r="D1019" t="s">
        <v>106</v>
      </c>
      <c r="E1019" t="s">
        <v>107</v>
      </c>
      <c r="F1019" t="s">
        <v>53</v>
      </c>
      <c r="G1019" t="s">
        <v>22</v>
      </c>
      <c r="H1019" t="s">
        <v>31</v>
      </c>
      <c r="I1019" t="s">
        <v>32</v>
      </c>
      <c r="J1019" t="s">
        <v>104</v>
      </c>
      <c r="K1019">
        <v>10</v>
      </c>
      <c r="L1019" s="2">
        <v>1594.39</v>
      </c>
      <c r="M1019" s="3">
        <v>0.15</v>
      </c>
      <c r="N1019" s="2">
        <v>13552.32</v>
      </c>
      <c r="O1019" s="2">
        <v>9142.6200000000008</v>
      </c>
      <c r="P1019" s="2">
        <v>4409.7</v>
      </c>
      <c r="Q1019" t="s">
        <v>61</v>
      </c>
    </row>
    <row r="1020" spans="1:17" x14ac:dyDescent="0.2">
      <c r="A1020" t="s">
        <v>1185</v>
      </c>
      <c r="B1020" s="1">
        <v>45776</v>
      </c>
      <c r="C1020" t="s">
        <v>43</v>
      </c>
      <c r="D1020" t="s">
        <v>208</v>
      </c>
      <c r="E1020" t="s">
        <v>230</v>
      </c>
      <c r="F1020" t="s">
        <v>69</v>
      </c>
      <c r="G1020" t="s">
        <v>75</v>
      </c>
      <c r="H1020" t="s">
        <v>23</v>
      </c>
      <c r="I1020" t="s">
        <v>55</v>
      </c>
      <c r="J1020" t="s">
        <v>56</v>
      </c>
      <c r="K1020">
        <v>9</v>
      </c>
      <c r="L1020" s="2">
        <v>9.08</v>
      </c>
      <c r="M1020" s="3">
        <v>0.05</v>
      </c>
      <c r="N1020" s="2">
        <v>77.63</v>
      </c>
      <c r="O1020" s="2">
        <v>56.74</v>
      </c>
      <c r="P1020" s="2">
        <v>20.89</v>
      </c>
      <c r="Q1020" t="s">
        <v>57</v>
      </c>
    </row>
    <row r="1021" spans="1:17" x14ac:dyDescent="0.2">
      <c r="A1021" t="s">
        <v>1186</v>
      </c>
      <c r="B1021" s="1">
        <v>45776</v>
      </c>
      <c r="C1021" t="s">
        <v>77</v>
      </c>
      <c r="D1021" t="s">
        <v>149</v>
      </c>
      <c r="E1021" t="s">
        <v>309</v>
      </c>
      <c r="F1021" t="s">
        <v>30</v>
      </c>
      <c r="G1021" t="s">
        <v>22</v>
      </c>
      <c r="H1021" t="s">
        <v>47</v>
      </c>
      <c r="I1021" t="s">
        <v>97</v>
      </c>
      <c r="J1021" t="s">
        <v>116</v>
      </c>
      <c r="K1021">
        <v>8</v>
      </c>
      <c r="L1021" s="2">
        <v>649.88</v>
      </c>
      <c r="M1021" s="3">
        <v>0.15</v>
      </c>
      <c r="N1021" s="2">
        <v>4419.18</v>
      </c>
      <c r="O1021" s="2">
        <v>3140.09</v>
      </c>
      <c r="P1021" s="2">
        <v>1279.0899999999999</v>
      </c>
      <c r="Q1021" t="s">
        <v>61</v>
      </c>
    </row>
    <row r="1022" spans="1:17" x14ac:dyDescent="0.2">
      <c r="A1022" t="s">
        <v>1187</v>
      </c>
      <c r="B1022" s="1">
        <v>45777</v>
      </c>
      <c r="C1022" t="s">
        <v>43</v>
      </c>
      <c r="D1022" t="s">
        <v>44</v>
      </c>
      <c r="E1022" t="s">
        <v>147</v>
      </c>
      <c r="F1022" t="s">
        <v>60</v>
      </c>
      <c r="G1022" t="s">
        <v>22</v>
      </c>
      <c r="H1022" t="s">
        <v>47</v>
      </c>
      <c r="I1022" t="s">
        <v>141</v>
      </c>
      <c r="J1022" t="s">
        <v>201</v>
      </c>
      <c r="K1022">
        <v>7</v>
      </c>
      <c r="L1022" s="2">
        <v>491</v>
      </c>
      <c r="M1022" s="3">
        <v>0.1</v>
      </c>
      <c r="N1022" s="2">
        <v>3093.3</v>
      </c>
      <c r="O1022" s="2">
        <v>1807.04</v>
      </c>
      <c r="P1022" s="2">
        <v>1286.26</v>
      </c>
      <c r="Q1022" t="s">
        <v>61</v>
      </c>
    </row>
    <row r="1023" spans="1:17" x14ac:dyDescent="0.2">
      <c r="A1023" t="s">
        <v>1188</v>
      </c>
      <c r="B1023" s="1">
        <v>45777</v>
      </c>
      <c r="C1023" t="s">
        <v>43</v>
      </c>
      <c r="D1023" t="s">
        <v>244</v>
      </c>
      <c r="E1023" t="s">
        <v>300</v>
      </c>
      <c r="F1023" t="s">
        <v>21</v>
      </c>
      <c r="G1023" t="s">
        <v>54</v>
      </c>
      <c r="H1023" t="s">
        <v>31</v>
      </c>
      <c r="I1023" t="s">
        <v>64</v>
      </c>
      <c r="J1023" t="s">
        <v>65</v>
      </c>
      <c r="K1023">
        <v>1</v>
      </c>
      <c r="L1023" s="2">
        <v>147.62</v>
      </c>
      <c r="M1023" s="3">
        <v>0</v>
      </c>
      <c r="N1023" s="2">
        <v>147.62</v>
      </c>
      <c r="O1023" s="2">
        <v>103.21</v>
      </c>
      <c r="P1023" s="2">
        <v>44.41</v>
      </c>
      <c r="Q1023" t="s">
        <v>26</v>
      </c>
    </row>
    <row r="1024" spans="1:17" x14ac:dyDescent="0.2">
      <c r="A1024" t="s">
        <v>1189</v>
      </c>
      <c r="B1024" s="1">
        <v>45777</v>
      </c>
      <c r="C1024" t="s">
        <v>77</v>
      </c>
      <c r="D1024" t="s">
        <v>95</v>
      </c>
      <c r="E1024" t="s">
        <v>300</v>
      </c>
      <c r="F1024" t="s">
        <v>39</v>
      </c>
      <c r="G1024" t="s">
        <v>54</v>
      </c>
      <c r="H1024" t="s">
        <v>31</v>
      </c>
      <c r="I1024" t="s">
        <v>112</v>
      </c>
      <c r="J1024" t="s">
        <v>176</v>
      </c>
      <c r="K1024">
        <v>4</v>
      </c>
      <c r="L1024" s="2">
        <v>617.38</v>
      </c>
      <c r="M1024" s="3">
        <v>0.05</v>
      </c>
      <c r="N1024" s="2">
        <v>2346.04</v>
      </c>
      <c r="O1024" s="2">
        <v>1516.64</v>
      </c>
      <c r="P1024" s="2">
        <v>829.4</v>
      </c>
      <c r="Q1024" t="s">
        <v>26</v>
      </c>
    </row>
    <row r="1025" spans="1:17" x14ac:dyDescent="0.2">
      <c r="A1025" t="s">
        <v>1190</v>
      </c>
      <c r="B1025" s="1">
        <v>45777</v>
      </c>
      <c r="C1025" t="s">
        <v>43</v>
      </c>
      <c r="D1025" t="s">
        <v>51</v>
      </c>
      <c r="E1025" t="s">
        <v>52</v>
      </c>
      <c r="F1025" t="s">
        <v>138</v>
      </c>
      <c r="G1025" t="s">
        <v>75</v>
      </c>
      <c r="H1025" t="s">
        <v>47</v>
      </c>
      <c r="I1025" t="s">
        <v>48</v>
      </c>
      <c r="J1025" t="s">
        <v>49</v>
      </c>
      <c r="K1025">
        <v>2</v>
      </c>
      <c r="L1025" s="2">
        <v>250.35</v>
      </c>
      <c r="M1025" s="3">
        <v>0.05</v>
      </c>
      <c r="N1025" s="2">
        <v>475.66</v>
      </c>
      <c r="O1025" s="2">
        <v>297.85000000000002</v>
      </c>
      <c r="P1025" s="2">
        <v>177.81</v>
      </c>
      <c r="Q1025" t="s">
        <v>61</v>
      </c>
    </row>
    <row r="1026" spans="1:17" x14ac:dyDescent="0.2">
      <c r="A1026" t="s">
        <v>1191</v>
      </c>
      <c r="B1026" s="1">
        <v>45777</v>
      </c>
      <c r="C1026" t="s">
        <v>18</v>
      </c>
      <c r="D1026" t="s">
        <v>86</v>
      </c>
      <c r="E1026" t="s">
        <v>140</v>
      </c>
      <c r="F1026" t="s">
        <v>69</v>
      </c>
      <c r="G1026" t="s">
        <v>54</v>
      </c>
      <c r="H1026" t="s">
        <v>31</v>
      </c>
      <c r="I1026" t="s">
        <v>32</v>
      </c>
      <c r="J1026" t="s">
        <v>33</v>
      </c>
      <c r="K1026">
        <v>6</v>
      </c>
      <c r="L1026" s="2">
        <v>1365.29</v>
      </c>
      <c r="M1026" s="3">
        <v>0.2</v>
      </c>
      <c r="N1026" s="2">
        <v>6553.39</v>
      </c>
      <c r="O1026" s="2">
        <v>4545.95</v>
      </c>
      <c r="P1026" s="2">
        <v>2007.44</v>
      </c>
      <c r="Q1026" t="s">
        <v>57</v>
      </c>
    </row>
    <row r="1027" spans="1:17" x14ac:dyDescent="0.2">
      <c r="A1027" t="s">
        <v>1192</v>
      </c>
      <c r="B1027" s="1">
        <v>45777</v>
      </c>
      <c r="C1027" t="s">
        <v>36</v>
      </c>
      <c r="D1027" t="s">
        <v>73</v>
      </c>
      <c r="E1027" t="s">
        <v>212</v>
      </c>
      <c r="F1027" t="s">
        <v>60</v>
      </c>
      <c r="G1027" t="s">
        <v>75</v>
      </c>
      <c r="H1027" t="s">
        <v>23</v>
      </c>
      <c r="I1027" t="s">
        <v>24</v>
      </c>
      <c r="J1027" t="s">
        <v>220</v>
      </c>
      <c r="K1027">
        <v>6</v>
      </c>
      <c r="L1027" s="2">
        <v>5.17</v>
      </c>
      <c r="M1027" s="3">
        <v>0.1</v>
      </c>
      <c r="N1027" s="2">
        <v>27.92</v>
      </c>
      <c r="O1027" s="2">
        <v>16.14</v>
      </c>
      <c r="P1027" s="2">
        <v>11.78</v>
      </c>
      <c r="Q1027" t="s">
        <v>34</v>
      </c>
    </row>
    <row r="1028" spans="1:17" x14ac:dyDescent="0.2">
      <c r="A1028" t="s">
        <v>1193</v>
      </c>
      <c r="B1028" s="1">
        <v>45777</v>
      </c>
      <c r="C1028" t="s">
        <v>36</v>
      </c>
      <c r="D1028" t="s">
        <v>144</v>
      </c>
      <c r="E1028" t="s">
        <v>232</v>
      </c>
      <c r="F1028" t="s">
        <v>130</v>
      </c>
      <c r="G1028" t="s">
        <v>22</v>
      </c>
      <c r="H1028" t="s">
        <v>23</v>
      </c>
      <c r="I1028" t="s">
        <v>24</v>
      </c>
      <c r="J1028" t="s">
        <v>25</v>
      </c>
      <c r="K1028">
        <v>10</v>
      </c>
      <c r="L1028" s="2">
        <v>25.67</v>
      </c>
      <c r="M1028" s="3">
        <v>0.15</v>
      </c>
      <c r="N1028" s="2">
        <v>218.2</v>
      </c>
      <c r="O1028" s="2">
        <v>130.03</v>
      </c>
      <c r="P1028" s="2">
        <v>88.17</v>
      </c>
      <c r="Q1028" t="s">
        <v>61</v>
      </c>
    </row>
    <row r="1029" spans="1:17" x14ac:dyDescent="0.2">
      <c r="A1029" t="s">
        <v>1194</v>
      </c>
      <c r="B1029" s="1">
        <v>45777</v>
      </c>
      <c r="C1029" t="s">
        <v>18</v>
      </c>
      <c r="D1029" t="s">
        <v>86</v>
      </c>
      <c r="E1029" t="s">
        <v>92</v>
      </c>
      <c r="F1029" t="s">
        <v>60</v>
      </c>
      <c r="G1029" t="s">
        <v>75</v>
      </c>
      <c r="H1029" t="s">
        <v>23</v>
      </c>
      <c r="I1029" t="s">
        <v>79</v>
      </c>
      <c r="J1029" t="s">
        <v>80</v>
      </c>
      <c r="K1029">
        <v>3</v>
      </c>
      <c r="L1029" s="2">
        <v>494.03</v>
      </c>
      <c r="M1029" s="3">
        <v>0.05</v>
      </c>
      <c r="N1029" s="2">
        <v>1407.99</v>
      </c>
      <c r="O1029" s="2">
        <v>959.43</v>
      </c>
      <c r="P1029" s="2">
        <v>448.56</v>
      </c>
      <c r="Q1029" t="s">
        <v>57</v>
      </c>
    </row>
    <row r="1030" spans="1:17" x14ac:dyDescent="0.2">
      <c r="A1030" t="s">
        <v>1195</v>
      </c>
      <c r="B1030" s="1">
        <v>45777</v>
      </c>
      <c r="C1030" t="s">
        <v>43</v>
      </c>
      <c r="D1030" t="s">
        <v>244</v>
      </c>
      <c r="E1030" t="s">
        <v>326</v>
      </c>
      <c r="F1030" t="s">
        <v>46</v>
      </c>
      <c r="G1030" t="s">
        <v>54</v>
      </c>
      <c r="H1030" t="s">
        <v>23</v>
      </c>
      <c r="I1030" t="s">
        <v>55</v>
      </c>
      <c r="J1030" t="s">
        <v>102</v>
      </c>
      <c r="K1030">
        <v>8</v>
      </c>
      <c r="L1030" s="2">
        <v>10.210000000000001</v>
      </c>
      <c r="M1030" s="3">
        <v>0</v>
      </c>
      <c r="N1030" s="2">
        <v>81.680000000000007</v>
      </c>
      <c r="O1030" s="2">
        <v>57.81</v>
      </c>
      <c r="P1030" s="2">
        <v>23.87</v>
      </c>
      <c r="Q1030" t="s">
        <v>57</v>
      </c>
    </row>
    <row r="1031" spans="1:17" x14ac:dyDescent="0.2">
      <c r="A1031" t="s">
        <v>1196</v>
      </c>
      <c r="B1031" s="1">
        <v>45777</v>
      </c>
      <c r="C1031" t="s">
        <v>43</v>
      </c>
      <c r="D1031" t="s">
        <v>208</v>
      </c>
      <c r="E1031" t="s">
        <v>287</v>
      </c>
      <c r="F1031" t="s">
        <v>39</v>
      </c>
      <c r="G1031" t="s">
        <v>75</v>
      </c>
      <c r="H1031" t="s">
        <v>23</v>
      </c>
      <c r="I1031" t="s">
        <v>79</v>
      </c>
      <c r="J1031" t="s">
        <v>233</v>
      </c>
      <c r="K1031">
        <v>5</v>
      </c>
      <c r="L1031" s="2">
        <v>596.92999999999995</v>
      </c>
      <c r="M1031" s="3">
        <v>0.1</v>
      </c>
      <c r="N1031" s="2">
        <v>2686.18</v>
      </c>
      <c r="O1031" s="2">
        <v>1973.06</v>
      </c>
      <c r="P1031" s="2">
        <v>713.12</v>
      </c>
      <c r="Q1031" t="s">
        <v>34</v>
      </c>
    </row>
    <row r="1032" spans="1:17" x14ac:dyDescent="0.2">
      <c r="A1032" t="s">
        <v>1197</v>
      </c>
      <c r="B1032" s="1">
        <v>45778</v>
      </c>
      <c r="C1032" t="s">
        <v>43</v>
      </c>
      <c r="D1032" t="s">
        <v>51</v>
      </c>
      <c r="E1032" t="s">
        <v>52</v>
      </c>
      <c r="F1032" t="s">
        <v>130</v>
      </c>
      <c r="G1032" t="s">
        <v>75</v>
      </c>
      <c r="H1032" t="s">
        <v>31</v>
      </c>
      <c r="I1032" t="s">
        <v>32</v>
      </c>
      <c r="J1032" t="s">
        <v>258</v>
      </c>
      <c r="K1032">
        <v>1</v>
      </c>
      <c r="L1032" s="2">
        <v>1699.15</v>
      </c>
      <c r="M1032" s="3">
        <v>0.15</v>
      </c>
      <c r="N1032" s="2">
        <v>1444.28</v>
      </c>
      <c r="O1032" s="2">
        <v>1183.6199999999999</v>
      </c>
      <c r="P1032" s="2">
        <v>260.66000000000003</v>
      </c>
      <c r="Q1032" t="s">
        <v>61</v>
      </c>
    </row>
    <row r="1033" spans="1:17" x14ac:dyDescent="0.2">
      <c r="A1033" t="s">
        <v>1198</v>
      </c>
      <c r="B1033" s="1">
        <v>45778</v>
      </c>
      <c r="C1033" t="s">
        <v>43</v>
      </c>
      <c r="D1033" t="s">
        <v>208</v>
      </c>
      <c r="E1033" t="s">
        <v>230</v>
      </c>
      <c r="F1033" t="s">
        <v>71</v>
      </c>
      <c r="G1033" t="s">
        <v>22</v>
      </c>
      <c r="H1033" t="s">
        <v>47</v>
      </c>
      <c r="I1033" t="s">
        <v>48</v>
      </c>
      <c r="J1033" t="s">
        <v>93</v>
      </c>
      <c r="K1033">
        <v>4</v>
      </c>
      <c r="L1033" s="2">
        <v>633.75</v>
      </c>
      <c r="M1033" s="3">
        <v>0.05</v>
      </c>
      <c r="N1033" s="2">
        <v>2408.25</v>
      </c>
      <c r="O1033" s="2">
        <v>1685.39</v>
      </c>
      <c r="P1033" s="2">
        <v>722.86</v>
      </c>
      <c r="Q1033" t="s">
        <v>57</v>
      </c>
    </row>
    <row r="1034" spans="1:17" x14ac:dyDescent="0.2">
      <c r="A1034" t="s">
        <v>1199</v>
      </c>
      <c r="B1034" s="1">
        <v>45778</v>
      </c>
      <c r="C1034" t="s">
        <v>43</v>
      </c>
      <c r="D1034" t="s">
        <v>208</v>
      </c>
      <c r="E1034" t="s">
        <v>230</v>
      </c>
      <c r="F1034" t="s">
        <v>30</v>
      </c>
      <c r="G1034" t="s">
        <v>22</v>
      </c>
      <c r="H1034" t="s">
        <v>23</v>
      </c>
      <c r="I1034" t="s">
        <v>79</v>
      </c>
      <c r="J1034" t="s">
        <v>179</v>
      </c>
      <c r="K1034">
        <v>9</v>
      </c>
      <c r="L1034" s="2">
        <v>471.74</v>
      </c>
      <c r="M1034" s="3">
        <v>0.2</v>
      </c>
      <c r="N1034" s="2">
        <v>3396.53</v>
      </c>
      <c r="O1034" s="2">
        <v>2036.45</v>
      </c>
      <c r="P1034" s="2">
        <v>1360.08</v>
      </c>
      <c r="Q1034" t="s">
        <v>26</v>
      </c>
    </row>
    <row r="1035" spans="1:17" x14ac:dyDescent="0.2">
      <c r="A1035" t="s">
        <v>1200</v>
      </c>
      <c r="B1035" s="1">
        <v>45778</v>
      </c>
      <c r="C1035" t="s">
        <v>36</v>
      </c>
      <c r="D1035" t="s">
        <v>73</v>
      </c>
      <c r="E1035" t="s">
        <v>212</v>
      </c>
      <c r="F1035" t="s">
        <v>130</v>
      </c>
      <c r="G1035" t="s">
        <v>75</v>
      </c>
      <c r="H1035" t="s">
        <v>31</v>
      </c>
      <c r="I1035" t="s">
        <v>64</v>
      </c>
      <c r="J1035" t="s">
        <v>252</v>
      </c>
      <c r="K1035">
        <v>3</v>
      </c>
      <c r="L1035" s="2">
        <v>85.05</v>
      </c>
      <c r="M1035" s="3">
        <v>0</v>
      </c>
      <c r="N1035" s="2">
        <v>255.15</v>
      </c>
      <c r="O1035" s="2">
        <v>185.35</v>
      </c>
      <c r="P1035" s="2">
        <v>69.8</v>
      </c>
      <c r="Q1035" t="s">
        <v>61</v>
      </c>
    </row>
    <row r="1036" spans="1:17" x14ac:dyDescent="0.2">
      <c r="A1036" t="s">
        <v>1201</v>
      </c>
      <c r="B1036" s="1">
        <v>45778</v>
      </c>
      <c r="C1036" t="s">
        <v>36</v>
      </c>
      <c r="D1036" t="s">
        <v>110</v>
      </c>
      <c r="E1036" t="s">
        <v>203</v>
      </c>
      <c r="F1036" t="s">
        <v>130</v>
      </c>
      <c r="G1036" t="s">
        <v>75</v>
      </c>
      <c r="H1036" t="s">
        <v>23</v>
      </c>
      <c r="I1036" t="s">
        <v>79</v>
      </c>
      <c r="J1036" t="s">
        <v>233</v>
      </c>
      <c r="K1036">
        <v>4</v>
      </c>
      <c r="L1036" s="2">
        <v>316.87</v>
      </c>
      <c r="M1036" s="3">
        <v>0</v>
      </c>
      <c r="N1036" s="2">
        <v>1267.48</v>
      </c>
      <c r="O1036" s="2">
        <v>709.39</v>
      </c>
      <c r="P1036" s="2">
        <v>558.09</v>
      </c>
      <c r="Q1036" t="s">
        <v>26</v>
      </c>
    </row>
    <row r="1037" spans="1:17" x14ac:dyDescent="0.2">
      <c r="A1037" t="s">
        <v>1202</v>
      </c>
      <c r="B1037" s="1">
        <v>45778</v>
      </c>
      <c r="C1037" t="s">
        <v>43</v>
      </c>
      <c r="D1037" t="s">
        <v>161</v>
      </c>
      <c r="E1037" t="s">
        <v>162</v>
      </c>
      <c r="F1037" t="s">
        <v>30</v>
      </c>
      <c r="G1037" t="s">
        <v>54</v>
      </c>
      <c r="H1037" t="s">
        <v>23</v>
      </c>
      <c r="I1037" t="s">
        <v>55</v>
      </c>
      <c r="J1037" t="s">
        <v>56</v>
      </c>
      <c r="K1037">
        <v>5</v>
      </c>
      <c r="L1037" s="2">
        <v>13.78</v>
      </c>
      <c r="M1037" s="3">
        <v>0.1</v>
      </c>
      <c r="N1037" s="2">
        <v>62.01</v>
      </c>
      <c r="O1037" s="2">
        <v>49.03</v>
      </c>
      <c r="P1037" s="2">
        <v>12.98</v>
      </c>
      <c r="Q1037" t="s">
        <v>26</v>
      </c>
    </row>
    <row r="1038" spans="1:17" x14ac:dyDescent="0.2">
      <c r="A1038" t="s">
        <v>1203</v>
      </c>
      <c r="B1038" s="1">
        <v>45779</v>
      </c>
      <c r="C1038" t="s">
        <v>18</v>
      </c>
      <c r="D1038" t="s">
        <v>19</v>
      </c>
      <c r="E1038" t="s">
        <v>100</v>
      </c>
      <c r="F1038" t="s">
        <v>53</v>
      </c>
      <c r="G1038" t="s">
        <v>22</v>
      </c>
      <c r="H1038" t="s">
        <v>23</v>
      </c>
      <c r="I1038" t="s">
        <v>24</v>
      </c>
      <c r="J1038" t="s">
        <v>25</v>
      </c>
      <c r="K1038">
        <v>3</v>
      </c>
      <c r="L1038" s="2">
        <v>6.5</v>
      </c>
      <c r="M1038" s="3">
        <v>0.1</v>
      </c>
      <c r="N1038" s="2">
        <v>17.55</v>
      </c>
      <c r="O1038" s="2">
        <v>9.89</v>
      </c>
      <c r="P1038" s="2">
        <v>7.66</v>
      </c>
      <c r="Q1038" t="s">
        <v>61</v>
      </c>
    </row>
    <row r="1039" spans="1:17" x14ac:dyDescent="0.2">
      <c r="A1039" t="s">
        <v>1204</v>
      </c>
      <c r="B1039" s="1">
        <v>45779</v>
      </c>
      <c r="C1039" t="s">
        <v>77</v>
      </c>
      <c r="D1039" t="s">
        <v>128</v>
      </c>
      <c r="E1039" t="s">
        <v>155</v>
      </c>
      <c r="F1039" t="s">
        <v>60</v>
      </c>
      <c r="G1039" t="s">
        <v>22</v>
      </c>
      <c r="H1039" t="s">
        <v>31</v>
      </c>
      <c r="I1039" t="s">
        <v>32</v>
      </c>
      <c r="J1039" t="s">
        <v>258</v>
      </c>
      <c r="K1039">
        <v>5</v>
      </c>
      <c r="L1039" s="2">
        <v>1641.58</v>
      </c>
      <c r="M1039" s="3">
        <v>0.15</v>
      </c>
      <c r="N1039" s="2">
        <v>6976.71</v>
      </c>
      <c r="O1039" s="2">
        <v>5702.53</v>
      </c>
      <c r="P1039" s="2">
        <v>1274.18</v>
      </c>
      <c r="Q1039" t="s">
        <v>61</v>
      </c>
    </row>
    <row r="1040" spans="1:17" x14ac:dyDescent="0.2">
      <c r="A1040" t="s">
        <v>1205</v>
      </c>
      <c r="B1040" s="1">
        <v>45779</v>
      </c>
      <c r="C1040" t="s">
        <v>77</v>
      </c>
      <c r="D1040" t="s">
        <v>78</v>
      </c>
      <c r="E1040" t="s">
        <v>261</v>
      </c>
      <c r="F1040" t="s">
        <v>39</v>
      </c>
      <c r="G1040" t="s">
        <v>22</v>
      </c>
      <c r="H1040" t="s">
        <v>23</v>
      </c>
      <c r="I1040" t="s">
        <v>83</v>
      </c>
      <c r="J1040" t="s">
        <v>84</v>
      </c>
      <c r="K1040">
        <v>4</v>
      </c>
      <c r="L1040" s="2">
        <v>21.97</v>
      </c>
      <c r="M1040" s="3">
        <v>0.1</v>
      </c>
      <c r="N1040" s="2">
        <v>79.09</v>
      </c>
      <c r="O1040" s="2">
        <v>64.19</v>
      </c>
      <c r="P1040" s="2">
        <v>14.9</v>
      </c>
      <c r="Q1040" t="s">
        <v>34</v>
      </c>
    </row>
    <row r="1041" spans="1:17" x14ac:dyDescent="0.2">
      <c r="A1041" t="s">
        <v>1206</v>
      </c>
      <c r="B1041" s="1">
        <v>45779</v>
      </c>
      <c r="C1041" t="s">
        <v>77</v>
      </c>
      <c r="D1041" t="s">
        <v>128</v>
      </c>
      <c r="E1041" t="s">
        <v>129</v>
      </c>
      <c r="F1041" t="s">
        <v>69</v>
      </c>
      <c r="G1041" t="s">
        <v>22</v>
      </c>
      <c r="H1041" t="s">
        <v>31</v>
      </c>
      <c r="I1041" t="s">
        <v>32</v>
      </c>
      <c r="J1041" t="s">
        <v>258</v>
      </c>
      <c r="K1041">
        <v>3</v>
      </c>
      <c r="L1041" s="2">
        <v>658.21</v>
      </c>
      <c r="M1041" s="3">
        <v>0.1</v>
      </c>
      <c r="N1041" s="2">
        <v>1777.17</v>
      </c>
      <c r="O1041" s="2">
        <v>1435.26</v>
      </c>
      <c r="P1041" s="2">
        <v>341.91</v>
      </c>
      <c r="Q1041" t="s">
        <v>34</v>
      </c>
    </row>
    <row r="1042" spans="1:17" x14ac:dyDescent="0.2">
      <c r="A1042" t="s">
        <v>1207</v>
      </c>
      <c r="B1042" s="1">
        <v>45779</v>
      </c>
      <c r="C1042" t="s">
        <v>36</v>
      </c>
      <c r="D1042" t="s">
        <v>73</v>
      </c>
      <c r="E1042" t="s">
        <v>74</v>
      </c>
      <c r="F1042" t="s">
        <v>30</v>
      </c>
      <c r="G1042" t="s">
        <v>75</v>
      </c>
      <c r="H1042" t="s">
        <v>47</v>
      </c>
      <c r="I1042" t="s">
        <v>141</v>
      </c>
      <c r="J1042" t="s">
        <v>372</v>
      </c>
      <c r="K1042">
        <v>5</v>
      </c>
      <c r="L1042" s="2">
        <v>189.89</v>
      </c>
      <c r="M1042" s="3">
        <v>0.1</v>
      </c>
      <c r="N1042" s="2">
        <v>854.5</v>
      </c>
      <c r="O1042" s="2">
        <v>599.5</v>
      </c>
      <c r="P1042" s="2">
        <v>255</v>
      </c>
      <c r="Q1042" t="s">
        <v>57</v>
      </c>
    </row>
    <row r="1043" spans="1:17" x14ac:dyDescent="0.2">
      <c r="A1043" t="s">
        <v>1208</v>
      </c>
      <c r="B1043" s="1">
        <v>45779</v>
      </c>
      <c r="C1043" t="s">
        <v>18</v>
      </c>
      <c r="D1043" t="s">
        <v>19</v>
      </c>
      <c r="E1043" t="s">
        <v>100</v>
      </c>
      <c r="F1043" t="s">
        <v>30</v>
      </c>
      <c r="G1043" t="s">
        <v>22</v>
      </c>
      <c r="H1043" t="s">
        <v>23</v>
      </c>
      <c r="I1043" t="s">
        <v>24</v>
      </c>
      <c r="J1043" t="s">
        <v>25</v>
      </c>
      <c r="K1043">
        <v>9</v>
      </c>
      <c r="L1043" s="2">
        <v>15.93</v>
      </c>
      <c r="M1043" s="3">
        <v>0.1</v>
      </c>
      <c r="N1043" s="2">
        <v>129.03</v>
      </c>
      <c r="O1043" s="2">
        <v>82.49</v>
      </c>
      <c r="P1043" s="2">
        <v>46.54</v>
      </c>
      <c r="Q1043" t="s">
        <v>57</v>
      </c>
    </row>
    <row r="1044" spans="1:17" x14ac:dyDescent="0.2">
      <c r="A1044" t="s">
        <v>1209</v>
      </c>
      <c r="B1044" s="1">
        <v>45779</v>
      </c>
      <c r="C1044" t="s">
        <v>18</v>
      </c>
      <c r="D1044" t="s">
        <v>152</v>
      </c>
      <c r="E1044" t="s">
        <v>153</v>
      </c>
      <c r="F1044" t="s">
        <v>30</v>
      </c>
      <c r="G1044" t="s">
        <v>22</v>
      </c>
      <c r="H1044" t="s">
        <v>23</v>
      </c>
      <c r="I1044" t="s">
        <v>79</v>
      </c>
      <c r="J1044" t="s">
        <v>80</v>
      </c>
      <c r="K1044">
        <v>1</v>
      </c>
      <c r="L1044" s="2">
        <v>155.36000000000001</v>
      </c>
      <c r="M1044" s="3">
        <v>0.15</v>
      </c>
      <c r="N1044" s="2">
        <v>132.06</v>
      </c>
      <c r="O1044" s="2">
        <v>80.47</v>
      </c>
      <c r="P1044" s="2">
        <v>51.59</v>
      </c>
      <c r="Q1044" t="s">
        <v>26</v>
      </c>
    </row>
    <row r="1045" spans="1:17" x14ac:dyDescent="0.2">
      <c r="A1045" t="s">
        <v>1210</v>
      </c>
      <c r="B1045" s="1">
        <v>45779</v>
      </c>
      <c r="C1045" t="s">
        <v>43</v>
      </c>
      <c r="D1045" t="s">
        <v>208</v>
      </c>
      <c r="E1045" t="s">
        <v>230</v>
      </c>
      <c r="F1045" t="s">
        <v>138</v>
      </c>
      <c r="G1045" t="s">
        <v>22</v>
      </c>
      <c r="H1045" t="s">
        <v>23</v>
      </c>
      <c r="I1045" t="s">
        <v>55</v>
      </c>
      <c r="J1045" t="s">
        <v>173</v>
      </c>
      <c r="K1045">
        <v>7</v>
      </c>
      <c r="L1045" s="2">
        <v>24.03</v>
      </c>
      <c r="M1045" s="3">
        <v>0.1</v>
      </c>
      <c r="N1045" s="2">
        <v>151.38999999999999</v>
      </c>
      <c r="O1045" s="2">
        <v>116.08</v>
      </c>
      <c r="P1045" s="2">
        <v>35.31</v>
      </c>
      <c r="Q1045" t="s">
        <v>34</v>
      </c>
    </row>
    <row r="1046" spans="1:17" x14ac:dyDescent="0.2">
      <c r="A1046" t="s">
        <v>1211</v>
      </c>
      <c r="B1046" s="1">
        <v>45779</v>
      </c>
      <c r="C1046" t="s">
        <v>77</v>
      </c>
      <c r="D1046" t="s">
        <v>95</v>
      </c>
      <c r="E1046" t="s">
        <v>300</v>
      </c>
      <c r="F1046" t="s">
        <v>60</v>
      </c>
      <c r="G1046" t="s">
        <v>22</v>
      </c>
      <c r="H1046" t="s">
        <v>23</v>
      </c>
      <c r="I1046" t="s">
        <v>24</v>
      </c>
      <c r="J1046" t="s">
        <v>220</v>
      </c>
      <c r="K1046">
        <v>1</v>
      </c>
      <c r="L1046" s="2">
        <v>27.4</v>
      </c>
      <c r="M1046" s="3">
        <v>0.05</v>
      </c>
      <c r="N1046" s="2">
        <v>26.03</v>
      </c>
      <c r="O1046" s="2">
        <v>14.94</v>
      </c>
      <c r="P1046" s="2">
        <v>11.09</v>
      </c>
      <c r="Q1046" t="s">
        <v>26</v>
      </c>
    </row>
    <row r="1047" spans="1:17" x14ac:dyDescent="0.2">
      <c r="A1047" t="s">
        <v>1212</v>
      </c>
      <c r="B1047" s="1">
        <v>45780</v>
      </c>
      <c r="C1047" t="s">
        <v>18</v>
      </c>
      <c r="D1047" t="s">
        <v>86</v>
      </c>
      <c r="E1047" t="s">
        <v>92</v>
      </c>
      <c r="F1047" t="s">
        <v>39</v>
      </c>
      <c r="G1047" t="s">
        <v>22</v>
      </c>
      <c r="H1047" t="s">
        <v>47</v>
      </c>
      <c r="I1047" t="s">
        <v>141</v>
      </c>
      <c r="J1047" t="s">
        <v>142</v>
      </c>
      <c r="K1047">
        <v>3</v>
      </c>
      <c r="L1047" s="2">
        <v>383.66</v>
      </c>
      <c r="M1047" s="3">
        <v>0</v>
      </c>
      <c r="N1047" s="2">
        <v>1150.98</v>
      </c>
      <c r="O1047" s="2">
        <v>918.93</v>
      </c>
      <c r="P1047" s="2">
        <v>232.05</v>
      </c>
      <c r="Q1047" t="s">
        <v>61</v>
      </c>
    </row>
    <row r="1048" spans="1:17" x14ac:dyDescent="0.2">
      <c r="A1048" t="s">
        <v>1213</v>
      </c>
      <c r="B1048" s="1">
        <v>45780</v>
      </c>
      <c r="C1048" t="s">
        <v>36</v>
      </c>
      <c r="D1048" t="s">
        <v>37</v>
      </c>
      <c r="E1048" t="s">
        <v>255</v>
      </c>
      <c r="F1048" t="s">
        <v>60</v>
      </c>
      <c r="G1048" t="s">
        <v>75</v>
      </c>
      <c r="H1048" t="s">
        <v>47</v>
      </c>
      <c r="I1048" t="s">
        <v>89</v>
      </c>
      <c r="J1048" t="s">
        <v>240</v>
      </c>
      <c r="K1048">
        <v>3</v>
      </c>
      <c r="L1048" s="2">
        <v>293.62</v>
      </c>
      <c r="M1048" s="3">
        <v>0</v>
      </c>
      <c r="N1048" s="2">
        <v>880.86</v>
      </c>
      <c r="O1048" s="2">
        <v>647.55999999999995</v>
      </c>
      <c r="P1048" s="2">
        <v>233.3</v>
      </c>
      <c r="Q1048" t="s">
        <v>26</v>
      </c>
    </row>
    <row r="1049" spans="1:17" x14ac:dyDescent="0.2">
      <c r="A1049" t="s">
        <v>1214</v>
      </c>
      <c r="B1049" s="1">
        <v>45780</v>
      </c>
      <c r="C1049" t="s">
        <v>77</v>
      </c>
      <c r="D1049" t="s">
        <v>78</v>
      </c>
      <c r="E1049" t="s">
        <v>295</v>
      </c>
      <c r="F1049" t="s">
        <v>69</v>
      </c>
      <c r="G1049" t="s">
        <v>75</v>
      </c>
      <c r="H1049" t="s">
        <v>47</v>
      </c>
      <c r="I1049" t="s">
        <v>48</v>
      </c>
      <c r="J1049" t="s">
        <v>93</v>
      </c>
      <c r="K1049">
        <v>4</v>
      </c>
      <c r="L1049" s="2">
        <v>219.57</v>
      </c>
      <c r="M1049" s="3">
        <v>0.15</v>
      </c>
      <c r="N1049" s="2">
        <v>746.54</v>
      </c>
      <c r="O1049" s="2">
        <v>544.84</v>
      </c>
      <c r="P1049" s="2">
        <v>201.7</v>
      </c>
      <c r="Q1049" t="s">
        <v>26</v>
      </c>
    </row>
    <row r="1050" spans="1:17" x14ac:dyDescent="0.2">
      <c r="A1050" t="s">
        <v>1215</v>
      </c>
      <c r="B1050" s="1">
        <v>45780</v>
      </c>
      <c r="C1050" t="s">
        <v>43</v>
      </c>
      <c r="D1050" t="s">
        <v>208</v>
      </c>
      <c r="E1050" t="s">
        <v>287</v>
      </c>
      <c r="F1050" t="s">
        <v>60</v>
      </c>
      <c r="G1050" t="s">
        <v>22</v>
      </c>
      <c r="H1050" t="s">
        <v>23</v>
      </c>
      <c r="I1050" t="s">
        <v>24</v>
      </c>
      <c r="J1050" t="s">
        <v>220</v>
      </c>
      <c r="K1050">
        <v>3</v>
      </c>
      <c r="L1050" s="2">
        <v>10.62</v>
      </c>
      <c r="M1050" s="3">
        <v>0.2</v>
      </c>
      <c r="N1050" s="2">
        <v>25.49</v>
      </c>
      <c r="O1050" s="2">
        <v>20.010000000000002</v>
      </c>
      <c r="P1050" s="2">
        <v>5.48</v>
      </c>
      <c r="Q1050" t="s">
        <v>26</v>
      </c>
    </row>
    <row r="1051" spans="1:17" x14ac:dyDescent="0.2">
      <c r="A1051" t="s">
        <v>1216</v>
      </c>
      <c r="B1051" s="1">
        <v>45780</v>
      </c>
      <c r="C1051" t="s">
        <v>18</v>
      </c>
      <c r="D1051" t="s">
        <v>86</v>
      </c>
      <c r="E1051" t="s">
        <v>92</v>
      </c>
      <c r="F1051" t="s">
        <v>130</v>
      </c>
      <c r="G1051" t="s">
        <v>75</v>
      </c>
      <c r="H1051" t="s">
        <v>47</v>
      </c>
      <c r="I1051" t="s">
        <v>48</v>
      </c>
      <c r="J1051" t="s">
        <v>49</v>
      </c>
      <c r="K1051">
        <v>9</v>
      </c>
      <c r="L1051" s="2">
        <v>222.41</v>
      </c>
      <c r="M1051" s="3">
        <v>0.1</v>
      </c>
      <c r="N1051" s="2">
        <v>1801.52</v>
      </c>
      <c r="O1051" s="2">
        <v>1471.43</v>
      </c>
      <c r="P1051" s="2">
        <v>330.09</v>
      </c>
      <c r="Q1051" t="s">
        <v>26</v>
      </c>
    </row>
    <row r="1052" spans="1:17" x14ac:dyDescent="0.2">
      <c r="A1052" t="s">
        <v>1217</v>
      </c>
      <c r="B1052" s="1">
        <v>45780</v>
      </c>
      <c r="C1052" t="s">
        <v>36</v>
      </c>
      <c r="D1052" t="s">
        <v>110</v>
      </c>
      <c r="E1052" t="s">
        <v>203</v>
      </c>
      <c r="F1052" t="s">
        <v>39</v>
      </c>
      <c r="G1052" t="s">
        <v>54</v>
      </c>
      <c r="H1052" t="s">
        <v>23</v>
      </c>
      <c r="I1052" t="s">
        <v>79</v>
      </c>
      <c r="J1052" t="s">
        <v>80</v>
      </c>
      <c r="K1052">
        <v>10</v>
      </c>
      <c r="L1052" s="2">
        <v>583.54999999999995</v>
      </c>
      <c r="M1052" s="3">
        <v>0.15</v>
      </c>
      <c r="N1052" s="2">
        <v>4960.18</v>
      </c>
      <c r="O1052" s="2">
        <v>3724.25</v>
      </c>
      <c r="P1052" s="2">
        <v>1235.93</v>
      </c>
      <c r="Q1052" t="s">
        <v>57</v>
      </c>
    </row>
    <row r="1053" spans="1:17" x14ac:dyDescent="0.2">
      <c r="A1053" t="s">
        <v>1218</v>
      </c>
      <c r="B1053" s="1">
        <v>45780</v>
      </c>
      <c r="C1053" t="s">
        <v>77</v>
      </c>
      <c r="D1053" t="s">
        <v>128</v>
      </c>
      <c r="E1053" t="s">
        <v>129</v>
      </c>
      <c r="F1053" t="s">
        <v>53</v>
      </c>
      <c r="G1053" t="s">
        <v>22</v>
      </c>
      <c r="H1053" t="s">
        <v>47</v>
      </c>
      <c r="I1053" t="s">
        <v>89</v>
      </c>
      <c r="J1053" t="s">
        <v>90</v>
      </c>
      <c r="K1053">
        <v>9</v>
      </c>
      <c r="L1053" s="2">
        <v>423.13</v>
      </c>
      <c r="M1053" s="3">
        <v>0</v>
      </c>
      <c r="N1053" s="2">
        <v>3808.17</v>
      </c>
      <c r="O1053" s="2">
        <v>2928.38</v>
      </c>
      <c r="P1053" s="2">
        <v>879.79</v>
      </c>
      <c r="Q1053" t="s">
        <v>34</v>
      </c>
    </row>
    <row r="1054" spans="1:17" x14ac:dyDescent="0.2">
      <c r="A1054" t="s">
        <v>1219</v>
      </c>
      <c r="B1054" s="1">
        <v>45781</v>
      </c>
      <c r="C1054" t="s">
        <v>18</v>
      </c>
      <c r="D1054" t="s">
        <v>152</v>
      </c>
      <c r="E1054" t="s">
        <v>153</v>
      </c>
      <c r="F1054" t="s">
        <v>30</v>
      </c>
      <c r="G1054" t="s">
        <v>22</v>
      </c>
      <c r="H1054" t="s">
        <v>23</v>
      </c>
      <c r="I1054" t="s">
        <v>24</v>
      </c>
      <c r="J1054" t="s">
        <v>25</v>
      </c>
      <c r="K1054">
        <v>2</v>
      </c>
      <c r="L1054" s="2">
        <v>5.69</v>
      </c>
      <c r="M1054" s="3">
        <v>0.15</v>
      </c>
      <c r="N1054" s="2">
        <v>9.67</v>
      </c>
      <c r="O1054" s="2">
        <v>7.7</v>
      </c>
      <c r="P1054" s="2">
        <v>1.97</v>
      </c>
      <c r="Q1054" t="s">
        <v>61</v>
      </c>
    </row>
    <row r="1055" spans="1:17" x14ac:dyDescent="0.2">
      <c r="A1055" t="s">
        <v>1220</v>
      </c>
      <c r="B1055" s="1">
        <v>45781</v>
      </c>
      <c r="C1055" t="s">
        <v>36</v>
      </c>
      <c r="D1055" t="s">
        <v>37</v>
      </c>
      <c r="E1055" t="s">
        <v>255</v>
      </c>
      <c r="F1055" t="s">
        <v>21</v>
      </c>
      <c r="G1055" t="s">
        <v>75</v>
      </c>
      <c r="H1055" t="s">
        <v>47</v>
      </c>
      <c r="I1055" t="s">
        <v>141</v>
      </c>
      <c r="J1055" t="s">
        <v>201</v>
      </c>
      <c r="K1055">
        <v>9</v>
      </c>
      <c r="L1055" s="2">
        <v>707.27</v>
      </c>
      <c r="M1055" s="3">
        <v>0.05</v>
      </c>
      <c r="N1055" s="2">
        <v>6047.16</v>
      </c>
      <c r="O1055" s="2">
        <v>3357.8</v>
      </c>
      <c r="P1055" s="2">
        <v>2689.36</v>
      </c>
      <c r="Q1055" t="s">
        <v>57</v>
      </c>
    </row>
    <row r="1056" spans="1:17" x14ac:dyDescent="0.2">
      <c r="A1056" t="s">
        <v>1221</v>
      </c>
      <c r="B1056" s="1">
        <v>45781</v>
      </c>
      <c r="C1056" t="s">
        <v>77</v>
      </c>
      <c r="D1056" t="s">
        <v>128</v>
      </c>
      <c r="E1056" t="s">
        <v>155</v>
      </c>
      <c r="F1056" t="s">
        <v>46</v>
      </c>
      <c r="G1056" t="s">
        <v>75</v>
      </c>
      <c r="H1056" t="s">
        <v>23</v>
      </c>
      <c r="I1056" t="s">
        <v>79</v>
      </c>
      <c r="J1056" t="s">
        <v>233</v>
      </c>
      <c r="K1056">
        <v>1</v>
      </c>
      <c r="L1056" s="2">
        <v>511.56</v>
      </c>
      <c r="M1056" s="3">
        <v>0</v>
      </c>
      <c r="N1056" s="2">
        <v>511.56</v>
      </c>
      <c r="O1056" s="2">
        <v>350.01</v>
      </c>
      <c r="P1056" s="2">
        <v>161.55000000000001</v>
      </c>
      <c r="Q1056" t="s">
        <v>61</v>
      </c>
    </row>
    <row r="1057" spans="1:17" x14ac:dyDescent="0.2">
      <c r="A1057" t="s">
        <v>1222</v>
      </c>
      <c r="B1057" s="1">
        <v>45781</v>
      </c>
      <c r="C1057" t="s">
        <v>36</v>
      </c>
      <c r="D1057" t="s">
        <v>73</v>
      </c>
      <c r="E1057" t="s">
        <v>247</v>
      </c>
      <c r="F1057" t="s">
        <v>60</v>
      </c>
      <c r="G1057" t="s">
        <v>75</v>
      </c>
      <c r="H1057" t="s">
        <v>47</v>
      </c>
      <c r="I1057" t="s">
        <v>97</v>
      </c>
      <c r="J1057" t="s">
        <v>116</v>
      </c>
      <c r="K1057">
        <v>5</v>
      </c>
      <c r="L1057" s="2">
        <v>107.76</v>
      </c>
      <c r="M1057" s="3">
        <v>0.1</v>
      </c>
      <c r="N1057" s="2">
        <v>484.92</v>
      </c>
      <c r="O1057" s="2">
        <v>279.83999999999997</v>
      </c>
      <c r="P1057" s="2">
        <v>205.08</v>
      </c>
      <c r="Q1057" t="s">
        <v>61</v>
      </c>
    </row>
    <row r="1058" spans="1:17" x14ac:dyDescent="0.2">
      <c r="A1058" t="s">
        <v>1223</v>
      </c>
      <c r="B1058" s="1">
        <v>45781</v>
      </c>
      <c r="C1058" t="s">
        <v>43</v>
      </c>
      <c r="D1058" t="s">
        <v>208</v>
      </c>
      <c r="E1058" t="s">
        <v>209</v>
      </c>
      <c r="F1058" t="s">
        <v>39</v>
      </c>
      <c r="G1058" t="s">
        <v>22</v>
      </c>
      <c r="H1058" t="s">
        <v>31</v>
      </c>
      <c r="I1058" t="s">
        <v>32</v>
      </c>
      <c r="J1058" t="s">
        <v>258</v>
      </c>
      <c r="K1058">
        <v>5</v>
      </c>
      <c r="L1058" s="2">
        <v>1698.39</v>
      </c>
      <c r="M1058" s="3">
        <v>0</v>
      </c>
      <c r="N1058" s="2">
        <v>8491.9500000000007</v>
      </c>
      <c r="O1058" s="2">
        <v>5066.5600000000004</v>
      </c>
      <c r="P1058" s="2">
        <v>3425.39</v>
      </c>
      <c r="Q1058" t="s">
        <v>61</v>
      </c>
    </row>
    <row r="1059" spans="1:17" x14ac:dyDescent="0.2">
      <c r="A1059" t="s">
        <v>1224</v>
      </c>
      <c r="B1059" s="1">
        <v>45781</v>
      </c>
      <c r="C1059" t="s">
        <v>36</v>
      </c>
      <c r="D1059" t="s">
        <v>73</v>
      </c>
      <c r="E1059" t="s">
        <v>212</v>
      </c>
      <c r="F1059" t="s">
        <v>46</v>
      </c>
      <c r="G1059" t="s">
        <v>75</v>
      </c>
      <c r="H1059" t="s">
        <v>31</v>
      </c>
      <c r="I1059" t="s">
        <v>64</v>
      </c>
      <c r="J1059" t="s">
        <v>252</v>
      </c>
      <c r="K1059">
        <v>4</v>
      </c>
      <c r="L1059" s="2">
        <v>59.46</v>
      </c>
      <c r="M1059" s="3">
        <v>0</v>
      </c>
      <c r="N1059" s="2">
        <v>237.84</v>
      </c>
      <c r="O1059" s="2">
        <v>178.92</v>
      </c>
      <c r="P1059" s="2">
        <v>58.92</v>
      </c>
      <c r="Q1059" t="s">
        <v>57</v>
      </c>
    </row>
    <row r="1060" spans="1:17" x14ac:dyDescent="0.2">
      <c r="A1060" t="s">
        <v>1225</v>
      </c>
      <c r="B1060" s="1">
        <v>45781</v>
      </c>
      <c r="C1060" t="s">
        <v>43</v>
      </c>
      <c r="D1060" t="s">
        <v>51</v>
      </c>
      <c r="E1060" t="s">
        <v>52</v>
      </c>
      <c r="F1060" t="s">
        <v>71</v>
      </c>
      <c r="G1060" t="s">
        <v>22</v>
      </c>
      <c r="H1060" t="s">
        <v>47</v>
      </c>
      <c r="I1060" t="s">
        <v>97</v>
      </c>
      <c r="J1060" t="s">
        <v>168</v>
      </c>
      <c r="K1060">
        <v>10</v>
      </c>
      <c r="L1060" s="2">
        <v>447.87</v>
      </c>
      <c r="M1060" s="3">
        <v>0.05</v>
      </c>
      <c r="N1060" s="2">
        <v>4254.76</v>
      </c>
      <c r="O1060" s="2">
        <v>3061.65</v>
      </c>
      <c r="P1060" s="2">
        <v>1193.1099999999999</v>
      </c>
      <c r="Q1060" t="s">
        <v>34</v>
      </c>
    </row>
    <row r="1061" spans="1:17" x14ac:dyDescent="0.2">
      <c r="A1061" t="s">
        <v>1226</v>
      </c>
      <c r="B1061" s="1">
        <v>45781</v>
      </c>
      <c r="C1061" t="s">
        <v>36</v>
      </c>
      <c r="D1061" t="s">
        <v>37</v>
      </c>
      <c r="E1061" t="s">
        <v>255</v>
      </c>
      <c r="F1061" t="s">
        <v>138</v>
      </c>
      <c r="G1061" t="s">
        <v>75</v>
      </c>
      <c r="H1061" t="s">
        <v>31</v>
      </c>
      <c r="I1061" t="s">
        <v>112</v>
      </c>
      <c r="J1061" t="s">
        <v>176</v>
      </c>
      <c r="K1061">
        <v>1</v>
      </c>
      <c r="L1061" s="2">
        <v>645.08000000000004</v>
      </c>
      <c r="M1061" s="3">
        <v>0.1</v>
      </c>
      <c r="N1061" s="2">
        <v>580.57000000000005</v>
      </c>
      <c r="O1061" s="2">
        <v>323.70999999999998</v>
      </c>
      <c r="P1061" s="2">
        <v>256.86</v>
      </c>
      <c r="Q1061" t="s">
        <v>34</v>
      </c>
    </row>
    <row r="1062" spans="1:17" x14ac:dyDescent="0.2">
      <c r="A1062" t="s">
        <v>1227</v>
      </c>
      <c r="B1062" s="1">
        <v>45781</v>
      </c>
      <c r="C1062" t="s">
        <v>77</v>
      </c>
      <c r="D1062" t="s">
        <v>106</v>
      </c>
      <c r="E1062" t="s">
        <v>303</v>
      </c>
      <c r="F1062" t="s">
        <v>53</v>
      </c>
      <c r="G1062" t="s">
        <v>22</v>
      </c>
      <c r="H1062" t="s">
        <v>31</v>
      </c>
      <c r="I1062" t="s">
        <v>40</v>
      </c>
      <c r="J1062" t="s">
        <v>216</v>
      </c>
      <c r="K1062">
        <v>4</v>
      </c>
      <c r="L1062" s="2">
        <v>65.78</v>
      </c>
      <c r="M1062" s="3">
        <v>0.05</v>
      </c>
      <c r="N1062" s="2">
        <v>249.96</v>
      </c>
      <c r="O1062" s="2">
        <v>171.09</v>
      </c>
      <c r="P1062" s="2">
        <v>78.87</v>
      </c>
      <c r="Q1062" t="s">
        <v>57</v>
      </c>
    </row>
    <row r="1063" spans="1:17" x14ac:dyDescent="0.2">
      <c r="A1063" t="s">
        <v>1228</v>
      </c>
      <c r="B1063" s="1">
        <v>45781</v>
      </c>
      <c r="C1063" t="s">
        <v>43</v>
      </c>
      <c r="D1063" t="s">
        <v>161</v>
      </c>
      <c r="E1063" t="s">
        <v>162</v>
      </c>
      <c r="F1063" t="s">
        <v>53</v>
      </c>
      <c r="G1063" t="s">
        <v>54</v>
      </c>
      <c r="H1063" t="s">
        <v>23</v>
      </c>
      <c r="I1063" t="s">
        <v>24</v>
      </c>
      <c r="J1063" t="s">
        <v>108</v>
      </c>
      <c r="K1063">
        <v>9</v>
      </c>
      <c r="L1063" s="2">
        <v>24.47</v>
      </c>
      <c r="M1063" s="3">
        <v>0.05</v>
      </c>
      <c r="N1063" s="2">
        <v>209.22</v>
      </c>
      <c r="O1063" s="2">
        <v>168.7</v>
      </c>
      <c r="P1063" s="2">
        <v>40.520000000000003</v>
      </c>
      <c r="Q1063" t="s">
        <v>26</v>
      </c>
    </row>
    <row r="1064" spans="1:17" x14ac:dyDescent="0.2">
      <c r="A1064" t="s">
        <v>1229</v>
      </c>
      <c r="B1064" s="1">
        <v>45781</v>
      </c>
      <c r="C1064" t="s">
        <v>43</v>
      </c>
      <c r="D1064" t="s">
        <v>51</v>
      </c>
      <c r="E1064" t="s">
        <v>63</v>
      </c>
      <c r="F1064" t="s">
        <v>21</v>
      </c>
      <c r="G1064" t="s">
        <v>75</v>
      </c>
      <c r="H1064" t="s">
        <v>47</v>
      </c>
      <c r="I1064" t="s">
        <v>48</v>
      </c>
      <c r="J1064" t="s">
        <v>164</v>
      </c>
      <c r="K1064">
        <v>6</v>
      </c>
      <c r="L1064" s="2">
        <v>229.45</v>
      </c>
      <c r="M1064" s="3">
        <v>0.05</v>
      </c>
      <c r="N1064" s="2">
        <v>1307.8599999999999</v>
      </c>
      <c r="O1064" s="2">
        <v>998.7</v>
      </c>
      <c r="P1064" s="2">
        <v>309.16000000000003</v>
      </c>
      <c r="Q1064" t="s">
        <v>57</v>
      </c>
    </row>
    <row r="1065" spans="1:17" x14ac:dyDescent="0.2">
      <c r="A1065" t="s">
        <v>1230</v>
      </c>
      <c r="B1065" s="1">
        <v>45782</v>
      </c>
      <c r="C1065" t="s">
        <v>18</v>
      </c>
      <c r="D1065" t="s">
        <v>19</v>
      </c>
      <c r="E1065" t="s">
        <v>100</v>
      </c>
      <c r="F1065" t="s">
        <v>53</v>
      </c>
      <c r="G1065" t="s">
        <v>75</v>
      </c>
      <c r="H1065" t="s">
        <v>47</v>
      </c>
      <c r="I1065" t="s">
        <v>48</v>
      </c>
      <c r="J1065" t="s">
        <v>164</v>
      </c>
      <c r="K1065">
        <v>7</v>
      </c>
      <c r="L1065" s="2">
        <v>503.81</v>
      </c>
      <c r="M1065" s="3">
        <v>0.1</v>
      </c>
      <c r="N1065" s="2">
        <v>3174</v>
      </c>
      <c r="O1065" s="2">
        <v>2457.42</v>
      </c>
      <c r="P1065" s="2">
        <v>716.58</v>
      </c>
      <c r="Q1065" t="s">
        <v>61</v>
      </c>
    </row>
    <row r="1066" spans="1:17" x14ac:dyDescent="0.2">
      <c r="A1066" t="s">
        <v>1231</v>
      </c>
      <c r="B1066" s="1">
        <v>45782</v>
      </c>
      <c r="C1066" t="s">
        <v>18</v>
      </c>
      <c r="D1066" t="s">
        <v>86</v>
      </c>
      <c r="E1066" t="s">
        <v>87</v>
      </c>
      <c r="F1066" t="s">
        <v>39</v>
      </c>
      <c r="G1066" t="s">
        <v>22</v>
      </c>
      <c r="H1066" t="s">
        <v>31</v>
      </c>
      <c r="I1066" t="s">
        <v>112</v>
      </c>
      <c r="J1066" t="s">
        <v>136</v>
      </c>
      <c r="K1066">
        <v>9</v>
      </c>
      <c r="L1066" s="2">
        <v>153.58000000000001</v>
      </c>
      <c r="M1066" s="3">
        <v>0.15</v>
      </c>
      <c r="N1066" s="2">
        <v>1174.8900000000001</v>
      </c>
      <c r="O1066" s="2">
        <v>800.22</v>
      </c>
      <c r="P1066" s="2">
        <v>374.67</v>
      </c>
      <c r="Q1066" t="s">
        <v>34</v>
      </c>
    </row>
    <row r="1067" spans="1:17" x14ac:dyDescent="0.2">
      <c r="A1067" t="s">
        <v>1232</v>
      </c>
      <c r="B1067" s="1">
        <v>45782</v>
      </c>
      <c r="C1067" t="s">
        <v>36</v>
      </c>
      <c r="D1067" t="s">
        <v>144</v>
      </c>
      <c r="E1067" t="s">
        <v>214</v>
      </c>
      <c r="F1067" t="s">
        <v>39</v>
      </c>
      <c r="G1067" t="s">
        <v>75</v>
      </c>
      <c r="H1067" t="s">
        <v>23</v>
      </c>
      <c r="I1067" t="s">
        <v>79</v>
      </c>
      <c r="J1067" t="s">
        <v>233</v>
      </c>
      <c r="K1067">
        <v>10</v>
      </c>
      <c r="L1067" s="2">
        <v>326.08</v>
      </c>
      <c r="M1067" s="3">
        <v>0.05</v>
      </c>
      <c r="N1067" s="2">
        <v>3097.76</v>
      </c>
      <c r="O1067" s="2">
        <v>1814.74</v>
      </c>
      <c r="P1067" s="2">
        <v>1283.02</v>
      </c>
      <c r="Q1067" t="s">
        <v>26</v>
      </c>
    </row>
    <row r="1068" spans="1:17" x14ac:dyDescent="0.2">
      <c r="A1068" t="s">
        <v>1233</v>
      </c>
      <c r="B1068" s="1">
        <v>45782</v>
      </c>
      <c r="C1068" t="s">
        <v>18</v>
      </c>
      <c r="D1068" t="s">
        <v>28</v>
      </c>
      <c r="E1068" t="s">
        <v>157</v>
      </c>
      <c r="F1068" t="s">
        <v>30</v>
      </c>
      <c r="G1068" t="s">
        <v>75</v>
      </c>
      <c r="H1068" t="s">
        <v>23</v>
      </c>
      <c r="I1068" t="s">
        <v>79</v>
      </c>
      <c r="J1068" t="s">
        <v>179</v>
      </c>
      <c r="K1068">
        <v>8</v>
      </c>
      <c r="L1068" s="2">
        <v>591.4</v>
      </c>
      <c r="M1068" s="3">
        <v>0</v>
      </c>
      <c r="N1068" s="2">
        <v>4731.2</v>
      </c>
      <c r="O1068" s="2">
        <v>3363.24</v>
      </c>
      <c r="P1068" s="2">
        <v>1367.96</v>
      </c>
      <c r="Q1068" t="s">
        <v>26</v>
      </c>
    </row>
    <row r="1069" spans="1:17" x14ac:dyDescent="0.2">
      <c r="A1069" t="s">
        <v>1234</v>
      </c>
      <c r="B1069" s="1">
        <v>45782</v>
      </c>
      <c r="C1069" t="s">
        <v>18</v>
      </c>
      <c r="D1069" t="s">
        <v>152</v>
      </c>
      <c r="E1069" t="s">
        <v>166</v>
      </c>
      <c r="F1069" t="s">
        <v>71</v>
      </c>
      <c r="G1069" t="s">
        <v>22</v>
      </c>
      <c r="H1069" t="s">
        <v>23</v>
      </c>
      <c r="I1069" t="s">
        <v>79</v>
      </c>
      <c r="J1069" t="s">
        <v>233</v>
      </c>
      <c r="K1069">
        <v>8</v>
      </c>
      <c r="L1069" s="2">
        <v>505.22</v>
      </c>
      <c r="M1069" s="3">
        <v>0</v>
      </c>
      <c r="N1069" s="2">
        <v>4041.76</v>
      </c>
      <c r="O1069" s="2">
        <v>3006.74</v>
      </c>
      <c r="P1069" s="2">
        <v>1035.02</v>
      </c>
      <c r="Q1069" t="s">
        <v>34</v>
      </c>
    </row>
    <row r="1070" spans="1:17" x14ac:dyDescent="0.2">
      <c r="A1070" t="s">
        <v>1235</v>
      </c>
      <c r="B1070" s="1">
        <v>45782</v>
      </c>
      <c r="C1070" t="s">
        <v>77</v>
      </c>
      <c r="D1070" t="s">
        <v>78</v>
      </c>
      <c r="E1070" t="s">
        <v>261</v>
      </c>
      <c r="F1070" t="s">
        <v>69</v>
      </c>
      <c r="G1070" t="s">
        <v>75</v>
      </c>
      <c r="H1070" t="s">
        <v>31</v>
      </c>
      <c r="I1070" t="s">
        <v>32</v>
      </c>
      <c r="J1070" t="s">
        <v>104</v>
      </c>
      <c r="K1070">
        <v>10</v>
      </c>
      <c r="L1070" s="2">
        <v>1572.91</v>
      </c>
      <c r="M1070" s="3">
        <v>0.1</v>
      </c>
      <c r="N1070" s="2">
        <v>14156.19</v>
      </c>
      <c r="O1070" s="2">
        <v>11020.62</v>
      </c>
      <c r="P1070" s="2">
        <v>3135.57</v>
      </c>
      <c r="Q1070" t="s">
        <v>34</v>
      </c>
    </row>
    <row r="1071" spans="1:17" x14ac:dyDescent="0.2">
      <c r="A1071" t="s">
        <v>1236</v>
      </c>
      <c r="B1071" s="1">
        <v>45782</v>
      </c>
      <c r="C1071" t="s">
        <v>36</v>
      </c>
      <c r="D1071" t="s">
        <v>110</v>
      </c>
      <c r="E1071" t="s">
        <v>203</v>
      </c>
      <c r="F1071" t="s">
        <v>60</v>
      </c>
      <c r="G1071" t="s">
        <v>22</v>
      </c>
      <c r="H1071" t="s">
        <v>31</v>
      </c>
      <c r="I1071" t="s">
        <v>64</v>
      </c>
      <c r="J1071" t="s">
        <v>65</v>
      </c>
      <c r="K1071">
        <v>8</v>
      </c>
      <c r="L1071" s="2">
        <v>165.43</v>
      </c>
      <c r="M1071" s="3">
        <v>0.1</v>
      </c>
      <c r="N1071" s="2">
        <v>1191.0999999999999</v>
      </c>
      <c r="O1071" s="2">
        <v>960.51</v>
      </c>
      <c r="P1071" s="2">
        <v>230.59</v>
      </c>
      <c r="Q1071" t="s">
        <v>61</v>
      </c>
    </row>
    <row r="1072" spans="1:17" x14ac:dyDescent="0.2">
      <c r="A1072" t="s">
        <v>1237</v>
      </c>
      <c r="B1072" s="1">
        <v>45782</v>
      </c>
      <c r="C1072" t="s">
        <v>77</v>
      </c>
      <c r="D1072" t="s">
        <v>128</v>
      </c>
      <c r="E1072" t="s">
        <v>159</v>
      </c>
      <c r="F1072" t="s">
        <v>71</v>
      </c>
      <c r="G1072" t="s">
        <v>54</v>
      </c>
      <c r="H1072" t="s">
        <v>47</v>
      </c>
      <c r="I1072" t="s">
        <v>48</v>
      </c>
      <c r="J1072" t="s">
        <v>164</v>
      </c>
      <c r="K1072">
        <v>6</v>
      </c>
      <c r="L1072" s="2">
        <v>238.64</v>
      </c>
      <c r="M1072" s="3">
        <v>0.15</v>
      </c>
      <c r="N1072" s="2">
        <v>1217.06</v>
      </c>
      <c r="O1072" s="2">
        <v>841.74</v>
      </c>
      <c r="P1072" s="2">
        <v>375.32</v>
      </c>
      <c r="Q1072" t="s">
        <v>61</v>
      </c>
    </row>
    <row r="1073" spans="1:17" x14ac:dyDescent="0.2">
      <c r="A1073" t="s">
        <v>1238</v>
      </c>
      <c r="B1073" s="1">
        <v>45782</v>
      </c>
      <c r="C1073" t="s">
        <v>18</v>
      </c>
      <c r="D1073" t="s">
        <v>86</v>
      </c>
      <c r="E1073" t="s">
        <v>87</v>
      </c>
      <c r="F1073" t="s">
        <v>60</v>
      </c>
      <c r="G1073" t="s">
        <v>75</v>
      </c>
      <c r="H1073" t="s">
        <v>23</v>
      </c>
      <c r="I1073" t="s">
        <v>24</v>
      </c>
      <c r="J1073" t="s">
        <v>108</v>
      </c>
      <c r="K1073">
        <v>1</v>
      </c>
      <c r="L1073" s="2">
        <v>26.73</v>
      </c>
      <c r="M1073" s="3">
        <v>0</v>
      </c>
      <c r="N1073" s="2">
        <v>26.73</v>
      </c>
      <c r="O1073" s="2">
        <v>14.8</v>
      </c>
      <c r="P1073" s="2">
        <v>11.93</v>
      </c>
      <c r="Q1073" t="s">
        <v>34</v>
      </c>
    </row>
    <row r="1074" spans="1:17" x14ac:dyDescent="0.2">
      <c r="A1074" t="s">
        <v>1239</v>
      </c>
      <c r="B1074" s="1">
        <v>45783</v>
      </c>
      <c r="C1074" t="s">
        <v>77</v>
      </c>
      <c r="D1074" t="s">
        <v>106</v>
      </c>
      <c r="E1074" t="s">
        <v>303</v>
      </c>
      <c r="F1074" t="s">
        <v>30</v>
      </c>
      <c r="G1074" t="s">
        <v>22</v>
      </c>
      <c r="H1074" t="s">
        <v>47</v>
      </c>
      <c r="I1074" t="s">
        <v>97</v>
      </c>
      <c r="J1074" t="s">
        <v>168</v>
      </c>
      <c r="K1074">
        <v>3</v>
      </c>
      <c r="L1074" s="2">
        <v>373.55</v>
      </c>
      <c r="M1074" s="3">
        <v>0.05</v>
      </c>
      <c r="N1074" s="2">
        <v>1064.6199999999999</v>
      </c>
      <c r="O1074" s="2">
        <v>785.26</v>
      </c>
      <c r="P1074" s="2">
        <v>279.36</v>
      </c>
      <c r="Q1074" t="s">
        <v>57</v>
      </c>
    </row>
    <row r="1075" spans="1:17" x14ac:dyDescent="0.2">
      <c r="A1075" t="s">
        <v>1240</v>
      </c>
      <c r="B1075" s="1">
        <v>45783</v>
      </c>
      <c r="C1075" t="s">
        <v>43</v>
      </c>
      <c r="D1075" t="s">
        <v>44</v>
      </c>
      <c r="E1075" t="s">
        <v>147</v>
      </c>
      <c r="F1075" t="s">
        <v>130</v>
      </c>
      <c r="G1075" t="s">
        <v>75</v>
      </c>
      <c r="H1075" t="s">
        <v>31</v>
      </c>
      <c r="I1075" t="s">
        <v>40</v>
      </c>
      <c r="J1075" t="s">
        <v>41</v>
      </c>
      <c r="K1075">
        <v>8</v>
      </c>
      <c r="L1075" s="2">
        <v>132.41999999999999</v>
      </c>
      <c r="M1075" s="3">
        <v>0.1</v>
      </c>
      <c r="N1075" s="2">
        <v>953.42</v>
      </c>
      <c r="O1075" s="2">
        <v>772.95</v>
      </c>
      <c r="P1075" s="2">
        <v>180.47</v>
      </c>
      <c r="Q1075" t="s">
        <v>61</v>
      </c>
    </row>
    <row r="1076" spans="1:17" x14ac:dyDescent="0.2">
      <c r="A1076" t="s">
        <v>1241</v>
      </c>
      <c r="B1076" s="1">
        <v>45783</v>
      </c>
      <c r="C1076" t="s">
        <v>77</v>
      </c>
      <c r="D1076" t="s">
        <v>95</v>
      </c>
      <c r="E1076" t="s">
        <v>300</v>
      </c>
      <c r="F1076" t="s">
        <v>130</v>
      </c>
      <c r="G1076" t="s">
        <v>75</v>
      </c>
      <c r="H1076" t="s">
        <v>23</v>
      </c>
      <c r="I1076" t="s">
        <v>79</v>
      </c>
      <c r="J1076" t="s">
        <v>179</v>
      </c>
      <c r="K1076">
        <v>2</v>
      </c>
      <c r="L1076" s="2">
        <v>212.34</v>
      </c>
      <c r="M1076" s="3">
        <v>0.2</v>
      </c>
      <c r="N1076" s="2">
        <v>339.74</v>
      </c>
      <c r="O1076" s="2">
        <v>262.95999999999998</v>
      </c>
      <c r="P1076" s="2">
        <v>76.78</v>
      </c>
      <c r="Q1076" t="s">
        <v>57</v>
      </c>
    </row>
    <row r="1077" spans="1:17" x14ac:dyDescent="0.2">
      <c r="A1077" t="s">
        <v>1242</v>
      </c>
      <c r="B1077" s="1">
        <v>45783</v>
      </c>
      <c r="C1077" t="s">
        <v>18</v>
      </c>
      <c r="D1077" t="s">
        <v>133</v>
      </c>
      <c r="E1077" t="s">
        <v>226</v>
      </c>
      <c r="F1077" t="s">
        <v>39</v>
      </c>
      <c r="G1077" t="s">
        <v>22</v>
      </c>
      <c r="H1077" t="s">
        <v>31</v>
      </c>
      <c r="I1077" t="s">
        <v>112</v>
      </c>
      <c r="J1077" t="s">
        <v>136</v>
      </c>
      <c r="K1077">
        <v>5</v>
      </c>
      <c r="L1077" s="2">
        <v>341.09</v>
      </c>
      <c r="M1077" s="3">
        <v>0.15</v>
      </c>
      <c r="N1077" s="2">
        <v>1449.63</v>
      </c>
      <c r="O1077" s="2">
        <v>806.06</v>
      </c>
      <c r="P1077" s="2">
        <v>643.57000000000005</v>
      </c>
      <c r="Q1077" t="s">
        <v>61</v>
      </c>
    </row>
    <row r="1078" spans="1:17" x14ac:dyDescent="0.2">
      <c r="A1078" t="s">
        <v>1243</v>
      </c>
      <c r="B1078" s="1">
        <v>45783</v>
      </c>
      <c r="C1078" t="s">
        <v>18</v>
      </c>
      <c r="D1078" t="s">
        <v>133</v>
      </c>
      <c r="E1078" t="s">
        <v>226</v>
      </c>
      <c r="F1078" t="s">
        <v>69</v>
      </c>
      <c r="G1078" t="s">
        <v>54</v>
      </c>
      <c r="H1078" t="s">
        <v>47</v>
      </c>
      <c r="I1078" t="s">
        <v>141</v>
      </c>
      <c r="J1078" t="s">
        <v>372</v>
      </c>
      <c r="K1078">
        <v>9</v>
      </c>
      <c r="L1078" s="2">
        <v>401.78</v>
      </c>
      <c r="M1078" s="3">
        <v>0</v>
      </c>
      <c r="N1078" s="2">
        <v>3616.02</v>
      </c>
      <c r="O1078" s="2">
        <v>2514.94</v>
      </c>
      <c r="P1078" s="2">
        <v>1101.08</v>
      </c>
      <c r="Q1078" t="s">
        <v>57</v>
      </c>
    </row>
    <row r="1079" spans="1:17" x14ac:dyDescent="0.2">
      <c r="A1079" t="s">
        <v>1244</v>
      </c>
      <c r="B1079" s="1">
        <v>45783</v>
      </c>
      <c r="C1079" t="s">
        <v>43</v>
      </c>
      <c r="D1079" t="s">
        <v>161</v>
      </c>
      <c r="E1079" t="s">
        <v>162</v>
      </c>
      <c r="F1079" t="s">
        <v>21</v>
      </c>
      <c r="G1079" t="s">
        <v>75</v>
      </c>
      <c r="H1079" t="s">
        <v>31</v>
      </c>
      <c r="I1079" t="s">
        <v>64</v>
      </c>
      <c r="J1079" t="s">
        <v>126</v>
      </c>
      <c r="K1079">
        <v>7</v>
      </c>
      <c r="L1079" s="2">
        <v>154.26</v>
      </c>
      <c r="M1079" s="3">
        <v>0.05</v>
      </c>
      <c r="N1079" s="2">
        <v>1025.83</v>
      </c>
      <c r="O1079" s="2">
        <v>730.91</v>
      </c>
      <c r="P1079" s="2">
        <v>294.92</v>
      </c>
      <c r="Q1079" t="s">
        <v>61</v>
      </c>
    </row>
    <row r="1080" spans="1:17" x14ac:dyDescent="0.2">
      <c r="A1080" t="s">
        <v>1245</v>
      </c>
      <c r="B1080" s="1">
        <v>45783</v>
      </c>
      <c r="C1080" t="s">
        <v>43</v>
      </c>
      <c r="D1080" t="s">
        <v>44</v>
      </c>
      <c r="E1080" t="s">
        <v>82</v>
      </c>
      <c r="F1080" t="s">
        <v>130</v>
      </c>
      <c r="G1080" t="s">
        <v>22</v>
      </c>
      <c r="H1080" t="s">
        <v>47</v>
      </c>
      <c r="I1080" t="s">
        <v>141</v>
      </c>
      <c r="J1080" t="s">
        <v>201</v>
      </c>
      <c r="K1080">
        <v>10</v>
      </c>
      <c r="L1080" s="2">
        <v>613.69000000000005</v>
      </c>
      <c r="M1080" s="3">
        <v>0.1</v>
      </c>
      <c r="N1080" s="2">
        <v>5523.21</v>
      </c>
      <c r="O1080" s="2">
        <v>4075.9</v>
      </c>
      <c r="P1080" s="2">
        <v>1447.31</v>
      </c>
      <c r="Q1080" t="s">
        <v>57</v>
      </c>
    </row>
    <row r="1081" spans="1:17" x14ac:dyDescent="0.2">
      <c r="A1081" t="s">
        <v>1246</v>
      </c>
      <c r="B1081" s="1">
        <v>45783</v>
      </c>
      <c r="C1081" t="s">
        <v>77</v>
      </c>
      <c r="D1081" t="s">
        <v>78</v>
      </c>
      <c r="E1081" t="s">
        <v>295</v>
      </c>
      <c r="F1081" t="s">
        <v>30</v>
      </c>
      <c r="G1081" t="s">
        <v>75</v>
      </c>
      <c r="H1081" t="s">
        <v>23</v>
      </c>
      <c r="I1081" t="s">
        <v>55</v>
      </c>
      <c r="J1081" t="s">
        <v>173</v>
      </c>
      <c r="K1081">
        <v>3</v>
      </c>
      <c r="L1081" s="2">
        <v>23.27</v>
      </c>
      <c r="M1081" s="3">
        <v>0</v>
      </c>
      <c r="N1081" s="2">
        <v>69.81</v>
      </c>
      <c r="O1081" s="2">
        <v>40.549999999999997</v>
      </c>
      <c r="P1081" s="2">
        <v>29.26</v>
      </c>
      <c r="Q1081" t="s">
        <v>34</v>
      </c>
    </row>
    <row r="1082" spans="1:17" x14ac:dyDescent="0.2">
      <c r="A1082" t="s">
        <v>1247</v>
      </c>
      <c r="B1082" s="1">
        <v>45783</v>
      </c>
      <c r="C1082" t="s">
        <v>77</v>
      </c>
      <c r="D1082" t="s">
        <v>149</v>
      </c>
      <c r="E1082" t="s">
        <v>309</v>
      </c>
      <c r="F1082" t="s">
        <v>130</v>
      </c>
      <c r="G1082" t="s">
        <v>75</v>
      </c>
      <c r="H1082" t="s">
        <v>23</v>
      </c>
      <c r="I1082" t="s">
        <v>24</v>
      </c>
      <c r="J1082" t="s">
        <v>220</v>
      </c>
      <c r="K1082">
        <v>2</v>
      </c>
      <c r="L1082" s="2">
        <v>19.43</v>
      </c>
      <c r="M1082" s="3">
        <v>0.1</v>
      </c>
      <c r="N1082" s="2">
        <v>34.97</v>
      </c>
      <c r="O1082" s="2">
        <v>21.41</v>
      </c>
      <c r="P1082" s="2">
        <v>13.56</v>
      </c>
      <c r="Q1082" t="s">
        <v>34</v>
      </c>
    </row>
    <row r="1083" spans="1:17" x14ac:dyDescent="0.2">
      <c r="A1083" t="s">
        <v>1248</v>
      </c>
      <c r="B1083" s="1">
        <v>45783</v>
      </c>
      <c r="C1083" t="s">
        <v>43</v>
      </c>
      <c r="D1083" t="s">
        <v>161</v>
      </c>
      <c r="E1083" t="s">
        <v>172</v>
      </c>
      <c r="F1083" t="s">
        <v>130</v>
      </c>
      <c r="G1083" t="s">
        <v>22</v>
      </c>
      <c r="H1083" t="s">
        <v>23</v>
      </c>
      <c r="I1083" t="s">
        <v>83</v>
      </c>
      <c r="J1083" t="s">
        <v>131</v>
      </c>
      <c r="K1083">
        <v>1</v>
      </c>
      <c r="L1083" s="2">
        <v>12.52</v>
      </c>
      <c r="M1083" s="3">
        <v>0</v>
      </c>
      <c r="N1083" s="2">
        <v>12.52</v>
      </c>
      <c r="O1083" s="2">
        <v>7.12</v>
      </c>
      <c r="P1083" s="2">
        <v>5.4</v>
      </c>
      <c r="Q1083" t="s">
        <v>61</v>
      </c>
    </row>
    <row r="1084" spans="1:17" x14ac:dyDescent="0.2">
      <c r="A1084" t="s">
        <v>1249</v>
      </c>
      <c r="B1084" s="1">
        <v>45784</v>
      </c>
      <c r="C1084" t="s">
        <v>77</v>
      </c>
      <c r="D1084" t="s">
        <v>78</v>
      </c>
      <c r="E1084" t="s">
        <v>52</v>
      </c>
      <c r="F1084" t="s">
        <v>53</v>
      </c>
      <c r="G1084" t="s">
        <v>54</v>
      </c>
      <c r="H1084" t="s">
        <v>31</v>
      </c>
      <c r="I1084" t="s">
        <v>40</v>
      </c>
      <c r="J1084" t="s">
        <v>41</v>
      </c>
      <c r="K1084">
        <v>5</v>
      </c>
      <c r="L1084" s="2">
        <v>143.24</v>
      </c>
      <c r="M1084" s="3">
        <v>0</v>
      </c>
      <c r="N1084" s="2">
        <v>716.2</v>
      </c>
      <c r="O1084" s="2">
        <v>506.29</v>
      </c>
      <c r="P1084" s="2">
        <v>209.91</v>
      </c>
      <c r="Q1084" t="s">
        <v>34</v>
      </c>
    </row>
    <row r="1085" spans="1:17" x14ac:dyDescent="0.2">
      <c r="A1085" t="s">
        <v>1250</v>
      </c>
      <c r="B1085" s="1">
        <v>45784</v>
      </c>
      <c r="C1085" t="s">
        <v>36</v>
      </c>
      <c r="D1085" t="s">
        <v>67</v>
      </c>
      <c r="E1085" t="s">
        <v>323</v>
      </c>
      <c r="F1085" t="s">
        <v>39</v>
      </c>
      <c r="G1085" t="s">
        <v>54</v>
      </c>
      <c r="H1085" t="s">
        <v>47</v>
      </c>
      <c r="I1085" t="s">
        <v>97</v>
      </c>
      <c r="J1085" t="s">
        <v>98</v>
      </c>
      <c r="K1085">
        <v>7</v>
      </c>
      <c r="L1085" s="2">
        <v>480.43</v>
      </c>
      <c r="M1085" s="3">
        <v>0.1</v>
      </c>
      <c r="N1085" s="2">
        <v>3026.71</v>
      </c>
      <c r="O1085" s="2">
        <v>2242.85</v>
      </c>
      <c r="P1085" s="2">
        <v>783.86</v>
      </c>
      <c r="Q1085" t="s">
        <v>61</v>
      </c>
    </row>
    <row r="1086" spans="1:17" x14ac:dyDescent="0.2">
      <c r="A1086" t="s">
        <v>1251</v>
      </c>
      <c r="B1086" s="1">
        <v>45784</v>
      </c>
      <c r="C1086" t="s">
        <v>18</v>
      </c>
      <c r="D1086" t="s">
        <v>86</v>
      </c>
      <c r="E1086" t="s">
        <v>87</v>
      </c>
      <c r="F1086" t="s">
        <v>21</v>
      </c>
      <c r="G1086" t="s">
        <v>75</v>
      </c>
      <c r="H1086" t="s">
        <v>47</v>
      </c>
      <c r="I1086" t="s">
        <v>48</v>
      </c>
      <c r="J1086" t="s">
        <v>93</v>
      </c>
      <c r="K1086">
        <v>8</v>
      </c>
      <c r="L1086" s="2">
        <v>583.63</v>
      </c>
      <c r="M1086" s="3">
        <v>0</v>
      </c>
      <c r="N1086" s="2">
        <v>4669.04</v>
      </c>
      <c r="O1086" s="2">
        <v>2954.44</v>
      </c>
      <c r="P1086" s="2">
        <v>1714.6</v>
      </c>
      <c r="Q1086" t="s">
        <v>61</v>
      </c>
    </row>
    <row r="1087" spans="1:17" x14ac:dyDescent="0.2">
      <c r="A1087" t="s">
        <v>1252</v>
      </c>
      <c r="B1087" s="1">
        <v>45784</v>
      </c>
      <c r="C1087" t="s">
        <v>43</v>
      </c>
      <c r="D1087" t="s">
        <v>51</v>
      </c>
      <c r="E1087" t="s">
        <v>59</v>
      </c>
      <c r="F1087" t="s">
        <v>138</v>
      </c>
      <c r="G1087" t="s">
        <v>75</v>
      </c>
      <c r="H1087" t="s">
        <v>31</v>
      </c>
      <c r="I1087" t="s">
        <v>64</v>
      </c>
      <c r="J1087" t="s">
        <v>126</v>
      </c>
      <c r="K1087">
        <v>7</v>
      </c>
      <c r="L1087" s="2">
        <v>166.8</v>
      </c>
      <c r="M1087" s="3">
        <v>0.1</v>
      </c>
      <c r="N1087" s="2">
        <v>1050.8399999999999</v>
      </c>
      <c r="O1087" s="2">
        <v>813.82</v>
      </c>
      <c r="P1087" s="2">
        <v>237.02</v>
      </c>
      <c r="Q1087" t="s">
        <v>26</v>
      </c>
    </row>
    <row r="1088" spans="1:17" x14ac:dyDescent="0.2">
      <c r="A1088" t="s">
        <v>1253</v>
      </c>
      <c r="B1088" s="1">
        <v>45784</v>
      </c>
      <c r="C1088" t="s">
        <v>36</v>
      </c>
      <c r="D1088" t="s">
        <v>144</v>
      </c>
      <c r="E1088" t="s">
        <v>145</v>
      </c>
      <c r="F1088" t="s">
        <v>30</v>
      </c>
      <c r="G1088" t="s">
        <v>22</v>
      </c>
      <c r="H1088" t="s">
        <v>47</v>
      </c>
      <c r="I1088" t="s">
        <v>89</v>
      </c>
      <c r="J1088" t="s">
        <v>90</v>
      </c>
      <c r="K1088">
        <v>10</v>
      </c>
      <c r="L1088" s="2">
        <v>240.96</v>
      </c>
      <c r="M1088" s="3">
        <v>0.1</v>
      </c>
      <c r="N1088" s="2">
        <v>2168.64</v>
      </c>
      <c r="O1088" s="2">
        <v>1423.4</v>
      </c>
      <c r="P1088" s="2">
        <v>745.24</v>
      </c>
      <c r="Q1088" t="s">
        <v>34</v>
      </c>
    </row>
    <row r="1089" spans="1:17" x14ac:dyDescent="0.2">
      <c r="A1089" t="s">
        <v>1254</v>
      </c>
      <c r="B1089" s="1">
        <v>45784</v>
      </c>
      <c r="C1089" t="s">
        <v>77</v>
      </c>
      <c r="D1089" t="s">
        <v>95</v>
      </c>
      <c r="E1089" t="s">
        <v>367</v>
      </c>
      <c r="F1089" t="s">
        <v>39</v>
      </c>
      <c r="G1089" t="s">
        <v>54</v>
      </c>
      <c r="H1089" t="s">
        <v>23</v>
      </c>
      <c r="I1089" t="s">
        <v>24</v>
      </c>
      <c r="J1089" t="s">
        <v>25</v>
      </c>
      <c r="K1089">
        <v>6</v>
      </c>
      <c r="L1089" s="2">
        <v>15.28</v>
      </c>
      <c r="M1089" s="3">
        <v>0.05</v>
      </c>
      <c r="N1089" s="2">
        <v>87.1</v>
      </c>
      <c r="O1089" s="2">
        <v>55.3</v>
      </c>
      <c r="P1089" s="2">
        <v>31.8</v>
      </c>
      <c r="Q1089" t="s">
        <v>26</v>
      </c>
    </row>
    <row r="1090" spans="1:17" x14ac:dyDescent="0.2">
      <c r="A1090" t="s">
        <v>1255</v>
      </c>
      <c r="B1090" s="1">
        <v>45784</v>
      </c>
      <c r="C1090" t="s">
        <v>36</v>
      </c>
      <c r="D1090" t="s">
        <v>67</v>
      </c>
      <c r="E1090" t="s">
        <v>270</v>
      </c>
      <c r="F1090" t="s">
        <v>39</v>
      </c>
      <c r="G1090" t="s">
        <v>54</v>
      </c>
      <c r="H1090" t="s">
        <v>23</v>
      </c>
      <c r="I1090" t="s">
        <v>79</v>
      </c>
      <c r="J1090" t="s">
        <v>233</v>
      </c>
      <c r="K1090">
        <v>2</v>
      </c>
      <c r="L1090" s="2">
        <v>207.02</v>
      </c>
      <c r="M1090" s="3">
        <v>0.15</v>
      </c>
      <c r="N1090" s="2">
        <v>351.93</v>
      </c>
      <c r="O1090" s="2">
        <v>234.86</v>
      </c>
      <c r="P1090" s="2">
        <v>117.07</v>
      </c>
      <c r="Q1090" t="s">
        <v>57</v>
      </c>
    </row>
    <row r="1091" spans="1:17" x14ac:dyDescent="0.2">
      <c r="A1091" t="s">
        <v>1256</v>
      </c>
      <c r="B1091" s="1">
        <v>45785</v>
      </c>
      <c r="C1091" t="s">
        <v>36</v>
      </c>
      <c r="D1091" t="s">
        <v>67</v>
      </c>
      <c r="E1091" t="s">
        <v>270</v>
      </c>
      <c r="F1091" t="s">
        <v>69</v>
      </c>
      <c r="G1091" t="s">
        <v>22</v>
      </c>
      <c r="H1091" t="s">
        <v>31</v>
      </c>
      <c r="I1091" t="s">
        <v>40</v>
      </c>
      <c r="J1091" t="s">
        <v>122</v>
      </c>
      <c r="K1091">
        <v>8</v>
      </c>
      <c r="L1091" s="2">
        <v>126.21</v>
      </c>
      <c r="M1091" s="3">
        <v>0</v>
      </c>
      <c r="N1091" s="2">
        <v>1009.68</v>
      </c>
      <c r="O1091" s="2">
        <v>609.53</v>
      </c>
      <c r="P1091" s="2">
        <v>400.15</v>
      </c>
      <c r="Q1091" t="s">
        <v>61</v>
      </c>
    </row>
    <row r="1092" spans="1:17" x14ac:dyDescent="0.2">
      <c r="A1092" t="s">
        <v>1257</v>
      </c>
      <c r="B1092" s="1">
        <v>45785</v>
      </c>
      <c r="C1092" t="s">
        <v>43</v>
      </c>
      <c r="D1092" t="s">
        <v>161</v>
      </c>
      <c r="E1092" t="s">
        <v>418</v>
      </c>
      <c r="F1092" t="s">
        <v>71</v>
      </c>
      <c r="G1092" t="s">
        <v>22</v>
      </c>
      <c r="H1092" t="s">
        <v>47</v>
      </c>
      <c r="I1092" t="s">
        <v>89</v>
      </c>
      <c r="J1092" t="s">
        <v>90</v>
      </c>
      <c r="K1092">
        <v>5</v>
      </c>
      <c r="L1092" s="2">
        <v>231.82</v>
      </c>
      <c r="M1092" s="3">
        <v>0</v>
      </c>
      <c r="N1092" s="2">
        <v>1159.0999999999999</v>
      </c>
      <c r="O1092" s="2">
        <v>670.05</v>
      </c>
      <c r="P1092" s="2">
        <v>489.05</v>
      </c>
      <c r="Q1092" t="s">
        <v>26</v>
      </c>
    </row>
    <row r="1093" spans="1:17" x14ac:dyDescent="0.2">
      <c r="A1093" t="s">
        <v>1258</v>
      </c>
      <c r="B1093" s="1">
        <v>45785</v>
      </c>
      <c r="C1093" t="s">
        <v>43</v>
      </c>
      <c r="D1093" t="s">
        <v>208</v>
      </c>
      <c r="E1093" t="s">
        <v>287</v>
      </c>
      <c r="F1093" t="s">
        <v>130</v>
      </c>
      <c r="G1093" t="s">
        <v>75</v>
      </c>
      <c r="H1093" t="s">
        <v>47</v>
      </c>
      <c r="I1093" t="s">
        <v>89</v>
      </c>
      <c r="J1093" t="s">
        <v>204</v>
      </c>
      <c r="K1093">
        <v>8</v>
      </c>
      <c r="L1093" s="2">
        <v>270.39</v>
      </c>
      <c r="M1093" s="3">
        <v>0</v>
      </c>
      <c r="N1093" s="2">
        <v>2163.12</v>
      </c>
      <c r="O1093" s="2">
        <v>1431.94</v>
      </c>
      <c r="P1093" s="2">
        <v>731.18</v>
      </c>
      <c r="Q1093" t="s">
        <v>34</v>
      </c>
    </row>
    <row r="1094" spans="1:17" x14ac:dyDescent="0.2">
      <c r="A1094" t="s">
        <v>1259</v>
      </c>
      <c r="B1094" s="1">
        <v>45785</v>
      </c>
      <c r="C1094" t="s">
        <v>18</v>
      </c>
      <c r="D1094" t="s">
        <v>133</v>
      </c>
      <c r="E1094" t="s">
        <v>226</v>
      </c>
      <c r="F1094" t="s">
        <v>21</v>
      </c>
      <c r="G1094" t="s">
        <v>22</v>
      </c>
      <c r="H1094" t="s">
        <v>31</v>
      </c>
      <c r="I1094" t="s">
        <v>112</v>
      </c>
      <c r="J1094" t="s">
        <v>176</v>
      </c>
      <c r="K1094">
        <v>9</v>
      </c>
      <c r="L1094" s="2">
        <v>432.72</v>
      </c>
      <c r="M1094" s="3">
        <v>0.05</v>
      </c>
      <c r="N1094" s="2">
        <v>3699.76</v>
      </c>
      <c r="O1094" s="2">
        <v>2675.5</v>
      </c>
      <c r="P1094" s="2">
        <v>1024.26</v>
      </c>
      <c r="Q1094" t="s">
        <v>57</v>
      </c>
    </row>
    <row r="1095" spans="1:17" x14ac:dyDescent="0.2">
      <c r="A1095" t="s">
        <v>1260</v>
      </c>
      <c r="B1095" s="1">
        <v>45785</v>
      </c>
      <c r="C1095" t="s">
        <v>36</v>
      </c>
      <c r="D1095" t="s">
        <v>73</v>
      </c>
      <c r="E1095" t="s">
        <v>74</v>
      </c>
      <c r="F1095" t="s">
        <v>71</v>
      </c>
      <c r="G1095" t="s">
        <v>75</v>
      </c>
      <c r="H1095" t="s">
        <v>23</v>
      </c>
      <c r="I1095" t="s">
        <v>79</v>
      </c>
      <c r="J1095" t="s">
        <v>179</v>
      </c>
      <c r="K1095">
        <v>7</v>
      </c>
      <c r="L1095" s="2">
        <v>211.25</v>
      </c>
      <c r="M1095" s="3">
        <v>0.1</v>
      </c>
      <c r="N1095" s="2">
        <v>1330.88</v>
      </c>
      <c r="O1095" s="2">
        <v>1020.83</v>
      </c>
      <c r="P1095" s="2">
        <v>310.05</v>
      </c>
      <c r="Q1095" t="s">
        <v>34</v>
      </c>
    </row>
    <row r="1096" spans="1:17" x14ac:dyDescent="0.2">
      <c r="A1096" t="s">
        <v>1261</v>
      </c>
      <c r="B1096" s="1">
        <v>45785</v>
      </c>
      <c r="C1096" t="s">
        <v>77</v>
      </c>
      <c r="D1096" t="s">
        <v>106</v>
      </c>
      <c r="E1096" t="s">
        <v>236</v>
      </c>
      <c r="F1096" t="s">
        <v>46</v>
      </c>
      <c r="G1096" t="s">
        <v>22</v>
      </c>
      <c r="H1096" t="s">
        <v>31</v>
      </c>
      <c r="I1096" t="s">
        <v>64</v>
      </c>
      <c r="J1096" t="s">
        <v>65</v>
      </c>
      <c r="K1096">
        <v>4</v>
      </c>
      <c r="L1096" s="2">
        <v>37.56</v>
      </c>
      <c r="M1096" s="3">
        <v>0.1</v>
      </c>
      <c r="N1096" s="2">
        <v>135.22</v>
      </c>
      <c r="O1096" s="2">
        <v>100.37</v>
      </c>
      <c r="P1096" s="2">
        <v>34.85</v>
      </c>
      <c r="Q1096" t="s">
        <v>57</v>
      </c>
    </row>
    <row r="1097" spans="1:17" x14ac:dyDescent="0.2">
      <c r="A1097" t="s">
        <v>1262</v>
      </c>
      <c r="B1097" s="1">
        <v>45785</v>
      </c>
      <c r="C1097" t="s">
        <v>77</v>
      </c>
      <c r="D1097" t="s">
        <v>149</v>
      </c>
      <c r="E1097" t="s">
        <v>206</v>
      </c>
      <c r="F1097" t="s">
        <v>130</v>
      </c>
      <c r="G1097" t="s">
        <v>54</v>
      </c>
      <c r="H1097" t="s">
        <v>23</v>
      </c>
      <c r="I1097" t="s">
        <v>24</v>
      </c>
      <c r="J1097" t="s">
        <v>108</v>
      </c>
      <c r="K1097">
        <v>2</v>
      </c>
      <c r="L1097" s="2">
        <v>10.39</v>
      </c>
      <c r="M1097" s="3">
        <v>0</v>
      </c>
      <c r="N1097" s="2">
        <v>20.78</v>
      </c>
      <c r="O1097" s="2">
        <v>14.29</v>
      </c>
      <c r="P1097" s="2">
        <v>6.49</v>
      </c>
      <c r="Q1097" t="s">
        <v>34</v>
      </c>
    </row>
    <row r="1098" spans="1:17" x14ac:dyDescent="0.2">
      <c r="A1098" t="s">
        <v>1263</v>
      </c>
      <c r="B1098" s="1">
        <v>45785</v>
      </c>
      <c r="C1098" t="s">
        <v>18</v>
      </c>
      <c r="D1098" t="s">
        <v>28</v>
      </c>
      <c r="E1098" t="s">
        <v>170</v>
      </c>
      <c r="F1098" t="s">
        <v>30</v>
      </c>
      <c r="G1098" t="s">
        <v>75</v>
      </c>
      <c r="H1098" t="s">
        <v>47</v>
      </c>
      <c r="I1098" t="s">
        <v>141</v>
      </c>
      <c r="J1098" t="s">
        <v>372</v>
      </c>
      <c r="K1098">
        <v>8</v>
      </c>
      <c r="L1098" s="2">
        <v>517.54</v>
      </c>
      <c r="M1098" s="3">
        <v>0.1</v>
      </c>
      <c r="N1098" s="2">
        <v>3726.29</v>
      </c>
      <c r="O1098" s="2">
        <v>2976.78</v>
      </c>
      <c r="P1098" s="2">
        <v>749.51</v>
      </c>
      <c r="Q1098" t="s">
        <v>26</v>
      </c>
    </row>
    <row r="1099" spans="1:17" x14ac:dyDescent="0.2">
      <c r="A1099" t="s">
        <v>1264</v>
      </c>
      <c r="B1099" s="1">
        <v>45785</v>
      </c>
      <c r="C1099" t="s">
        <v>77</v>
      </c>
      <c r="D1099" t="s">
        <v>128</v>
      </c>
      <c r="E1099" t="s">
        <v>129</v>
      </c>
      <c r="F1099" t="s">
        <v>53</v>
      </c>
      <c r="G1099" t="s">
        <v>75</v>
      </c>
      <c r="H1099" t="s">
        <v>47</v>
      </c>
      <c r="I1099" t="s">
        <v>141</v>
      </c>
      <c r="J1099" t="s">
        <v>372</v>
      </c>
      <c r="K1099">
        <v>10</v>
      </c>
      <c r="L1099" s="2">
        <v>503.46</v>
      </c>
      <c r="M1099" s="3">
        <v>0.1</v>
      </c>
      <c r="N1099" s="2">
        <v>4531.1400000000003</v>
      </c>
      <c r="O1099" s="2">
        <v>2692.21</v>
      </c>
      <c r="P1099" s="2">
        <v>1838.93</v>
      </c>
      <c r="Q1099" t="s">
        <v>34</v>
      </c>
    </row>
    <row r="1100" spans="1:17" x14ac:dyDescent="0.2">
      <c r="A1100" t="s">
        <v>1265</v>
      </c>
      <c r="B1100" s="1">
        <v>45786</v>
      </c>
      <c r="C1100" t="s">
        <v>77</v>
      </c>
      <c r="D1100" t="s">
        <v>149</v>
      </c>
      <c r="E1100" t="s">
        <v>206</v>
      </c>
      <c r="F1100" t="s">
        <v>39</v>
      </c>
      <c r="G1100" t="s">
        <v>22</v>
      </c>
      <c r="H1100" t="s">
        <v>23</v>
      </c>
      <c r="I1100" t="s">
        <v>24</v>
      </c>
      <c r="J1100" t="s">
        <v>25</v>
      </c>
      <c r="K1100">
        <v>3</v>
      </c>
      <c r="L1100" s="2">
        <v>18.170000000000002</v>
      </c>
      <c r="M1100" s="3">
        <v>0.05</v>
      </c>
      <c r="N1100" s="2">
        <v>51.78</v>
      </c>
      <c r="O1100" s="2">
        <v>28.63</v>
      </c>
      <c r="P1100" s="2">
        <v>23.15</v>
      </c>
      <c r="Q1100" t="s">
        <v>26</v>
      </c>
    </row>
    <row r="1101" spans="1:17" x14ac:dyDescent="0.2">
      <c r="A1101" t="s">
        <v>1266</v>
      </c>
      <c r="B1101" s="1">
        <v>45786</v>
      </c>
      <c r="C1101" t="s">
        <v>18</v>
      </c>
      <c r="D1101" t="s">
        <v>86</v>
      </c>
      <c r="E1101" t="s">
        <v>140</v>
      </c>
      <c r="F1101" t="s">
        <v>71</v>
      </c>
      <c r="G1101" t="s">
        <v>54</v>
      </c>
      <c r="H1101" t="s">
        <v>47</v>
      </c>
      <c r="I1101" t="s">
        <v>48</v>
      </c>
      <c r="J1101" t="s">
        <v>49</v>
      </c>
      <c r="K1101">
        <v>6</v>
      </c>
      <c r="L1101" s="2">
        <v>794.57</v>
      </c>
      <c r="M1101" s="3">
        <v>0.05</v>
      </c>
      <c r="N1101" s="2">
        <v>4529.05</v>
      </c>
      <c r="O1101" s="2">
        <v>3501.75</v>
      </c>
      <c r="P1101" s="2">
        <v>1027.3</v>
      </c>
      <c r="Q1101" t="s">
        <v>61</v>
      </c>
    </row>
    <row r="1102" spans="1:17" x14ac:dyDescent="0.2">
      <c r="A1102" t="s">
        <v>1267</v>
      </c>
      <c r="B1102" s="1">
        <v>45786</v>
      </c>
      <c r="C1102" t="s">
        <v>18</v>
      </c>
      <c r="D1102" t="s">
        <v>152</v>
      </c>
      <c r="E1102" t="s">
        <v>166</v>
      </c>
      <c r="F1102" t="s">
        <v>46</v>
      </c>
      <c r="G1102" t="s">
        <v>22</v>
      </c>
      <c r="H1102" t="s">
        <v>31</v>
      </c>
      <c r="I1102" t="s">
        <v>40</v>
      </c>
      <c r="J1102" t="s">
        <v>216</v>
      </c>
      <c r="K1102">
        <v>10</v>
      </c>
      <c r="L1102" s="2">
        <v>52.59</v>
      </c>
      <c r="M1102" s="3">
        <v>0</v>
      </c>
      <c r="N1102" s="2">
        <v>525.9</v>
      </c>
      <c r="O1102" s="2">
        <v>389.24</v>
      </c>
      <c r="P1102" s="2">
        <v>136.66</v>
      </c>
      <c r="Q1102" t="s">
        <v>57</v>
      </c>
    </row>
    <row r="1103" spans="1:17" x14ac:dyDescent="0.2">
      <c r="A1103" t="s">
        <v>1268</v>
      </c>
      <c r="B1103" s="1">
        <v>45786</v>
      </c>
      <c r="C1103" t="s">
        <v>36</v>
      </c>
      <c r="D1103" t="s">
        <v>73</v>
      </c>
      <c r="E1103" t="s">
        <v>212</v>
      </c>
      <c r="F1103" t="s">
        <v>60</v>
      </c>
      <c r="G1103" t="s">
        <v>22</v>
      </c>
      <c r="H1103" t="s">
        <v>31</v>
      </c>
      <c r="I1103" t="s">
        <v>64</v>
      </c>
      <c r="J1103" t="s">
        <v>252</v>
      </c>
      <c r="K1103">
        <v>6</v>
      </c>
      <c r="L1103" s="2">
        <v>142.12</v>
      </c>
      <c r="M1103" s="3">
        <v>0.1</v>
      </c>
      <c r="N1103" s="2">
        <v>767.45</v>
      </c>
      <c r="O1103" s="2">
        <v>601.84</v>
      </c>
      <c r="P1103" s="2">
        <v>165.61</v>
      </c>
      <c r="Q1103" t="s">
        <v>61</v>
      </c>
    </row>
    <row r="1104" spans="1:17" x14ac:dyDescent="0.2">
      <c r="A1104" t="s">
        <v>1269</v>
      </c>
      <c r="B1104" s="1">
        <v>45786</v>
      </c>
      <c r="C1104" t="s">
        <v>43</v>
      </c>
      <c r="D1104" t="s">
        <v>44</v>
      </c>
      <c r="E1104" t="s">
        <v>45</v>
      </c>
      <c r="F1104" t="s">
        <v>71</v>
      </c>
      <c r="G1104" t="s">
        <v>54</v>
      </c>
      <c r="H1104" t="s">
        <v>31</v>
      </c>
      <c r="I1104" t="s">
        <v>32</v>
      </c>
      <c r="J1104" t="s">
        <v>33</v>
      </c>
      <c r="K1104">
        <v>8</v>
      </c>
      <c r="L1104" s="2">
        <v>1376.31</v>
      </c>
      <c r="M1104" s="3">
        <v>0</v>
      </c>
      <c r="N1104" s="2">
        <v>11010.48</v>
      </c>
      <c r="O1104" s="2">
        <v>6993.55</v>
      </c>
      <c r="P1104" s="2">
        <v>4016.93</v>
      </c>
      <c r="Q1104" t="s">
        <v>61</v>
      </c>
    </row>
    <row r="1105" spans="1:17" x14ac:dyDescent="0.2">
      <c r="A1105" t="s">
        <v>1270</v>
      </c>
      <c r="B1105" s="1">
        <v>45786</v>
      </c>
      <c r="C1105" t="s">
        <v>77</v>
      </c>
      <c r="D1105" t="s">
        <v>128</v>
      </c>
      <c r="E1105" t="s">
        <v>155</v>
      </c>
      <c r="F1105" t="s">
        <v>130</v>
      </c>
      <c r="G1105" t="s">
        <v>22</v>
      </c>
      <c r="H1105" t="s">
        <v>47</v>
      </c>
      <c r="I1105" t="s">
        <v>48</v>
      </c>
      <c r="J1105" t="s">
        <v>164</v>
      </c>
      <c r="K1105">
        <v>6</v>
      </c>
      <c r="L1105" s="2">
        <v>295.14999999999998</v>
      </c>
      <c r="M1105" s="3">
        <v>0</v>
      </c>
      <c r="N1105" s="2">
        <v>1770.9</v>
      </c>
      <c r="O1105" s="2">
        <v>1350.48</v>
      </c>
      <c r="P1105" s="2">
        <v>420.42</v>
      </c>
      <c r="Q1105" t="s">
        <v>61</v>
      </c>
    </row>
    <row r="1106" spans="1:17" x14ac:dyDescent="0.2">
      <c r="A1106" t="s">
        <v>1271</v>
      </c>
      <c r="B1106" s="1">
        <v>45786</v>
      </c>
      <c r="C1106" t="s">
        <v>77</v>
      </c>
      <c r="D1106" t="s">
        <v>95</v>
      </c>
      <c r="E1106" t="s">
        <v>300</v>
      </c>
      <c r="F1106" t="s">
        <v>46</v>
      </c>
      <c r="G1106" t="s">
        <v>75</v>
      </c>
      <c r="H1106" t="s">
        <v>23</v>
      </c>
      <c r="I1106" t="s">
        <v>83</v>
      </c>
      <c r="J1106" t="s">
        <v>84</v>
      </c>
      <c r="K1106">
        <v>5</v>
      </c>
      <c r="L1106" s="2">
        <v>15.17</v>
      </c>
      <c r="M1106" s="3">
        <v>0.1</v>
      </c>
      <c r="N1106" s="2">
        <v>68.260000000000005</v>
      </c>
      <c r="O1106" s="2">
        <v>44.98</v>
      </c>
      <c r="P1106" s="2">
        <v>23.28</v>
      </c>
      <c r="Q1106" t="s">
        <v>34</v>
      </c>
    </row>
    <row r="1107" spans="1:17" x14ac:dyDescent="0.2">
      <c r="A1107" t="s">
        <v>1272</v>
      </c>
      <c r="B1107" s="1">
        <v>45786</v>
      </c>
      <c r="C1107" t="s">
        <v>43</v>
      </c>
      <c r="D1107" t="s">
        <v>208</v>
      </c>
      <c r="E1107" t="s">
        <v>209</v>
      </c>
      <c r="F1107" t="s">
        <v>30</v>
      </c>
      <c r="G1107" t="s">
        <v>22</v>
      </c>
      <c r="H1107" t="s">
        <v>31</v>
      </c>
      <c r="I1107" t="s">
        <v>32</v>
      </c>
      <c r="J1107" t="s">
        <v>33</v>
      </c>
      <c r="K1107">
        <v>7</v>
      </c>
      <c r="L1107" s="2">
        <v>1627.47</v>
      </c>
      <c r="M1107" s="3">
        <v>0.05</v>
      </c>
      <c r="N1107" s="2">
        <v>10822.68</v>
      </c>
      <c r="O1107" s="2">
        <v>7040.1</v>
      </c>
      <c r="P1107" s="2">
        <v>3782.58</v>
      </c>
      <c r="Q1107" t="s">
        <v>57</v>
      </c>
    </row>
    <row r="1108" spans="1:17" x14ac:dyDescent="0.2">
      <c r="A1108" t="s">
        <v>1273</v>
      </c>
      <c r="B1108" s="1">
        <v>45786</v>
      </c>
      <c r="C1108" t="s">
        <v>18</v>
      </c>
      <c r="D1108" t="s">
        <v>133</v>
      </c>
      <c r="E1108" t="s">
        <v>197</v>
      </c>
      <c r="F1108" t="s">
        <v>39</v>
      </c>
      <c r="G1108" t="s">
        <v>54</v>
      </c>
      <c r="H1108" t="s">
        <v>31</v>
      </c>
      <c r="I1108" t="s">
        <v>112</v>
      </c>
      <c r="J1108" t="s">
        <v>176</v>
      </c>
      <c r="K1108">
        <v>8</v>
      </c>
      <c r="L1108" s="2">
        <v>670</v>
      </c>
      <c r="M1108" s="3">
        <v>0.05</v>
      </c>
      <c r="N1108" s="2">
        <v>5092</v>
      </c>
      <c r="O1108" s="2">
        <v>3055.62</v>
      </c>
      <c r="P1108" s="2">
        <v>2036.38</v>
      </c>
      <c r="Q1108" t="s">
        <v>57</v>
      </c>
    </row>
    <row r="1109" spans="1:17" x14ac:dyDescent="0.2">
      <c r="A1109" t="s">
        <v>1274</v>
      </c>
      <c r="B1109" s="1">
        <v>45786</v>
      </c>
      <c r="C1109" t="s">
        <v>43</v>
      </c>
      <c r="D1109" t="s">
        <v>208</v>
      </c>
      <c r="E1109" t="s">
        <v>230</v>
      </c>
      <c r="F1109" t="s">
        <v>53</v>
      </c>
      <c r="G1109" t="s">
        <v>22</v>
      </c>
      <c r="H1109" t="s">
        <v>23</v>
      </c>
      <c r="I1109" t="s">
        <v>24</v>
      </c>
      <c r="J1109" t="s">
        <v>220</v>
      </c>
      <c r="K1109">
        <v>4</v>
      </c>
      <c r="L1109" s="2">
        <v>20.239999999999998</v>
      </c>
      <c r="M1109" s="3">
        <v>0.05</v>
      </c>
      <c r="N1109" s="2">
        <v>76.91</v>
      </c>
      <c r="O1109" s="2">
        <v>52.59</v>
      </c>
      <c r="P1109" s="2">
        <v>24.32</v>
      </c>
      <c r="Q1109" t="s">
        <v>26</v>
      </c>
    </row>
    <row r="1110" spans="1:17" x14ac:dyDescent="0.2">
      <c r="A1110" t="s">
        <v>1275</v>
      </c>
      <c r="B1110" s="1">
        <v>45786</v>
      </c>
      <c r="C1110" t="s">
        <v>43</v>
      </c>
      <c r="D1110" t="s">
        <v>208</v>
      </c>
      <c r="E1110" t="s">
        <v>287</v>
      </c>
      <c r="F1110" t="s">
        <v>39</v>
      </c>
      <c r="G1110" t="s">
        <v>75</v>
      </c>
      <c r="H1110" t="s">
        <v>31</v>
      </c>
      <c r="I1110" t="s">
        <v>32</v>
      </c>
      <c r="J1110" t="s">
        <v>104</v>
      </c>
      <c r="K1110">
        <v>10</v>
      </c>
      <c r="L1110" s="2">
        <v>1471.8</v>
      </c>
      <c r="M1110" s="3">
        <v>0.05</v>
      </c>
      <c r="N1110" s="2">
        <v>13982.1</v>
      </c>
      <c r="O1110" s="2">
        <v>10624.2</v>
      </c>
      <c r="P1110" s="2">
        <v>3357.9</v>
      </c>
      <c r="Q1110" t="s">
        <v>61</v>
      </c>
    </row>
    <row r="1111" spans="1:17" x14ac:dyDescent="0.2">
      <c r="A1111" t="s">
        <v>1276</v>
      </c>
      <c r="B1111" s="1">
        <v>45787</v>
      </c>
      <c r="C1111" t="s">
        <v>36</v>
      </c>
      <c r="D1111" t="s">
        <v>37</v>
      </c>
      <c r="E1111" t="s">
        <v>255</v>
      </c>
      <c r="F1111" t="s">
        <v>69</v>
      </c>
      <c r="G1111" t="s">
        <v>75</v>
      </c>
      <c r="H1111" t="s">
        <v>47</v>
      </c>
      <c r="I1111" t="s">
        <v>97</v>
      </c>
      <c r="J1111" t="s">
        <v>98</v>
      </c>
      <c r="K1111">
        <v>9</v>
      </c>
      <c r="L1111" s="2">
        <v>571.05999999999995</v>
      </c>
      <c r="M1111" s="3">
        <v>0</v>
      </c>
      <c r="N1111" s="2">
        <v>5139.54</v>
      </c>
      <c r="O1111" s="2">
        <v>3684.72</v>
      </c>
      <c r="P1111" s="2">
        <v>1454.82</v>
      </c>
      <c r="Q1111" t="s">
        <v>34</v>
      </c>
    </row>
    <row r="1112" spans="1:17" x14ac:dyDescent="0.2">
      <c r="A1112" t="s">
        <v>1277</v>
      </c>
      <c r="B1112" s="1">
        <v>45787</v>
      </c>
      <c r="C1112" t="s">
        <v>77</v>
      </c>
      <c r="D1112" t="s">
        <v>106</v>
      </c>
      <c r="E1112" t="s">
        <v>236</v>
      </c>
      <c r="F1112" t="s">
        <v>30</v>
      </c>
      <c r="G1112" t="s">
        <v>22</v>
      </c>
      <c r="H1112" t="s">
        <v>23</v>
      </c>
      <c r="I1112" t="s">
        <v>83</v>
      </c>
      <c r="J1112" t="s">
        <v>84</v>
      </c>
      <c r="K1112">
        <v>3</v>
      </c>
      <c r="L1112" s="2">
        <v>9.82</v>
      </c>
      <c r="M1112" s="3">
        <v>0.2</v>
      </c>
      <c r="N1112" s="2">
        <v>23.57</v>
      </c>
      <c r="O1112" s="2">
        <v>17.010000000000002</v>
      </c>
      <c r="P1112" s="2">
        <v>6.56</v>
      </c>
      <c r="Q1112" t="s">
        <v>34</v>
      </c>
    </row>
    <row r="1113" spans="1:17" x14ac:dyDescent="0.2">
      <c r="A1113" t="s">
        <v>1278</v>
      </c>
      <c r="B1113" s="1">
        <v>45787</v>
      </c>
      <c r="C1113" t="s">
        <v>18</v>
      </c>
      <c r="D1113" t="s">
        <v>19</v>
      </c>
      <c r="E1113" t="s">
        <v>100</v>
      </c>
      <c r="F1113" t="s">
        <v>46</v>
      </c>
      <c r="G1113" t="s">
        <v>75</v>
      </c>
      <c r="H1113" t="s">
        <v>23</v>
      </c>
      <c r="I1113" t="s">
        <v>83</v>
      </c>
      <c r="J1113" t="s">
        <v>120</v>
      </c>
      <c r="K1113">
        <v>1</v>
      </c>
      <c r="L1113" s="2">
        <v>31.63</v>
      </c>
      <c r="M1113" s="3">
        <v>0.1</v>
      </c>
      <c r="N1113" s="2">
        <v>28.47</v>
      </c>
      <c r="O1113" s="2">
        <v>20.91</v>
      </c>
      <c r="P1113" s="2">
        <v>7.56</v>
      </c>
      <c r="Q1113" t="s">
        <v>57</v>
      </c>
    </row>
    <row r="1114" spans="1:17" x14ac:dyDescent="0.2">
      <c r="A1114" t="s">
        <v>1279</v>
      </c>
      <c r="B1114" s="1">
        <v>45787</v>
      </c>
      <c r="C1114" t="s">
        <v>36</v>
      </c>
      <c r="D1114" t="s">
        <v>37</v>
      </c>
      <c r="E1114" t="s">
        <v>187</v>
      </c>
      <c r="F1114" t="s">
        <v>138</v>
      </c>
      <c r="G1114" t="s">
        <v>22</v>
      </c>
      <c r="H1114" t="s">
        <v>47</v>
      </c>
      <c r="I1114" t="s">
        <v>89</v>
      </c>
      <c r="J1114" t="s">
        <v>204</v>
      </c>
      <c r="K1114">
        <v>2</v>
      </c>
      <c r="L1114" s="2">
        <v>255.35</v>
      </c>
      <c r="M1114" s="3">
        <v>0</v>
      </c>
      <c r="N1114" s="2">
        <v>510.7</v>
      </c>
      <c r="O1114" s="2">
        <v>365.01</v>
      </c>
      <c r="P1114" s="2">
        <v>145.69</v>
      </c>
      <c r="Q1114" t="s">
        <v>57</v>
      </c>
    </row>
    <row r="1115" spans="1:17" x14ac:dyDescent="0.2">
      <c r="A1115" t="s">
        <v>1280</v>
      </c>
      <c r="B1115" s="1">
        <v>45787</v>
      </c>
      <c r="C1115" t="s">
        <v>18</v>
      </c>
      <c r="D1115" t="s">
        <v>28</v>
      </c>
      <c r="E1115" t="s">
        <v>170</v>
      </c>
      <c r="F1115" t="s">
        <v>138</v>
      </c>
      <c r="G1115" t="s">
        <v>75</v>
      </c>
      <c r="H1115" t="s">
        <v>31</v>
      </c>
      <c r="I1115" t="s">
        <v>40</v>
      </c>
      <c r="J1115" t="s">
        <v>122</v>
      </c>
      <c r="K1115">
        <v>9</v>
      </c>
      <c r="L1115" s="2">
        <v>68.16</v>
      </c>
      <c r="M1115" s="3">
        <v>0.05</v>
      </c>
      <c r="N1115" s="2">
        <v>582.77</v>
      </c>
      <c r="O1115" s="2">
        <v>439.66</v>
      </c>
      <c r="P1115" s="2">
        <v>143.11000000000001</v>
      </c>
      <c r="Q1115" t="s">
        <v>34</v>
      </c>
    </row>
    <row r="1116" spans="1:17" x14ac:dyDescent="0.2">
      <c r="A1116" t="s">
        <v>1281</v>
      </c>
      <c r="B1116" s="1">
        <v>45787</v>
      </c>
      <c r="C1116" t="s">
        <v>77</v>
      </c>
      <c r="D1116" t="s">
        <v>128</v>
      </c>
      <c r="E1116" t="s">
        <v>155</v>
      </c>
      <c r="F1116" t="s">
        <v>30</v>
      </c>
      <c r="G1116" t="s">
        <v>75</v>
      </c>
      <c r="H1116" t="s">
        <v>23</v>
      </c>
      <c r="I1116" t="s">
        <v>83</v>
      </c>
      <c r="J1116" t="s">
        <v>120</v>
      </c>
      <c r="K1116">
        <v>4</v>
      </c>
      <c r="L1116" s="2">
        <v>27.49</v>
      </c>
      <c r="M1116" s="3">
        <v>0</v>
      </c>
      <c r="N1116" s="2">
        <v>109.96</v>
      </c>
      <c r="O1116" s="2">
        <v>89.32</v>
      </c>
      <c r="P1116" s="2">
        <v>20.64</v>
      </c>
      <c r="Q1116" t="s">
        <v>34</v>
      </c>
    </row>
    <row r="1117" spans="1:17" x14ac:dyDescent="0.2">
      <c r="A1117" t="s">
        <v>1282</v>
      </c>
      <c r="B1117" s="1">
        <v>45787</v>
      </c>
      <c r="C1117" t="s">
        <v>18</v>
      </c>
      <c r="D1117" t="s">
        <v>152</v>
      </c>
      <c r="E1117" t="s">
        <v>153</v>
      </c>
      <c r="F1117" t="s">
        <v>46</v>
      </c>
      <c r="G1117" t="s">
        <v>54</v>
      </c>
      <c r="H1117" t="s">
        <v>23</v>
      </c>
      <c r="I1117" t="s">
        <v>24</v>
      </c>
      <c r="J1117" t="s">
        <v>108</v>
      </c>
      <c r="K1117">
        <v>2</v>
      </c>
      <c r="L1117" s="2">
        <v>5.67</v>
      </c>
      <c r="M1117" s="3">
        <v>0.15</v>
      </c>
      <c r="N1117" s="2">
        <v>9.64</v>
      </c>
      <c r="O1117" s="2">
        <v>6.59</v>
      </c>
      <c r="P1117" s="2">
        <v>3.05</v>
      </c>
      <c r="Q1117" t="s">
        <v>34</v>
      </c>
    </row>
    <row r="1118" spans="1:17" x14ac:dyDescent="0.2">
      <c r="A1118" t="s">
        <v>1283</v>
      </c>
      <c r="B1118" s="1">
        <v>45788</v>
      </c>
      <c r="C1118" t="s">
        <v>36</v>
      </c>
      <c r="D1118" t="s">
        <v>73</v>
      </c>
      <c r="E1118" t="s">
        <v>212</v>
      </c>
      <c r="F1118" t="s">
        <v>21</v>
      </c>
      <c r="G1118" t="s">
        <v>22</v>
      </c>
      <c r="H1118" t="s">
        <v>23</v>
      </c>
      <c r="I1118" t="s">
        <v>83</v>
      </c>
      <c r="J1118" t="s">
        <v>120</v>
      </c>
      <c r="K1118">
        <v>10</v>
      </c>
      <c r="L1118" s="2">
        <v>26.27</v>
      </c>
      <c r="M1118" s="3">
        <v>0</v>
      </c>
      <c r="N1118" s="2">
        <v>262.7</v>
      </c>
      <c r="O1118" s="2">
        <v>195.19</v>
      </c>
      <c r="P1118" s="2">
        <v>67.510000000000005</v>
      </c>
      <c r="Q1118" t="s">
        <v>57</v>
      </c>
    </row>
    <row r="1119" spans="1:17" x14ac:dyDescent="0.2">
      <c r="A1119" t="s">
        <v>1284</v>
      </c>
      <c r="B1119" s="1">
        <v>45788</v>
      </c>
      <c r="C1119" t="s">
        <v>36</v>
      </c>
      <c r="D1119" t="s">
        <v>67</v>
      </c>
      <c r="E1119" t="s">
        <v>323</v>
      </c>
      <c r="F1119" t="s">
        <v>71</v>
      </c>
      <c r="G1119" t="s">
        <v>22</v>
      </c>
      <c r="H1119" t="s">
        <v>47</v>
      </c>
      <c r="I1119" t="s">
        <v>97</v>
      </c>
      <c r="J1119" t="s">
        <v>168</v>
      </c>
      <c r="K1119">
        <v>5</v>
      </c>
      <c r="L1119" s="2">
        <v>314.42</v>
      </c>
      <c r="M1119" s="3">
        <v>0</v>
      </c>
      <c r="N1119" s="2">
        <v>1572.1</v>
      </c>
      <c r="O1119" s="2">
        <v>932</v>
      </c>
      <c r="P1119" s="2">
        <v>640.1</v>
      </c>
      <c r="Q1119" t="s">
        <v>34</v>
      </c>
    </row>
    <row r="1120" spans="1:17" x14ac:dyDescent="0.2">
      <c r="A1120" t="s">
        <v>1285</v>
      </c>
      <c r="B1120" s="1">
        <v>45788</v>
      </c>
      <c r="C1120" t="s">
        <v>77</v>
      </c>
      <c r="D1120" t="s">
        <v>95</v>
      </c>
      <c r="E1120" t="s">
        <v>367</v>
      </c>
      <c r="F1120" t="s">
        <v>60</v>
      </c>
      <c r="G1120" t="s">
        <v>75</v>
      </c>
      <c r="H1120" t="s">
        <v>23</v>
      </c>
      <c r="I1120" t="s">
        <v>83</v>
      </c>
      <c r="J1120" t="s">
        <v>131</v>
      </c>
      <c r="K1120">
        <v>8</v>
      </c>
      <c r="L1120" s="2">
        <v>14.37</v>
      </c>
      <c r="M1120" s="3">
        <v>0.1</v>
      </c>
      <c r="N1120" s="2">
        <v>103.46</v>
      </c>
      <c r="O1120" s="2">
        <v>68.430000000000007</v>
      </c>
      <c r="P1120" s="2">
        <v>35.03</v>
      </c>
      <c r="Q1120" t="s">
        <v>34</v>
      </c>
    </row>
    <row r="1121" spans="1:17" x14ac:dyDescent="0.2">
      <c r="A1121" t="s">
        <v>1286</v>
      </c>
      <c r="B1121" s="1">
        <v>45788</v>
      </c>
      <c r="C1121" t="s">
        <v>77</v>
      </c>
      <c r="D1121" t="s">
        <v>95</v>
      </c>
      <c r="E1121" t="s">
        <v>96</v>
      </c>
      <c r="F1121" t="s">
        <v>53</v>
      </c>
      <c r="G1121" t="s">
        <v>54</v>
      </c>
      <c r="H1121" t="s">
        <v>47</v>
      </c>
      <c r="I1121" t="s">
        <v>141</v>
      </c>
      <c r="J1121" t="s">
        <v>201</v>
      </c>
      <c r="K1121">
        <v>2</v>
      </c>
      <c r="L1121" s="2">
        <v>507.59</v>
      </c>
      <c r="M1121" s="3">
        <v>0.1</v>
      </c>
      <c r="N1121" s="2">
        <v>913.66</v>
      </c>
      <c r="O1121" s="2">
        <v>604.29</v>
      </c>
      <c r="P1121" s="2">
        <v>309.37</v>
      </c>
      <c r="Q1121" t="s">
        <v>26</v>
      </c>
    </row>
    <row r="1122" spans="1:17" x14ac:dyDescent="0.2">
      <c r="A1122" t="s">
        <v>1287</v>
      </c>
      <c r="B1122" s="1">
        <v>45788</v>
      </c>
      <c r="C1122" t="s">
        <v>18</v>
      </c>
      <c r="D1122" t="s">
        <v>28</v>
      </c>
      <c r="E1122" t="s">
        <v>29</v>
      </c>
      <c r="F1122" t="s">
        <v>69</v>
      </c>
      <c r="G1122" t="s">
        <v>54</v>
      </c>
      <c r="H1122" t="s">
        <v>23</v>
      </c>
      <c r="I1122" t="s">
        <v>79</v>
      </c>
      <c r="J1122" t="s">
        <v>233</v>
      </c>
      <c r="K1122">
        <v>4</v>
      </c>
      <c r="L1122" s="2">
        <v>332.35</v>
      </c>
      <c r="M1122" s="3">
        <v>0.1</v>
      </c>
      <c r="N1122" s="2">
        <v>1196.46</v>
      </c>
      <c r="O1122" s="2">
        <v>955.98</v>
      </c>
      <c r="P1122" s="2">
        <v>240.48</v>
      </c>
      <c r="Q1122" t="s">
        <v>34</v>
      </c>
    </row>
    <row r="1123" spans="1:17" x14ac:dyDescent="0.2">
      <c r="A1123" t="s">
        <v>1288</v>
      </c>
      <c r="B1123" s="1">
        <v>45788</v>
      </c>
      <c r="C1123" t="s">
        <v>77</v>
      </c>
      <c r="D1123" t="s">
        <v>106</v>
      </c>
      <c r="E1123" t="s">
        <v>236</v>
      </c>
      <c r="F1123" t="s">
        <v>53</v>
      </c>
      <c r="G1123" t="s">
        <v>75</v>
      </c>
      <c r="H1123" t="s">
        <v>23</v>
      </c>
      <c r="I1123" t="s">
        <v>83</v>
      </c>
      <c r="J1123" t="s">
        <v>131</v>
      </c>
      <c r="K1123">
        <v>1</v>
      </c>
      <c r="L1123" s="2">
        <v>17.47</v>
      </c>
      <c r="M1123" s="3">
        <v>0.15</v>
      </c>
      <c r="N1123" s="2">
        <v>14.85</v>
      </c>
      <c r="O1123" s="2">
        <v>8.5399999999999991</v>
      </c>
      <c r="P1123" s="2">
        <v>6.31</v>
      </c>
      <c r="Q1123" t="s">
        <v>34</v>
      </c>
    </row>
    <row r="1124" spans="1:17" x14ac:dyDescent="0.2">
      <c r="A1124" t="s">
        <v>1289</v>
      </c>
      <c r="B1124" s="1">
        <v>45788</v>
      </c>
      <c r="C1124" t="s">
        <v>77</v>
      </c>
      <c r="D1124" t="s">
        <v>106</v>
      </c>
      <c r="E1124" t="s">
        <v>303</v>
      </c>
      <c r="F1124" t="s">
        <v>69</v>
      </c>
      <c r="G1124" t="s">
        <v>75</v>
      </c>
      <c r="H1124" t="s">
        <v>23</v>
      </c>
      <c r="I1124" t="s">
        <v>55</v>
      </c>
      <c r="J1124" t="s">
        <v>102</v>
      </c>
      <c r="K1124">
        <v>10</v>
      </c>
      <c r="L1124" s="2">
        <v>20.86</v>
      </c>
      <c r="M1124" s="3">
        <v>0.15</v>
      </c>
      <c r="N1124" s="2">
        <v>177.31</v>
      </c>
      <c r="O1124" s="2">
        <v>109.53</v>
      </c>
      <c r="P1124" s="2">
        <v>67.78</v>
      </c>
      <c r="Q1124" t="s">
        <v>34</v>
      </c>
    </row>
    <row r="1125" spans="1:17" x14ac:dyDescent="0.2">
      <c r="A1125" t="s">
        <v>1290</v>
      </c>
      <c r="B1125" s="1">
        <v>45788</v>
      </c>
      <c r="C1125" t="s">
        <v>77</v>
      </c>
      <c r="D1125" t="s">
        <v>149</v>
      </c>
      <c r="E1125" t="s">
        <v>150</v>
      </c>
      <c r="F1125" t="s">
        <v>71</v>
      </c>
      <c r="G1125" t="s">
        <v>22</v>
      </c>
      <c r="H1125" t="s">
        <v>23</v>
      </c>
      <c r="I1125" t="s">
        <v>79</v>
      </c>
      <c r="J1125" t="s">
        <v>233</v>
      </c>
      <c r="K1125">
        <v>6</v>
      </c>
      <c r="L1125" s="2">
        <v>302.37</v>
      </c>
      <c r="M1125" s="3">
        <v>0.05</v>
      </c>
      <c r="N1125" s="2">
        <v>1723.51</v>
      </c>
      <c r="O1125" s="2">
        <v>1133.8699999999999</v>
      </c>
      <c r="P1125" s="2">
        <v>589.64</v>
      </c>
      <c r="Q1125" t="s">
        <v>26</v>
      </c>
    </row>
    <row r="1126" spans="1:17" x14ac:dyDescent="0.2">
      <c r="A1126" t="s">
        <v>1291</v>
      </c>
      <c r="B1126" s="1">
        <v>45789</v>
      </c>
      <c r="C1126" t="s">
        <v>18</v>
      </c>
      <c r="D1126" t="s">
        <v>19</v>
      </c>
      <c r="E1126" t="s">
        <v>100</v>
      </c>
      <c r="F1126" t="s">
        <v>39</v>
      </c>
      <c r="G1126" t="s">
        <v>75</v>
      </c>
      <c r="H1126" t="s">
        <v>23</v>
      </c>
      <c r="I1126" t="s">
        <v>79</v>
      </c>
      <c r="J1126" t="s">
        <v>233</v>
      </c>
      <c r="K1126">
        <v>4</v>
      </c>
      <c r="L1126" s="2">
        <v>404.55</v>
      </c>
      <c r="M1126" s="3">
        <v>0.05</v>
      </c>
      <c r="N1126" s="2">
        <v>1537.29</v>
      </c>
      <c r="O1126" s="2">
        <v>907.62</v>
      </c>
      <c r="P1126" s="2">
        <v>629.66999999999996</v>
      </c>
      <c r="Q1126" t="s">
        <v>34</v>
      </c>
    </row>
    <row r="1127" spans="1:17" x14ac:dyDescent="0.2">
      <c r="A1127" t="s">
        <v>1292</v>
      </c>
      <c r="B1127" s="1">
        <v>45789</v>
      </c>
      <c r="C1127" t="s">
        <v>77</v>
      </c>
      <c r="D1127" t="s">
        <v>149</v>
      </c>
      <c r="E1127" t="s">
        <v>150</v>
      </c>
      <c r="F1127" t="s">
        <v>39</v>
      </c>
      <c r="G1127" t="s">
        <v>22</v>
      </c>
      <c r="H1127" t="s">
        <v>23</v>
      </c>
      <c r="I1127" t="s">
        <v>55</v>
      </c>
      <c r="J1127" t="s">
        <v>102</v>
      </c>
      <c r="K1127">
        <v>4</v>
      </c>
      <c r="L1127" s="2">
        <v>11.59</v>
      </c>
      <c r="M1127" s="3">
        <v>0.15</v>
      </c>
      <c r="N1127" s="2">
        <v>39.409999999999997</v>
      </c>
      <c r="O1127" s="2">
        <v>25.72</v>
      </c>
      <c r="P1127" s="2">
        <v>13.69</v>
      </c>
      <c r="Q1127" t="s">
        <v>34</v>
      </c>
    </row>
    <row r="1128" spans="1:17" x14ac:dyDescent="0.2">
      <c r="A1128" t="s">
        <v>1293</v>
      </c>
      <c r="B1128" s="1">
        <v>45789</v>
      </c>
      <c r="C1128" t="s">
        <v>36</v>
      </c>
      <c r="D1128" t="s">
        <v>37</v>
      </c>
      <c r="E1128" t="s">
        <v>255</v>
      </c>
      <c r="F1128" t="s">
        <v>69</v>
      </c>
      <c r="G1128" t="s">
        <v>22</v>
      </c>
      <c r="H1128" t="s">
        <v>31</v>
      </c>
      <c r="I1128" t="s">
        <v>32</v>
      </c>
      <c r="J1128" t="s">
        <v>104</v>
      </c>
      <c r="K1128">
        <v>7</v>
      </c>
      <c r="L1128" s="2">
        <v>1656.93</v>
      </c>
      <c r="M1128" s="3">
        <v>0</v>
      </c>
      <c r="N1128" s="2">
        <v>11598.51</v>
      </c>
      <c r="O1128" s="2">
        <v>9247.82</v>
      </c>
      <c r="P1128" s="2">
        <v>2350.69</v>
      </c>
      <c r="Q1128" t="s">
        <v>57</v>
      </c>
    </row>
    <row r="1129" spans="1:17" x14ac:dyDescent="0.2">
      <c r="A1129" t="s">
        <v>1294</v>
      </c>
      <c r="B1129" s="1">
        <v>45789</v>
      </c>
      <c r="C1129" t="s">
        <v>36</v>
      </c>
      <c r="D1129" t="s">
        <v>110</v>
      </c>
      <c r="E1129" t="s">
        <v>115</v>
      </c>
      <c r="F1129" t="s">
        <v>53</v>
      </c>
      <c r="G1129" t="s">
        <v>54</v>
      </c>
      <c r="H1129" t="s">
        <v>31</v>
      </c>
      <c r="I1129" t="s">
        <v>40</v>
      </c>
      <c r="J1129" t="s">
        <v>41</v>
      </c>
      <c r="K1129">
        <v>10</v>
      </c>
      <c r="L1129" s="2">
        <v>237.98</v>
      </c>
      <c r="M1129" s="3">
        <v>0.05</v>
      </c>
      <c r="N1129" s="2">
        <v>2260.81</v>
      </c>
      <c r="O1129" s="2">
        <v>1362.73</v>
      </c>
      <c r="P1129" s="2">
        <v>898.08</v>
      </c>
      <c r="Q1129" t="s">
        <v>57</v>
      </c>
    </row>
    <row r="1130" spans="1:17" x14ac:dyDescent="0.2">
      <c r="A1130" t="s">
        <v>1295</v>
      </c>
      <c r="B1130" s="1">
        <v>45789</v>
      </c>
      <c r="C1130" t="s">
        <v>77</v>
      </c>
      <c r="D1130" t="s">
        <v>106</v>
      </c>
      <c r="E1130" t="s">
        <v>303</v>
      </c>
      <c r="F1130" t="s">
        <v>46</v>
      </c>
      <c r="G1130" t="s">
        <v>22</v>
      </c>
      <c r="H1130" t="s">
        <v>31</v>
      </c>
      <c r="I1130" t="s">
        <v>112</v>
      </c>
      <c r="J1130" t="s">
        <v>113</v>
      </c>
      <c r="K1130">
        <v>6</v>
      </c>
      <c r="L1130" s="2">
        <v>683.76</v>
      </c>
      <c r="M1130" s="3">
        <v>0</v>
      </c>
      <c r="N1130" s="2">
        <v>4102.5600000000004</v>
      </c>
      <c r="O1130" s="2">
        <v>2319.27</v>
      </c>
      <c r="P1130" s="2">
        <v>1783.29</v>
      </c>
      <c r="Q1130" t="s">
        <v>61</v>
      </c>
    </row>
    <row r="1131" spans="1:17" x14ac:dyDescent="0.2">
      <c r="A1131" t="s">
        <v>1296</v>
      </c>
      <c r="B1131" s="1">
        <v>45789</v>
      </c>
      <c r="C1131" t="s">
        <v>77</v>
      </c>
      <c r="D1131" t="s">
        <v>106</v>
      </c>
      <c r="E1131" t="s">
        <v>303</v>
      </c>
      <c r="F1131" t="s">
        <v>138</v>
      </c>
      <c r="G1131" t="s">
        <v>22</v>
      </c>
      <c r="H1131" t="s">
        <v>31</v>
      </c>
      <c r="I1131" t="s">
        <v>112</v>
      </c>
      <c r="J1131" t="s">
        <v>113</v>
      </c>
      <c r="K1131">
        <v>5</v>
      </c>
      <c r="L1131" s="2">
        <v>504.25</v>
      </c>
      <c r="M1131" s="3">
        <v>0.05</v>
      </c>
      <c r="N1131" s="2">
        <v>2395.19</v>
      </c>
      <c r="O1131" s="2">
        <v>1799.5</v>
      </c>
      <c r="P1131" s="2">
        <v>595.69000000000005</v>
      </c>
      <c r="Q1131" t="s">
        <v>34</v>
      </c>
    </row>
    <row r="1132" spans="1:17" x14ac:dyDescent="0.2">
      <c r="A1132" t="s">
        <v>1297</v>
      </c>
      <c r="B1132" s="1">
        <v>45789</v>
      </c>
      <c r="C1132" t="s">
        <v>43</v>
      </c>
      <c r="D1132" t="s">
        <v>51</v>
      </c>
      <c r="E1132" t="s">
        <v>59</v>
      </c>
      <c r="F1132" t="s">
        <v>30</v>
      </c>
      <c r="G1132" t="s">
        <v>75</v>
      </c>
      <c r="H1132" t="s">
        <v>31</v>
      </c>
      <c r="I1132" t="s">
        <v>32</v>
      </c>
      <c r="J1132" t="s">
        <v>104</v>
      </c>
      <c r="K1132">
        <v>3</v>
      </c>
      <c r="L1132" s="2">
        <v>1529.66</v>
      </c>
      <c r="M1132" s="3">
        <v>0</v>
      </c>
      <c r="N1132" s="2">
        <v>4588.9799999999996</v>
      </c>
      <c r="O1132" s="2">
        <v>3722.54</v>
      </c>
      <c r="P1132" s="2">
        <v>866.44</v>
      </c>
      <c r="Q1132" t="s">
        <v>26</v>
      </c>
    </row>
    <row r="1133" spans="1:17" x14ac:dyDescent="0.2">
      <c r="A1133" t="s">
        <v>1298</v>
      </c>
      <c r="B1133" s="1">
        <v>45789</v>
      </c>
      <c r="C1133" t="s">
        <v>36</v>
      </c>
      <c r="D1133" t="s">
        <v>37</v>
      </c>
      <c r="E1133" t="s">
        <v>38</v>
      </c>
      <c r="F1133" t="s">
        <v>138</v>
      </c>
      <c r="G1133" t="s">
        <v>22</v>
      </c>
      <c r="H1133" t="s">
        <v>31</v>
      </c>
      <c r="I1133" t="s">
        <v>112</v>
      </c>
      <c r="J1133" t="s">
        <v>113</v>
      </c>
      <c r="K1133">
        <v>7</v>
      </c>
      <c r="L1133" s="2">
        <v>321.95999999999998</v>
      </c>
      <c r="M1133" s="3">
        <v>0.05</v>
      </c>
      <c r="N1133" s="2">
        <v>2141.0300000000002</v>
      </c>
      <c r="O1133" s="2">
        <v>1526.78</v>
      </c>
      <c r="P1133" s="2">
        <v>614.25</v>
      </c>
      <c r="Q1133" t="s">
        <v>26</v>
      </c>
    </row>
    <row r="1134" spans="1:17" x14ac:dyDescent="0.2">
      <c r="A1134" t="s">
        <v>1299</v>
      </c>
      <c r="B1134" s="1">
        <v>45789</v>
      </c>
      <c r="C1134" t="s">
        <v>18</v>
      </c>
      <c r="D1134" t="s">
        <v>152</v>
      </c>
      <c r="E1134" t="s">
        <v>185</v>
      </c>
      <c r="F1134" t="s">
        <v>60</v>
      </c>
      <c r="G1134" t="s">
        <v>22</v>
      </c>
      <c r="H1134" t="s">
        <v>23</v>
      </c>
      <c r="I1134" t="s">
        <v>55</v>
      </c>
      <c r="J1134" t="s">
        <v>102</v>
      </c>
      <c r="K1134">
        <v>10</v>
      </c>
      <c r="L1134" s="2">
        <v>14.41</v>
      </c>
      <c r="M1134" s="3">
        <v>0.1</v>
      </c>
      <c r="N1134" s="2">
        <v>129.69</v>
      </c>
      <c r="O1134" s="2">
        <v>95.27</v>
      </c>
      <c r="P1134" s="2">
        <v>34.42</v>
      </c>
      <c r="Q1134" t="s">
        <v>34</v>
      </c>
    </row>
    <row r="1135" spans="1:17" x14ac:dyDescent="0.2">
      <c r="A1135" t="s">
        <v>1300</v>
      </c>
      <c r="B1135" s="1">
        <v>45790</v>
      </c>
      <c r="C1135" t="s">
        <v>43</v>
      </c>
      <c r="D1135" t="s">
        <v>51</v>
      </c>
      <c r="E1135" t="s">
        <v>59</v>
      </c>
      <c r="F1135" t="s">
        <v>21</v>
      </c>
      <c r="G1135" t="s">
        <v>75</v>
      </c>
      <c r="H1135" t="s">
        <v>31</v>
      </c>
      <c r="I1135" t="s">
        <v>32</v>
      </c>
      <c r="J1135" t="s">
        <v>258</v>
      </c>
      <c r="K1135">
        <v>8</v>
      </c>
      <c r="L1135" s="2">
        <v>620.24</v>
      </c>
      <c r="M1135" s="3">
        <v>0.15</v>
      </c>
      <c r="N1135" s="2">
        <v>4217.63</v>
      </c>
      <c r="O1135" s="2">
        <v>2669.69</v>
      </c>
      <c r="P1135" s="2">
        <v>1547.94</v>
      </c>
      <c r="Q1135" t="s">
        <v>34</v>
      </c>
    </row>
    <row r="1136" spans="1:17" x14ac:dyDescent="0.2">
      <c r="A1136" t="s">
        <v>1301</v>
      </c>
      <c r="B1136" s="1">
        <v>45790</v>
      </c>
      <c r="C1136" t="s">
        <v>43</v>
      </c>
      <c r="D1136" t="s">
        <v>51</v>
      </c>
      <c r="E1136" t="s">
        <v>52</v>
      </c>
      <c r="F1136" t="s">
        <v>21</v>
      </c>
      <c r="G1136" t="s">
        <v>54</v>
      </c>
      <c r="H1136" t="s">
        <v>47</v>
      </c>
      <c r="I1136" t="s">
        <v>141</v>
      </c>
      <c r="J1136" t="s">
        <v>142</v>
      </c>
      <c r="K1136">
        <v>7</v>
      </c>
      <c r="L1136" s="2">
        <v>167.6</v>
      </c>
      <c r="M1136" s="3">
        <v>0.1</v>
      </c>
      <c r="N1136" s="2">
        <v>1055.8800000000001</v>
      </c>
      <c r="O1136" s="2">
        <v>651.58000000000004</v>
      </c>
      <c r="P1136" s="2">
        <v>404.3</v>
      </c>
      <c r="Q1136" t="s">
        <v>26</v>
      </c>
    </row>
    <row r="1137" spans="1:17" x14ac:dyDescent="0.2">
      <c r="A1137" t="s">
        <v>1302</v>
      </c>
      <c r="B1137" s="1">
        <v>45790</v>
      </c>
      <c r="C1137" t="s">
        <v>36</v>
      </c>
      <c r="D1137" t="s">
        <v>73</v>
      </c>
      <c r="E1137" t="s">
        <v>74</v>
      </c>
      <c r="F1137" t="s">
        <v>30</v>
      </c>
      <c r="G1137" t="s">
        <v>22</v>
      </c>
      <c r="H1137" t="s">
        <v>31</v>
      </c>
      <c r="I1137" t="s">
        <v>64</v>
      </c>
      <c r="J1137" t="s">
        <v>126</v>
      </c>
      <c r="K1137">
        <v>5</v>
      </c>
      <c r="L1137" s="2">
        <v>137.59</v>
      </c>
      <c r="M1137" s="3">
        <v>0.05</v>
      </c>
      <c r="N1137" s="2">
        <v>653.54999999999995</v>
      </c>
      <c r="O1137" s="2">
        <v>492.53</v>
      </c>
      <c r="P1137" s="2">
        <v>161.02000000000001</v>
      </c>
      <c r="Q1137" t="s">
        <v>26</v>
      </c>
    </row>
    <row r="1138" spans="1:17" x14ac:dyDescent="0.2">
      <c r="A1138" t="s">
        <v>1303</v>
      </c>
      <c r="B1138" s="1">
        <v>45790</v>
      </c>
      <c r="C1138" t="s">
        <v>18</v>
      </c>
      <c r="D1138" t="s">
        <v>133</v>
      </c>
      <c r="E1138" t="s">
        <v>197</v>
      </c>
      <c r="F1138" t="s">
        <v>130</v>
      </c>
      <c r="G1138" t="s">
        <v>75</v>
      </c>
      <c r="H1138" t="s">
        <v>23</v>
      </c>
      <c r="I1138" t="s">
        <v>55</v>
      </c>
      <c r="J1138" t="s">
        <v>56</v>
      </c>
      <c r="K1138">
        <v>10</v>
      </c>
      <c r="L1138" s="2">
        <v>7.82</v>
      </c>
      <c r="M1138" s="3">
        <v>0</v>
      </c>
      <c r="N1138" s="2">
        <v>78.2</v>
      </c>
      <c r="O1138" s="2">
        <v>54.11</v>
      </c>
      <c r="P1138" s="2">
        <v>24.09</v>
      </c>
      <c r="Q1138" t="s">
        <v>26</v>
      </c>
    </row>
    <row r="1139" spans="1:17" x14ac:dyDescent="0.2">
      <c r="A1139" t="s">
        <v>1304</v>
      </c>
      <c r="B1139" s="1">
        <v>45790</v>
      </c>
      <c r="C1139" t="s">
        <v>18</v>
      </c>
      <c r="D1139" t="s">
        <v>86</v>
      </c>
      <c r="E1139" t="s">
        <v>87</v>
      </c>
      <c r="F1139" t="s">
        <v>60</v>
      </c>
      <c r="G1139" t="s">
        <v>54</v>
      </c>
      <c r="H1139" t="s">
        <v>31</v>
      </c>
      <c r="I1139" t="s">
        <v>112</v>
      </c>
      <c r="J1139" t="s">
        <v>136</v>
      </c>
      <c r="K1139">
        <v>2</v>
      </c>
      <c r="L1139" s="2">
        <v>329.03</v>
      </c>
      <c r="M1139" s="3">
        <v>0.1</v>
      </c>
      <c r="N1139" s="2">
        <v>592.25</v>
      </c>
      <c r="O1139" s="2">
        <v>377.06</v>
      </c>
      <c r="P1139" s="2">
        <v>215.19</v>
      </c>
      <c r="Q1139" t="s">
        <v>26</v>
      </c>
    </row>
    <row r="1140" spans="1:17" x14ac:dyDescent="0.2">
      <c r="A1140" t="s">
        <v>1305</v>
      </c>
      <c r="B1140" s="1">
        <v>45790</v>
      </c>
      <c r="C1140" t="s">
        <v>77</v>
      </c>
      <c r="D1140" t="s">
        <v>128</v>
      </c>
      <c r="E1140" t="s">
        <v>155</v>
      </c>
      <c r="F1140" t="s">
        <v>71</v>
      </c>
      <c r="G1140" t="s">
        <v>75</v>
      </c>
      <c r="H1140" t="s">
        <v>23</v>
      </c>
      <c r="I1140" t="s">
        <v>83</v>
      </c>
      <c r="J1140" t="s">
        <v>84</v>
      </c>
      <c r="K1140">
        <v>7</v>
      </c>
      <c r="L1140" s="2">
        <v>10.9</v>
      </c>
      <c r="M1140" s="3">
        <v>0</v>
      </c>
      <c r="N1140" s="2">
        <v>76.3</v>
      </c>
      <c r="O1140" s="2">
        <v>57.49</v>
      </c>
      <c r="P1140" s="2">
        <v>18.809999999999999</v>
      </c>
      <c r="Q1140" t="s">
        <v>57</v>
      </c>
    </row>
    <row r="1141" spans="1:17" x14ac:dyDescent="0.2">
      <c r="A1141" t="s">
        <v>1306</v>
      </c>
      <c r="B1141" s="1">
        <v>45790</v>
      </c>
      <c r="C1141" t="s">
        <v>36</v>
      </c>
      <c r="D1141" t="s">
        <v>144</v>
      </c>
      <c r="E1141" t="s">
        <v>214</v>
      </c>
      <c r="F1141" t="s">
        <v>39</v>
      </c>
      <c r="G1141" t="s">
        <v>75</v>
      </c>
      <c r="H1141" t="s">
        <v>47</v>
      </c>
      <c r="I1141" t="s">
        <v>97</v>
      </c>
      <c r="J1141" t="s">
        <v>168</v>
      </c>
      <c r="K1141">
        <v>2</v>
      </c>
      <c r="L1141" s="2">
        <v>450.22</v>
      </c>
      <c r="M1141" s="3">
        <v>0.1</v>
      </c>
      <c r="N1141" s="2">
        <v>810.4</v>
      </c>
      <c r="O1141" s="2">
        <v>500.97</v>
      </c>
      <c r="P1141" s="2">
        <v>309.43</v>
      </c>
      <c r="Q1141" t="s">
        <v>61</v>
      </c>
    </row>
    <row r="1142" spans="1:17" x14ac:dyDescent="0.2">
      <c r="A1142" t="s">
        <v>1307</v>
      </c>
      <c r="B1142" s="1">
        <v>45790</v>
      </c>
      <c r="C1142" t="s">
        <v>36</v>
      </c>
      <c r="D1142" t="s">
        <v>73</v>
      </c>
      <c r="E1142" t="s">
        <v>74</v>
      </c>
      <c r="F1142" t="s">
        <v>30</v>
      </c>
      <c r="G1142" t="s">
        <v>22</v>
      </c>
      <c r="H1142" t="s">
        <v>31</v>
      </c>
      <c r="I1142" t="s">
        <v>112</v>
      </c>
      <c r="J1142" t="s">
        <v>176</v>
      </c>
      <c r="K1142">
        <v>5</v>
      </c>
      <c r="L1142" s="2">
        <v>378.6</v>
      </c>
      <c r="M1142" s="3">
        <v>0.1</v>
      </c>
      <c r="N1142" s="2">
        <v>1703.7</v>
      </c>
      <c r="O1142" s="2">
        <v>948.51</v>
      </c>
      <c r="P1142" s="2">
        <v>755.19</v>
      </c>
      <c r="Q1142" t="s">
        <v>57</v>
      </c>
    </row>
    <row r="1143" spans="1:17" x14ac:dyDescent="0.2">
      <c r="A1143" t="s">
        <v>1308</v>
      </c>
      <c r="B1143" s="1">
        <v>45790</v>
      </c>
      <c r="C1143" t="s">
        <v>18</v>
      </c>
      <c r="D1143" t="s">
        <v>28</v>
      </c>
      <c r="E1143" t="s">
        <v>29</v>
      </c>
      <c r="F1143" t="s">
        <v>30</v>
      </c>
      <c r="G1143" t="s">
        <v>75</v>
      </c>
      <c r="H1143" t="s">
        <v>47</v>
      </c>
      <c r="I1143" t="s">
        <v>141</v>
      </c>
      <c r="J1143" t="s">
        <v>372</v>
      </c>
      <c r="K1143">
        <v>10</v>
      </c>
      <c r="L1143" s="2">
        <v>328.89</v>
      </c>
      <c r="M1143" s="3">
        <v>0.15</v>
      </c>
      <c r="N1143" s="2">
        <v>2795.56</v>
      </c>
      <c r="O1143" s="2">
        <v>2154.27</v>
      </c>
      <c r="P1143" s="2">
        <v>641.29</v>
      </c>
      <c r="Q1143" t="s">
        <v>26</v>
      </c>
    </row>
    <row r="1144" spans="1:17" x14ac:dyDescent="0.2">
      <c r="A1144" t="s">
        <v>1309</v>
      </c>
      <c r="B1144" s="1">
        <v>45790</v>
      </c>
      <c r="C1144" t="s">
        <v>43</v>
      </c>
      <c r="D1144" t="s">
        <v>161</v>
      </c>
      <c r="E1144" t="s">
        <v>418</v>
      </c>
      <c r="F1144" t="s">
        <v>60</v>
      </c>
      <c r="G1144" t="s">
        <v>75</v>
      </c>
      <c r="H1144" t="s">
        <v>23</v>
      </c>
      <c r="I1144" t="s">
        <v>83</v>
      </c>
      <c r="J1144" t="s">
        <v>131</v>
      </c>
      <c r="K1144">
        <v>5</v>
      </c>
      <c r="L1144" s="2">
        <v>20.65</v>
      </c>
      <c r="M1144" s="3">
        <v>0.05</v>
      </c>
      <c r="N1144" s="2">
        <v>98.09</v>
      </c>
      <c r="O1144" s="2">
        <v>76.45</v>
      </c>
      <c r="P1144" s="2">
        <v>21.64</v>
      </c>
      <c r="Q1144" t="s">
        <v>61</v>
      </c>
    </row>
    <row r="1145" spans="1:17" x14ac:dyDescent="0.2">
      <c r="A1145" t="s">
        <v>1310</v>
      </c>
      <c r="B1145" s="1">
        <v>45791</v>
      </c>
      <c r="C1145" t="s">
        <v>77</v>
      </c>
      <c r="D1145" t="s">
        <v>149</v>
      </c>
      <c r="E1145" t="s">
        <v>150</v>
      </c>
      <c r="F1145" t="s">
        <v>30</v>
      </c>
      <c r="G1145" t="s">
        <v>22</v>
      </c>
      <c r="H1145" t="s">
        <v>31</v>
      </c>
      <c r="I1145" t="s">
        <v>40</v>
      </c>
      <c r="J1145" t="s">
        <v>122</v>
      </c>
      <c r="K1145">
        <v>9</v>
      </c>
      <c r="L1145" s="2">
        <v>229.78</v>
      </c>
      <c r="M1145" s="3">
        <v>0.15</v>
      </c>
      <c r="N1145" s="2">
        <v>1757.82</v>
      </c>
      <c r="O1145" s="2">
        <v>1438.65</v>
      </c>
      <c r="P1145" s="2">
        <v>319.17</v>
      </c>
      <c r="Q1145" t="s">
        <v>26</v>
      </c>
    </row>
    <row r="1146" spans="1:17" x14ac:dyDescent="0.2">
      <c r="A1146" t="s">
        <v>1311</v>
      </c>
      <c r="B1146" s="1">
        <v>45791</v>
      </c>
      <c r="C1146" t="s">
        <v>43</v>
      </c>
      <c r="D1146" t="s">
        <v>44</v>
      </c>
      <c r="E1146" t="s">
        <v>45</v>
      </c>
      <c r="F1146" t="s">
        <v>46</v>
      </c>
      <c r="G1146" t="s">
        <v>22</v>
      </c>
      <c r="H1146" t="s">
        <v>23</v>
      </c>
      <c r="I1146" t="s">
        <v>55</v>
      </c>
      <c r="J1146" t="s">
        <v>173</v>
      </c>
      <c r="K1146">
        <v>4</v>
      </c>
      <c r="L1146" s="2">
        <v>6.62</v>
      </c>
      <c r="M1146" s="3">
        <v>0.2</v>
      </c>
      <c r="N1146" s="2">
        <v>21.18</v>
      </c>
      <c r="O1146" s="2">
        <v>15.61</v>
      </c>
      <c r="P1146" s="2">
        <v>5.57</v>
      </c>
      <c r="Q1146" t="s">
        <v>57</v>
      </c>
    </row>
    <row r="1147" spans="1:17" x14ac:dyDescent="0.2">
      <c r="A1147" t="s">
        <v>1312</v>
      </c>
      <c r="B1147" s="1">
        <v>45791</v>
      </c>
      <c r="C1147" t="s">
        <v>43</v>
      </c>
      <c r="D1147" t="s">
        <v>44</v>
      </c>
      <c r="E1147" t="s">
        <v>45</v>
      </c>
      <c r="F1147" t="s">
        <v>21</v>
      </c>
      <c r="G1147" t="s">
        <v>22</v>
      </c>
      <c r="H1147" t="s">
        <v>31</v>
      </c>
      <c r="I1147" t="s">
        <v>64</v>
      </c>
      <c r="J1147" t="s">
        <v>252</v>
      </c>
      <c r="K1147">
        <v>1</v>
      </c>
      <c r="L1147" s="2">
        <v>109.71</v>
      </c>
      <c r="M1147" s="3">
        <v>0</v>
      </c>
      <c r="N1147" s="2">
        <v>109.71</v>
      </c>
      <c r="O1147" s="2">
        <v>65.02</v>
      </c>
      <c r="P1147" s="2">
        <v>44.69</v>
      </c>
      <c r="Q1147" t="s">
        <v>61</v>
      </c>
    </row>
    <row r="1148" spans="1:17" x14ac:dyDescent="0.2">
      <c r="A1148" t="s">
        <v>1313</v>
      </c>
      <c r="B1148" s="1">
        <v>45791</v>
      </c>
      <c r="C1148" t="s">
        <v>18</v>
      </c>
      <c r="D1148" t="s">
        <v>19</v>
      </c>
      <c r="E1148" t="s">
        <v>100</v>
      </c>
      <c r="F1148" t="s">
        <v>130</v>
      </c>
      <c r="G1148" t="s">
        <v>75</v>
      </c>
      <c r="H1148" t="s">
        <v>23</v>
      </c>
      <c r="I1148" t="s">
        <v>83</v>
      </c>
      <c r="J1148" t="s">
        <v>120</v>
      </c>
      <c r="K1148">
        <v>4</v>
      </c>
      <c r="L1148" s="2">
        <v>12.95</v>
      </c>
      <c r="M1148" s="3">
        <v>0</v>
      </c>
      <c r="N1148" s="2">
        <v>51.8</v>
      </c>
      <c r="O1148" s="2">
        <v>33.549999999999997</v>
      </c>
      <c r="P1148" s="2">
        <v>18.25</v>
      </c>
      <c r="Q1148" t="s">
        <v>34</v>
      </c>
    </row>
    <row r="1149" spans="1:17" x14ac:dyDescent="0.2">
      <c r="A1149" t="s">
        <v>1314</v>
      </c>
      <c r="B1149" s="1">
        <v>45791</v>
      </c>
      <c r="C1149" t="s">
        <v>77</v>
      </c>
      <c r="D1149" t="s">
        <v>106</v>
      </c>
      <c r="E1149" t="s">
        <v>107</v>
      </c>
      <c r="F1149" t="s">
        <v>71</v>
      </c>
      <c r="G1149" t="s">
        <v>22</v>
      </c>
      <c r="H1149" t="s">
        <v>31</v>
      </c>
      <c r="I1149" t="s">
        <v>40</v>
      </c>
      <c r="J1149" t="s">
        <v>41</v>
      </c>
      <c r="K1149">
        <v>2</v>
      </c>
      <c r="L1149" s="2">
        <v>244.88</v>
      </c>
      <c r="M1149" s="3">
        <v>0</v>
      </c>
      <c r="N1149" s="2">
        <v>489.76</v>
      </c>
      <c r="O1149" s="2">
        <v>391.24</v>
      </c>
      <c r="P1149" s="2">
        <v>98.52</v>
      </c>
      <c r="Q1149" t="s">
        <v>26</v>
      </c>
    </row>
    <row r="1150" spans="1:17" x14ac:dyDescent="0.2">
      <c r="A1150" t="s">
        <v>1315</v>
      </c>
      <c r="B1150" s="1">
        <v>45791</v>
      </c>
      <c r="C1150" t="s">
        <v>77</v>
      </c>
      <c r="D1150" t="s">
        <v>149</v>
      </c>
      <c r="E1150" t="s">
        <v>150</v>
      </c>
      <c r="F1150" t="s">
        <v>39</v>
      </c>
      <c r="G1150" t="s">
        <v>22</v>
      </c>
      <c r="H1150" t="s">
        <v>23</v>
      </c>
      <c r="I1150" t="s">
        <v>83</v>
      </c>
      <c r="J1150" t="s">
        <v>84</v>
      </c>
      <c r="K1150">
        <v>5</v>
      </c>
      <c r="L1150" s="2">
        <v>13.06</v>
      </c>
      <c r="M1150" s="3">
        <v>0</v>
      </c>
      <c r="N1150" s="2">
        <v>65.3</v>
      </c>
      <c r="O1150" s="2">
        <v>44.85</v>
      </c>
      <c r="P1150" s="2">
        <v>20.45</v>
      </c>
      <c r="Q1150" t="s">
        <v>57</v>
      </c>
    </row>
    <row r="1151" spans="1:17" x14ac:dyDescent="0.2">
      <c r="A1151" t="s">
        <v>1316</v>
      </c>
      <c r="B1151" s="1">
        <v>45792</v>
      </c>
      <c r="C1151" t="s">
        <v>43</v>
      </c>
      <c r="D1151" t="s">
        <v>208</v>
      </c>
      <c r="E1151" t="s">
        <v>287</v>
      </c>
      <c r="F1151" t="s">
        <v>46</v>
      </c>
      <c r="G1151" t="s">
        <v>22</v>
      </c>
      <c r="H1151" t="s">
        <v>31</v>
      </c>
      <c r="I1151" t="s">
        <v>32</v>
      </c>
      <c r="J1151" t="s">
        <v>258</v>
      </c>
      <c r="K1151">
        <v>10</v>
      </c>
      <c r="L1151" s="2">
        <v>1186.54</v>
      </c>
      <c r="M1151" s="3">
        <v>0.05</v>
      </c>
      <c r="N1151" s="2">
        <v>11272.13</v>
      </c>
      <c r="O1151" s="2">
        <v>9141.33</v>
      </c>
      <c r="P1151" s="2">
        <v>2130.8000000000002</v>
      </c>
      <c r="Q1151" t="s">
        <v>34</v>
      </c>
    </row>
    <row r="1152" spans="1:17" x14ac:dyDescent="0.2">
      <c r="A1152" t="s">
        <v>1317</v>
      </c>
      <c r="B1152" s="1">
        <v>45792</v>
      </c>
      <c r="C1152" t="s">
        <v>77</v>
      </c>
      <c r="D1152" t="s">
        <v>106</v>
      </c>
      <c r="E1152" t="s">
        <v>236</v>
      </c>
      <c r="F1152" t="s">
        <v>138</v>
      </c>
      <c r="G1152" t="s">
        <v>75</v>
      </c>
      <c r="H1152" t="s">
        <v>47</v>
      </c>
      <c r="I1152" t="s">
        <v>89</v>
      </c>
      <c r="J1152" t="s">
        <v>90</v>
      </c>
      <c r="K1152">
        <v>7</v>
      </c>
      <c r="L1152" s="2">
        <v>166.7</v>
      </c>
      <c r="M1152" s="3">
        <v>0.05</v>
      </c>
      <c r="N1152" s="2">
        <v>1108.55</v>
      </c>
      <c r="O1152" s="2">
        <v>856.07</v>
      </c>
      <c r="P1152" s="2">
        <v>252.48</v>
      </c>
      <c r="Q1152" t="s">
        <v>61</v>
      </c>
    </row>
    <row r="1153" spans="1:17" x14ac:dyDescent="0.2">
      <c r="A1153" t="s">
        <v>1318</v>
      </c>
      <c r="B1153" s="1">
        <v>45792</v>
      </c>
      <c r="C1153" t="s">
        <v>43</v>
      </c>
      <c r="D1153" t="s">
        <v>208</v>
      </c>
      <c r="E1153" t="s">
        <v>230</v>
      </c>
      <c r="F1153" t="s">
        <v>30</v>
      </c>
      <c r="G1153" t="s">
        <v>22</v>
      </c>
      <c r="H1153" t="s">
        <v>47</v>
      </c>
      <c r="I1153" t="s">
        <v>97</v>
      </c>
      <c r="J1153" t="s">
        <v>98</v>
      </c>
      <c r="K1153">
        <v>1</v>
      </c>
      <c r="L1153" s="2">
        <v>574.69000000000005</v>
      </c>
      <c r="M1153" s="3">
        <v>0</v>
      </c>
      <c r="N1153" s="2">
        <v>574.69000000000005</v>
      </c>
      <c r="O1153" s="2">
        <v>408.14</v>
      </c>
      <c r="P1153" s="2">
        <v>166.55</v>
      </c>
      <c r="Q1153" t="s">
        <v>61</v>
      </c>
    </row>
    <row r="1154" spans="1:17" x14ac:dyDescent="0.2">
      <c r="A1154" t="s">
        <v>1319</v>
      </c>
      <c r="B1154" s="1">
        <v>45792</v>
      </c>
      <c r="C1154" t="s">
        <v>18</v>
      </c>
      <c r="D1154" t="s">
        <v>152</v>
      </c>
      <c r="E1154" t="s">
        <v>166</v>
      </c>
      <c r="F1154" t="s">
        <v>71</v>
      </c>
      <c r="G1154" t="s">
        <v>75</v>
      </c>
      <c r="H1154" t="s">
        <v>47</v>
      </c>
      <c r="I1154" t="s">
        <v>141</v>
      </c>
      <c r="J1154" t="s">
        <v>142</v>
      </c>
      <c r="K1154">
        <v>9</v>
      </c>
      <c r="L1154" s="2">
        <v>668.25</v>
      </c>
      <c r="M1154" s="3">
        <v>0.15</v>
      </c>
      <c r="N1154" s="2">
        <v>5112.1099999999997</v>
      </c>
      <c r="O1154" s="2">
        <v>3233.1</v>
      </c>
      <c r="P1154" s="2">
        <v>1879.01</v>
      </c>
      <c r="Q1154" t="s">
        <v>61</v>
      </c>
    </row>
    <row r="1155" spans="1:17" x14ac:dyDescent="0.2">
      <c r="A1155" t="s">
        <v>1320</v>
      </c>
      <c r="B1155" s="1">
        <v>45792</v>
      </c>
      <c r="C1155" t="s">
        <v>43</v>
      </c>
      <c r="D1155" t="s">
        <v>244</v>
      </c>
      <c r="E1155" t="s">
        <v>326</v>
      </c>
      <c r="F1155" t="s">
        <v>39</v>
      </c>
      <c r="G1155" t="s">
        <v>75</v>
      </c>
      <c r="H1155" t="s">
        <v>31</v>
      </c>
      <c r="I1155" t="s">
        <v>40</v>
      </c>
      <c r="J1155" t="s">
        <v>216</v>
      </c>
      <c r="K1155">
        <v>4</v>
      </c>
      <c r="L1155" s="2">
        <v>64.89</v>
      </c>
      <c r="M1155" s="3">
        <v>0.05</v>
      </c>
      <c r="N1155" s="2">
        <v>246.58</v>
      </c>
      <c r="O1155" s="2">
        <v>148.76</v>
      </c>
      <c r="P1155" s="2">
        <v>97.82</v>
      </c>
      <c r="Q1155" t="s">
        <v>34</v>
      </c>
    </row>
    <row r="1156" spans="1:17" x14ac:dyDescent="0.2">
      <c r="A1156" t="s">
        <v>1321</v>
      </c>
      <c r="B1156" s="1">
        <v>45792</v>
      </c>
      <c r="C1156" t="s">
        <v>36</v>
      </c>
      <c r="D1156" t="s">
        <v>110</v>
      </c>
      <c r="E1156" t="s">
        <v>203</v>
      </c>
      <c r="F1156" t="s">
        <v>30</v>
      </c>
      <c r="G1156" t="s">
        <v>22</v>
      </c>
      <c r="H1156" t="s">
        <v>23</v>
      </c>
      <c r="I1156" t="s">
        <v>79</v>
      </c>
      <c r="J1156" t="s">
        <v>179</v>
      </c>
      <c r="K1156">
        <v>5</v>
      </c>
      <c r="L1156" s="2">
        <v>234.81</v>
      </c>
      <c r="M1156" s="3">
        <v>0.15</v>
      </c>
      <c r="N1156" s="2">
        <v>997.94</v>
      </c>
      <c r="O1156" s="2">
        <v>664.21</v>
      </c>
      <c r="P1156" s="2">
        <v>333.73</v>
      </c>
      <c r="Q1156" t="s">
        <v>57</v>
      </c>
    </row>
    <row r="1157" spans="1:17" x14ac:dyDescent="0.2">
      <c r="A1157" t="s">
        <v>1322</v>
      </c>
      <c r="B1157" s="1">
        <v>45792</v>
      </c>
      <c r="C1157" t="s">
        <v>43</v>
      </c>
      <c r="D1157" t="s">
        <v>161</v>
      </c>
      <c r="E1157" t="s">
        <v>172</v>
      </c>
      <c r="F1157" t="s">
        <v>21</v>
      </c>
      <c r="G1157" t="s">
        <v>75</v>
      </c>
      <c r="H1157" t="s">
        <v>31</v>
      </c>
      <c r="I1157" t="s">
        <v>112</v>
      </c>
      <c r="J1157" t="s">
        <v>176</v>
      </c>
      <c r="K1157">
        <v>5</v>
      </c>
      <c r="L1157" s="2">
        <v>319.2</v>
      </c>
      <c r="M1157" s="3">
        <v>0</v>
      </c>
      <c r="N1157" s="2">
        <v>1596</v>
      </c>
      <c r="O1157" s="2">
        <v>957.91</v>
      </c>
      <c r="P1157" s="2">
        <v>638.09</v>
      </c>
      <c r="Q1157" t="s">
        <v>61</v>
      </c>
    </row>
    <row r="1158" spans="1:17" x14ac:dyDescent="0.2">
      <c r="A1158" t="s">
        <v>1323</v>
      </c>
      <c r="B1158" s="1">
        <v>45793</v>
      </c>
      <c r="C1158" t="s">
        <v>18</v>
      </c>
      <c r="D1158" t="s">
        <v>133</v>
      </c>
      <c r="E1158" t="s">
        <v>134</v>
      </c>
      <c r="F1158" t="s">
        <v>21</v>
      </c>
      <c r="G1158" t="s">
        <v>22</v>
      </c>
      <c r="H1158" t="s">
        <v>31</v>
      </c>
      <c r="I1158" t="s">
        <v>64</v>
      </c>
      <c r="J1158" t="s">
        <v>65</v>
      </c>
      <c r="K1158">
        <v>2</v>
      </c>
      <c r="L1158" s="2">
        <v>52.78</v>
      </c>
      <c r="M1158" s="3">
        <v>0.15</v>
      </c>
      <c r="N1158" s="2">
        <v>89.73</v>
      </c>
      <c r="O1158" s="2">
        <v>68.87</v>
      </c>
      <c r="P1158" s="2">
        <v>20.86</v>
      </c>
      <c r="Q1158" t="s">
        <v>26</v>
      </c>
    </row>
    <row r="1159" spans="1:17" x14ac:dyDescent="0.2">
      <c r="A1159" t="s">
        <v>1324</v>
      </c>
      <c r="B1159" s="1">
        <v>45793</v>
      </c>
      <c r="C1159" t="s">
        <v>43</v>
      </c>
      <c r="D1159" t="s">
        <v>244</v>
      </c>
      <c r="E1159" t="s">
        <v>326</v>
      </c>
      <c r="F1159" t="s">
        <v>130</v>
      </c>
      <c r="G1159" t="s">
        <v>75</v>
      </c>
      <c r="H1159" t="s">
        <v>31</v>
      </c>
      <c r="I1159" t="s">
        <v>112</v>
      </c>
      <c r="J1159" t="s">
        <v>176</v>
      </c>
      <c r="K1159">
        <v>6</v>
      </c>
      <c r="L1159" s="2">
        <v>237.93</v>
      </c>
      <c r="M1159" s="3">
        <v>0</v>
      </c>
      <c r="N1159" s="2">
        <v>1427.58</v>
      </c>
      <c r="O1159" s="2">
        <v>975.41</v>
      </c>
      <c r="P1159" s="2">
        <v>452.17</v>
      </c>
      <c r="Q1159" t="s">
        <v>57</v>
      </c>
    </row>
    <row r="1160" spans="1:17" x14ac:dyDescent="0.2">
      <c r="A1160" t="s">
        <v>1325</v>
      </c>
      <c r="B1160" s="1">
        <v>45793</v>
      </c>
      <c r="C1160" t="s">
        <v>77</v>
      </c>
      <c r="D1160" t="s">
        <v>149</v>
      </c>
      <c r="E1160" t="s">
        <v>150</v>
      </c>
      <c r="F1160" t="s">
        <v>46</v>
      </c>
      <c r="G1160" t="s">
        <v>22</v>
      </c>
      <c r="H1160" t="s">
        <v>31</v>
      </c>
      <c r="I1160" t="s">
        <v>64</v>
      </c>
      <c r="J1160" t="s">
        <v>126</v>
      </c>
      <c r="K1160">
        <v>6</v>
      </c>
      <c r="L1160" s="2">
        <v>38.79</v>
      </c>
      <c r="M1160" s="3">
        <v>0</v>
      </c>
      <c r="N1160" s="2">
        <v>232.74</v>
      </c>
      <c r="O1160" s="2">
        <v>164.72</v>
      </c>
      <c r="P1160" s="2">
        <v>68.02</v>
      </c>
      <c r="Q1160" t="s">
        <v>61</v>
      </c>
    </row>
    <row r="1161" spans="1:17" x14ac:dyDescent="0.2">
      <c r="A1161" t="s">
        <v>1326</v>
      </c>
      <c r="B1161" s="1">
        <v>45793</v>
      </c>
      <c r="C1161" t="s">
        <v>77</v>
      </c>
      <c r="D1161" t="s">
        <v>95</v>
      </c>
      <c r="E1161" t="s">
        <v>300</v>
      </c>
      <c r="F1161" t="s">
        <v>46</v>
      </c>
      <c r="G1161" t="s">
        <v>54</v>
      </c>
      <c r="H1161" t="s">
        <v>31</v>
      </c>
      <c r="I1161" t="s">
        <v>32</v>
      </c>
      <c r="J1161" t="s">
        <v>258</v>
      </c>
      <c r="K1161">
        <v>6</v>
      </c>
      <c r="L1161" s="2">
        <v>619.94000000000005</v>
      </c>
      <c r="M1161" s="3">
        <v>0.1</v>
      </c>
      <c r="N1161" s="2">
        <v>3347.68</v>
      </c>
      <c r="O1161" s="2">
        <v>2005.75</v>
      </c>
      <c r="P1161" s="2">
        <v>1341.93</v>
      </c>
      <c r="Q1161" t="s">
        <v>57</v>
      </c>
    </row>
    <row r="1162" spans="1:17" x14ac:dyDescent="0.2">
      <c r="A1162" t="s">
        <v>1327</v>
      </c>
      <c r="B1162" s="1">
        <v>45793</v>
      </c>
      <c r="C1162" t="s">
        <v>36</v>
      </c>
      <c r="D1162" t="s">
        <v>73</v>
      </c>
      <c r="E1162" t="s">
        <v>212</v>
      </c>
      <c r="F1162" t="s">
        <v>30</v>
      </c>
      <c r="G1162" t="s">
        <v>22</v>
      </c>
      <c r="H1162" t="s">
        <v>31</v>
      </c>
      <c r="I1162" t="s">
        <v>40</v>
      </c>
      <c r="J1162" t="s">
        <v>41</v>
      </c>
      <c r="K1162">
        <v>6</v>
      </c>
      <c r="L1162" s="2">
        <v>225.58</v>
      </c>
      <c r="M1162" s="3">
        <v>0</v>
      </c>
      <c r="N1162" s="2">
        <v>1353.48</v>
      </c>
      <c r="O1162" s="2">
        <v>853.09</v>
      </c>
      <c r="P1162" s="2">
        <v>500.39</v>
      </c>
      <c r="Q1162" t="s">
        <v>61</v>
      </c>
    </row>
    <row r="1163" spans="1:17" x14ac:dyDescent="0.2">
      <c r="A1163" t="s">
        <v>1328</v>
      </c>
      <c r="B1163" s="1">
        <v>45793</v>
      </c>
      <c r="C1163" t="s">
        <v>43</v>
      </c>
      <c r="D1163" t="s">
        <v>161</v>
      </c>
      <c r="E1163" t="s">
        <v>418</v>
      </c>
      <c r="F1163" t="s">
        <v>60</v>
      </c>
      <c r="G1163" t="s">
        <v>75</v>
      </c>
      <c r="H1163" t="s">
        <v>47</v>
      </c>
      <c r="I1163" t="s">
        <v>141</v>
      </c>
      <c r="J1163" t="s">
        <v>142</v>
      </c>
      <c r="K1163">
        <v>3</v>
      </c>
      <c r="L1163" s="2">
        <v>375.96</v>
      </c>
      <c r="M1163" s="3">
        <v>0.1</v>
      </c>
      <c r="N1163" s="2">
        <v>1015.09</v>
      </c>
      <c r="O1163" s="2">
        <v>571.23</v>
      </c>
      <c r="P1163" s="2">
        <v>443.86</v>
      </c>
      <c r="Q1163" t="s">
        <v>61</v>
      </c>
    </row>
    <row r="1164" spans="1:17" x14ac:dyDescent="0.2">
      <c r="A1164" t="s">
        <v>1329</v>
      </c>
      <c r="B1164" s="1">
        <v>45794</v>
      </c>
      <c r="C1164" t="s">
        <v>18</v>
      </c>
      <c r="D1164" t="s">
        <v>152</v>
      </c>
      <c r="E1164" t="s">
        <v>153</v>
      </c>
      <c r="F1164" t="s">
        <v>46</v>
      </c>
      <c r="G1164" t="s">
        <v>22</v>
      </c>
      <c r="H1164" t="s">
        <v>47</v>
      </c>
      <c r="I1164" t="s">
        <v>89</v>
      </c>
      <c r="J1164" t="s">
        <v>240</v>
      </c>
      <c r="K1164">
        <v>6</v>
      </c>
      <c r="L1164" s="2">
        <v>175.45</v>
      </c>
      <c r="M1164" s="3">
        <v>0.05</v>
      </c>
      <c r="N1164" s="2">
        <v>1000.06</v>
      </c>
      <c r="O1164" s="2">
        <v>623.57000000000005</v>
      </c>
      <c r="P1164" s="2">
        <v>376.49</v>
      </c>
      <c r="Q1164" t="s">
        <v>61</v>
      </c>
    </row>
    <row r="1165" spans="1:17" x14ac:dyDescent="0.2">
      <c r="A1165" t="s">
        <v>1330</v>
      </c>
      <c r="B1165" s="1">
        <v>45794</v>
      </c>
      <c r="C1165" t="s">
        <v>77</v>
      </c>
      <c r="D1165" t="s">
        <v>78</v>
      </c>
      <c r="E1165" t="s">
        <v>295</v>
      </c>
      <c r="F1165" t="s">
        <v>30</v>
      </c>
      <c r="G1165" t="s">
        <v>75</v>
      </c>
      <c r="H1165" t="s">
        <v>47</v>
      </c>
      <c r="I1165" t="s">
        <v>141</v>
      </c>
      <c r="J1165" t="s">
        <v>142</v>
      </c>
      <c r="K1165">
        <v>4</v>
      </c>
      <c r="L1165" s="2">
        <v>496.07</v>
      </c>
      <c r="M1165" s="3">
        <v>0.1</v>
      </c>
      <c r="N1165" s="2">
        <v>1785.85</v>
      </c>
      <c r="O1165" s="2">
        <v>1058.05</v>
      </c>
      <c r="P1165" s="2">
        <v>727.8</v>
      </c>
      <c r="Q1165" t="s">
        <v>34</v>
      </c>
    </row>
    <row r="1166" spans="1:17" x14ac:dyDescent="0.2">
      <c r="A1166" t="s">
        <v>1331</v>
      </c>
      <c r="B1166" s="1">
        <v>45794</v>
      </c>
      <c r="C1166" t="s">
        <v>77</v>
      </c>
      <c r="D1166" t="s">
        <v>149</v>
      </c>
      <c r="E1166" t="s">
        <v>309</v>
      </c>
      <c r="F1166" t="s">
        <v>39</v>
      </c>
      <c r="G1166" t="s">
        <v>22</v>
      </c>
      <c r="H1166" t="s">
        <v>47</v>
      </c>
      <c r="I1166" t="s">
        <v>141</v>
      </c>
      <c r="J1166" t="s">
        <v>372</v>
      </c>
      <c r="K1166">
        <v>9</v>
      </c>
      <c r="L1166" s="2">
        <v>339.63</v>
      </c>
      <c r="M1166" s="3">
        <v>0</v>
      </c>
      <c r="N1166" s="2">
        <v>3056.67</v>
      </c>
      <c r="O1166" s="2">
        <v>2188.5700000000002</v>
      </c>
      <c r="P1166" s="2">
        <v>868.1</v>
      </c>
      <c r="Q1166" t="s">
        <v>34</v>
      </c>
    </row>
    <row r="1167" spans="1:17" x14ac:dyDescent="0.2">
      <c r="A1167" t="s">
        <v>1332</v>
      </c>
      <c r="B1167" s="1">
        <v>45794</v>
      </c>
      <c r="C1167" t="s">
        <v>36</v>
      </c>
      <c r="D1167" t="s">
        <v>67</v>
      </c>
      <c r="E1167" t="s">
        <v>68</v>
      </c>
      <c r="F1167" t="s">
        <v>130</v>
      </c>
      <c r="G1167" t="s">
        <v>75</v>
      </c>
      <c r="H1167" t="s">
        <v>23</v>
      </c>
      <c r="I1167" t="s">
        <v>79</v>
      </c>
      <c r="J1167" t="s">
        <v>179</v>
      </c>
      <c r="K1167">
        <v>7</v>
      </c>
      <c r="L1167" s="2">
        <v>364.17</v>
      </c>
      <c r="M1167" s="3">
        <v>0</v>
      </c>
      <c r="N1167" s="2">
        <v>2549.19</v>
      </c>
      <c r="O1167" s="2">
        <v>1777.76</v>
      </c>
      <c r="P1167" s="2">
        <v>771.43</v>
      </c>
      <c r="Q1167" t="s">
        <v>61</v>
      </c>
    </row>
    <row r="1168" spans="1:17" x14ac:dyDescent="0.2">
      <c r="A1168" t="s">
        <v>1333</v>
      </c>
      <c r="B1168" s="1">
        <v>45794</v>
      </c>
      <c r="C1168" t="s">
        <v>77</v>
      </c>
      <c r="D1168" t="s">
        <v>128</v>
      </c>
      <c r="E1168" t="s">
        <v>129</v>
      </c>
      <c r="F1168" t="s">
        <v>138</v>
      </c>
      <c r="G1168" t="s">
        <v>22</v>
      </c>
      <c r="H1168" t="s">
        <v>31</v>
      </c>
      <c r="I1168" t="s">
        <v>40</v>
      </c>
      <c r="J1168" t="s">
        <v>216</v>
      </c>
      <c r="K1168">
        <v>2</v>
      </c>
      <c r="L1168" s="2">
        <v>149.6</v>
      </c>
      <c r="M1168" s="3">
        <v>0.1</v>
      </c>
      <c r="N1168" s="2">
        <v>269.27999999999997</v>
      </c>
      <c r="O1168" s="2">
        <v>200.6</v>
      </c>
      <c r="P1168" s="2">
        <v>68.680000000000007</v>
      </c>
      <c r="Q1168" t="s">
        <v>34</v>
      </c>
    </row>
    <row r="1169" spans="1:17" x14ac:dyDescent="0.2">
      <c r="A1169" t="s">
        <v>1334</v>
      </c>
      <c r="B1169" s="1">
        <v>45794</v>
      </c>
      <c r="C1169" t="s">
        <v>36</v>
      </c>
      <c r="D1169" t="s">
        <v>67</v>
      </c>
      <c r="E1169" t="s">
        <v>270</v>
      </c>
      <c r="F1169" t="s">
        <v>39</v>
      </c>
      <c r="G1169" t="s">
        <v>22</v>
      </c>
      <c r="H1169" t="s">
        <v>31</v>
      </c>
      <c r="I1169" t="s">
        <v>32</v>
      </c>
      <c r="J1169" t="s">
        <v>33</v>
      </c>
      <c r="K1169">
        <v>5</v>
      </c>
      <c r="L1169" s="2">
        <v>1564.65</v>
      </c>
      <c r="M1169" s="3">
        <v>0.05</v>
      </c>
      <c r="N1169" s="2">
        <v>7432.09</v>
      </c>
      <c r="O1169" s="2">
        <v>4305.05</v>
      </c>
      <c r="P1169" s="2">
        <v>3127.04</v>
      </c>
      <c r="Q1169" t="s">
        <v>26</v>
      </c>
    </row>
    <row r="1170" spans="1:17" x14ac:dyDescent="0.2">
      <c r="A1170" t="s">
        <v>1335</v>
      </c>
      <c r="B1170" s="1">
        <v>45794</v>
      </c>
      <c r="C1170" t="s">
        <v>36</v>
      </c>
      <c r="D1170" t="s">
        <v>73</v>
      </c>
      <c r="E1170" t="s">
        <v>212</v>
      </c>
      <c r="F1170" t="s">
        <v>30</v>
      </c>
      <c r="G1170" t="s">
        <v>54</v>
      </c>
      <c r="H1170" t="s">
        <v>23</v>
      </c>
      <c r="I1170" t="s">
        <v>24</v>
      </c>
      <c r="J1170" t="s">
        <v>220</v>
      </c>
      <c r="K1170">
        <v>9</v>
      </c>
      <c r="L1170" s="2">
        <v>5</v>
      </c>
      <c r="M1170" s="3">
        <v>0.15</v>
      </c>
      <c r="N1170" s="2">
        <v>38.25</v>
      </c>
      <c r="O1170" s="2">
        <v>26.66</v>
      </c>
      <c r="P1170" s="2">
        <v>11.59</v>
      </c>
      <c r="Q1170" t="s">
        <v>34</v>
      </c>
    </row>
    <row r="1171" spans="1:17" x14ac:dyDescent="0.2">
      <c r="A1171" t="s">
        <v>1336</v>
      </c>
      <c r="B1171" s="1">
        <v>45794</v>
      </c>
      <c r="C1171" t="s">
        <v>77</v>
      </c>
      <c r="D1171" t="s">
        <v>128</v>
      </c>
      <c r="E1171" t="s">
        <v>129</v>
      </c>
      <c r="F1171" t="s">
        <v>60</v>
      </c>
      <c r="G1171" t="s">
        <v>75</v>
      </c>
      <c r="H1171" t="s">
        <v>23</v>
      </c>
      <c r="I1171" t="s">
        <v>24</v>
      </c>
      <c r="J1171" t="s">
        <v>220</v>
      </c>
      <c r="K1171">
        <v>4</v>
      </c>
      <c r="L1171" s="2">
        <v>6</v>
      </c>
      <c r="M1171" s="3">
        <v>0.1</v>
      </c>
      <c r="N1171" s="2">
        <v>21.6</v>
      </c>
      <c r="O1171" s="2">
        <v>12.28</v>
      </c>
      <c r="P1171" s="2">
        <v>9.32</v>
      </c>
      <c r="Q1171" t="s">
        <v>57</v>
      </c>
    </row>
    <row r="1172" spans="1:17" x14ac:dyDescent="0.2">
      <c r="A1172" t="s">
        <v>1337</v>
      </c>
      <c r="B1172" s="1">
        <v>45794</v>
      </c>
      <c r="C1172" t="s">
        <v>36</v>
      </c>
      <c r="D1172" t="s">
        <v>144</v>
      </c>
      <c r="E1172" t="s">
        <v>214</v>
      </c>
      <c r="F1172" t="s">
        <v>46</v>
      </c>
      <c r="G1172" t="s">
        <v>54</v>
      </c>
      <c r="H1172" t="s">
        <v>31</v>
      </c>
      <c r="I1172" t="s">
        <v>112</v>
      </c>
      <c r="J1172" t="s">
        <v>113</v>
      </c>
      <c r="K1172">
        <v>9</v>
      </c>
      <c r="L1172" s="2">
        <v>552.23</v>
      </c>
      <c r="M1172" s="3">
        <v>0.05</v>
      </c>
      <c r="N1172" s="2">
        <v>4721.57</v>
      </c>
      <c r="O1172" s="2">
        <v>3524.95</v>
      </c>
      <c r="P1172" s="2">
        <v>1196.6199999999999</v>
      </c>
      <c r="Q1172" t="s">
        <v>61</v>
      </c>
    </row>
    <row r="1173" spans="1:17" x14ac:dyDescent="0.2">
      <c r="A1173" t="s">
        <v>1338</v>
      </c>
      <c r="B1173" s="1">
        <v>45794</v>
      </c>
      <c r="C1173" t="s">
        <v>77</v>
      </c>
      <c r="D1173" t="s">
        <v>128</v>
      </c>
      <c r="E1173" t="s">
        <v>159</v>
      </c>
      <c r="F1173" t="s">
        <v>69</v>
      </c>
      <c r="G1173" t="s">
        <v>54</v>
      </c>
      <c r="H1173" t="s">
        <v>23</v>
      </c>
      <c r="I1173" t="s">
        <v>79</v>
      </c>
      <c r="J1173" t="s">
        <v>179</v>
      </c>
      <c r="K1173">
        <v>4</v>
      </c>
      <c r="L1173" s="2">
        <v>492.27</v>
      </c>
      <c r="M1173" s="3">
        <v>0.1</v>
      </c>
      <c r="N1173" s="2">
        <v>1772.17</v>
      </c>
      <c r="O1173" s="2">
        <v>1032.79</v>
      </c>
      <c r="P1173" s="2">
        <v>739.38</v>
      </c>
      <c r="Q1173" t="s">
        <v>61</v>
      </c>
    </row>
    <row r="1174" spans="1:17" x14ac:dyDescent="0.2">
      <c r="A1174" t="s">
        <v>1339</v>
      </c>
      <c r="B1174" s="1">
        <v>45794</v>
      </c>
      <c r="C1174" t="s">
        <v>77</v>
      </c>
      <c r="D1174" t="s">
        <v>149</v>
      </c>
      <c r="E1174" t="s">
        <v>206</v>
      </c>
      <c r="F1174" t="s">
        <v>138</v>
      </c>
      <c r="G1174" t="s">
        <v>54</v>
      </c>
      <c r="H1174" t="s">
        <v>47</v>
      </c>
      <c r="I1174" t="s">
        <v>141</v>
      </c>
      <c r="J1174" t="s">
        <v>372</v>
      </c>
      <c r="K1174">
        <v>8</v>
      </c>
      <c r="L1174" s="2">
        <v>591.86</v>
      </c>
      <c r="M1174" s="3">
        <v>0.1</v>
      </c>
      <c r="N1174" s="2">
        <v>4261.3900000000003</v>
      </c>
      <c r="O1174" s="2">
        <v>3153.43</v>
      </c>
      <c r="P1174" s="2">
        <v>1107.96</v>
      </c>
      <c r="Q1174" t="s">
        <v>26</v>
      </c>
    </row>
    <row r="1175" spans="1:17" x14ac:dyDescent="0.2">
      <c r="A1175" t="s">
        <v>1340</v>
      </c>
      <c r="B1175" s="1">
        <v>45795</v>
      </c>
      <c r="C1175" t="s">
        <v>36</v>
      </c>
      <c r="D1175" t="s">
        <v>73</v>
      </c>
      <c r="E1175" t="s">
        <v>212</v>
      </c>
      <c r="F1175" t="s">
        <v>69</v>
      </c>
      <c r="G1175" t="s">
        <v>54</v>
      </c>
      <c r="H1175" t="s">
        <v>47</v>
      </c>
      <c r="I1175" t="s">
        <v>48</v>
      </c>
      <c r="J1175" t="s">
        <v>164</v>
      </c>
      <c r="K1175">
        <v>4</v>
      </c>
      <c r="L1175" s="2">
        <v>353.12</v>
      </c>
      <c r="M1175" s="3">
        <v>0.15</v>
      </c>
      <c r="N1175" s="2">
        <v>1200.6099999999999</v>
      </c>
      <c r="O1175" s="2">
        <v>734.69</v>
      </c>
      <c r="P1175" s="2">
        <v>465.92</v>
      </c>
      <c r="Q1175" t="s">
        <v>57</v>
      </c>
    </row>
    <row r="1176" spans="1:17" x14ac:dyDescent="0.2">
      <c r="A1176" t="s">
        <v>1341</v>
      </c>
      <c r="B1176" s="1">
        <v>45795</v>
      </c>
      <c r="C1176" t="s">
        <v>77</v>
      </c>
      <c r="D1176" t="s">
        <v>128</v>
      </c>
      <c r="E1176" t="s">
        <v>129</v>
      </c>
      <c r="F1176" t="s">
        <v>60</v>
      </c>
      <c r="G1176" t="s">
        <v>75</v>
      </c>
      <c r="H1176" t="s">
        <v>23</v>
      </c>
      <c r="I1176" t="s">
        <v>83</v>
      </c>
      <c r="J1176" t="s">
        <v>131</v>
      </c>
      <c r="K1176">
        <v>3</v>
      </c>
      <c r="L1176" s="2">
        <v>25.04</v>
      </c>
      <c r="M1176" s="3">
        <v>0</v>
      </c>
      <c r="N1176" s="2">
        <v>75.12</v>
      </c>
      <c r="O1176" s="2">
        <v>49.29</v>
      </c>
      <c r="P1176" s="2">
        <v>25.83</v>
      </c>
      <c r="Q1176" t="s">
        <v>61</v>
      </c>
    </row>
    <row r="1177" spans="1:17" x14ac:dyDescent="0.2">
      <c r="A1177" t="s">
        <v>1342</v>
      </c>
      <c r="B1177" s="1">
        <v>45795</v>
      </c>
      <c r="C1177" t="s">
        <v>43</v>
      </c>
      <c r="D1177" t="s">
        <v>208</v>
      </c>
      <c r="E1177" t="s">
        <v>209</v>
      </c>
      <c r="F1177" t="s">
        <v>69</v>
      </c>
      <c r="G1177" t="s">
        <v>22</v>
      </c>
      <c r="H1177" t="s">
        <v>47</v>
      </c>
      <c r="I1177" t="s">
        <v>141</v>
      </c>
      <c r="J1177" t="s">
        <v>201</v>
      </c>
      <c r="K1177">
        <v>2</v>
      </c>
      <c r="L1177" s="2">
        <v>480.64</v>
      </c>
      <c r="M1177" s="3">
        <v>0.1</v>
      </c>
      <c r="N1177" s="2">
        <v>865.15</v>
      </c>
      <c r="O1177" s="2">
        <v>497.21</v>
      </c>
      <c r="P1177" s="2">
        <v>367.94</v>
      </c>
      <c r="Q1177" t="s">
        <v>34</v>
      </c>
    </row>
    <row r="1178" spans="1:17" x14ac:dyDescent="0.2">
      <c r="A1178" t="s">
        <v>1343</v>
      </c>
      <c r="B1178" s="1">
        <v>45795</v>
      </c>
      <c r="C1178" t="s">
        <v>36</v>
      </c>
      <c r="D1178" t="s">
        <v>144</v>
      </c>
      <c r="E1178" t="s">
        <v>214</v>
      </c>
      <c r="F1178" t="s">
        <v>130</v>
      </c>
      <c r="G1178" t="s">
        <v>75</v>
      </c>
      <c r="H1178" t="s">
        <v>47</v>
      </c>
      <c r="I1178" t="s">
        <v>89</v>
      </c>
      <c r="J1178" t="s">
        <v>90</v>
      </c>
      <c r="K1178">
        <v>10</v>
      </c>
      <c r="L1178" s="2">
        <v>302.83</v>
      </c>
      <c r="M1178" s="3">
        <v>0</v>
      </c>
      <c r="N1178" s="2">
        <v>3028.3</v>
      </c>
      <c r="O1178" s="2">
        <v>2317.46</v>
      </c>
      <c r="P1178" s="2">
        <v>710.84</v>
      </c>
      <c r="Q1178" t="s">
        <v>26</v>
      </c>
    </row>
    <row r="1179" spans="1:17" x14ac:dyDescent="0.2">
      <c r="A1179" t="s">
        <v>1344</v>
      </c>
      <c r="B1179" s="1">
        <v>45795</v>
      </c>
      <c r="C1179" t="s">
        <v>18</v>
      </c>
      <c r="D1179" t="s">
        <v>28</v>
      </c>
      <c r="E1179" t="s">
        <v>29</v>
      </c>
      <c r="F1179" t="s">
        <v>138</v>
      </c>
      <c r="G1179" t="s">
        <v>75</v>
      </c>
      <c r="H1179" t="s">
        <v>23</v>
      </c>
      <c r="I1179" t="s">
        <v>55</v>
      </c>
      <c r="J1179" t="s">
        <v>173</v>
      </c>
      <c r="K1179">
        <v>10</v>
      </c>
      <c r="L1179" s="2">
        <v>12.1</v>
      </c>
      <c r="M1179" s="3">
        <v>0.05</v>
      </c>
      <c r="N1179" s="2">
        <v>114.95</v>
      </c>
      <c r="O1179" s="2">
        <v>78.06</v>
      </c>
      <c r="P1179" s="2">
        <v>36.89</v>
      </c>
      <c r="Q1179" t="s">
        <v>61</v>
      </c>
    </row>
    <row r="1180" spans="1:17" x14ac:dyDescent="0.2">
      <c r="A1180" t="s">
        <v>1345</v>
      </c>
      <c r="B1180" s="1">
        <v>45796</v>
      </c>
      <c r="C1180" t="s">
        <v>36</v>
      </c>
      <c r="D1180" t="s">
        <v>37</v>
      </c>
      <c r="E1180" t="s">
        <v>187</v>
      </c>
      <c r="F1180" t="s">
        <v>39</v>
      </c>
      <c r="G1180" t="s">
        <v>22</v>
      </c>
      <c r="H1180" t="s">
        <v>23</v>
      </c>
      <c r="I1180" t="s">
        <v>55</v>
      </c>
      <c r="J1180" t="s">
        <v>102</v>
      </c>
      <c r="K1180">
        <v>4</v>
      </c>
      <c r="L1180" s="2">
        <v>7.55</v>
      </c>
      <c r="M1180" s="3">
        <v>0.2</v>
      </c>
      <c r="N1180" s="2">
        <v>24.16</v>
      </c>
      <c r="O1180" s="2">
        <v>16.760000000000002</v>
      </c>
      <c r="P1180" s="2">
        <v>7.4</v>
      </c>
      <c r="Q1180" t="s">
        <v>26</v>
      </c>
    </row>
    <row r="1181" spans="1:17" x14ac:dyDescent="0.2">
      <c r="A1181" t="s">
        <v>1346</v>
      </c>
      <c r="B1181" s="1">
        <v>45796</v>
      </c>
      <c r="C1181" t="s">
        <v>36</v>
      </c>
      <c r="D1181" t="s">
        <v>73</v>
      </c>
      <c r="E1181" t="s">
        <v>247</v>
      </c>
      <c r="F1181" t="s">
        <v>71</v>
      </c>
      <c r="G1181" t="s">
        <v>75</v>
      </c>
      <c r="H1181" t="s">
        <v>31</v>
      </c>
      <c r="I1181" t="s">
        <v>40</v>
      </c>
      <c r="J1181" t="s">
        <v>216</v>
      </c>
      <c r="K1181">
        <v>4</v>
      </c>
      <c r="L1181" s="2">
        <v>161.77000000000001</v>
      </c>
      <c r="M1181" s="3">
        <v>0.1</v>
      </c>
      <c r="N1181" s="2">
        <v>582.37</v>
      </c>
      <c r="O1181" s="2">
        <v>363.61</v>
      </c>
      <c r="P1181" s="2">
        <v>218.76</v>
      </c>
      <c r="Q1181" t="s">
        <v>26</v>
      </c>
    </row>
    <row r="1182" spans="1:17" x14ac:dyDescent="0.2">
      <c r="A1182" t="s">
        <v>1347</v>
      </c>
      <c r="B1182" s="1">
        <v>45796</v>
      </c>
      <c r="C1182" t="s">
        <v>36</v>
      </c>
      <c r="D1182" t="s">
        <v>110</v>
      </c>
      <c r="E1182" t="s">
        <v>115</v>
      </c>
      <c r="F1182" t="s">
        <v>30</v>
      </c>
      <c r="G1182" t="s">
        <v>75</v>
      </c>
      <c r="H1182" t="s">
        <v>23</v>
      </c>
      <c r="I1182" t="s">
        <v>24</v>
      </c>
      <c r="J1182" t="s">
        <v>220</v>
      </c>
      <c r="K1182">
        <v>4</v>
      </c>
      <c r="L1182" s="2">
        <v>14.66</v>
      </c>
      <c r="M1182" s="3">
        <v>0.05</v>
      </c>
      <c r="N1182" s="2">
        <v>55.71</v>
      </c>
      <c r="O1182" s="2">
        <v>41.16</v>
      </c>
      <c r="P1182" s="2">
        <v>14.55</v>
      </c>
      <c r="Q1182" t="s">
        <v>34</v>
      </c>
    </row>
    <row r="1183" spans="1:17" x14ac:dyDescent="0.2">
      <c r="A1183" t="s">
        <v>1348</v>
      </c>
      <c r="B1183" s="1">
        <v>45796</v>
      </c>
      <c r="C1183" t="s">
        <v>43</v>
      </c>
      <c r="D1183" t="s">
        <v>44</v>
      </c>
      <c r="E1183" t="s">
        <v>147</v>
      </c>
      <c r="F1183" t="s">
        <v>30</v>
      </c>
      <c r="G1183" t="s">
        <v>75</v>
      </c>
      <c r="H1183" t="s">
        <v>23</v>
      </c>
      <c r="I1183" t="s">
        <v>24</v>
      </c>
      <c r="J1183" t="s">
        <v>220</v>
      </c>
      <c r="K1183">
        <v>6</v>
      </c>
      <c r="L1183" s="2">
        <v>24.78</v>
      </c>
      <c r="M1183" s="3">
        <v>0</v>
      </c>
      <c r="N1183" s="2">
        <v>148.68</v>
      </c>
      <c r="O1183" s="2">
        <v>89.29</v>
      </c>
      <c r="P1183" s="2">
        <v>59.39</v>
      </c>
      <c r="Q1183" t="s">
        <v>61</v>
      </c>
    </row>
    <row r="1184" spans="1:17" x14ac:dyDescent="0.2">
      <c r="A1184" t="s">
        <v>1349</v>
      </c>
      <c r="B1184" s="1">
        <v>45796</v>
      </c>
      <c r="C1184" t="s">
        <v>43</v>
      </c>
      <c r="D1184" t="s">
        <v>244</v>
      </c>
      <c r="E1184" t="s">
        <v>300</v>
      </c>
      <c r="F1184" t="s">
        <v>130</v>
      </c>
      <c r="G1184" t="s">
        <v>22</v>
      </c>
      <c r="H1184" t="s">
        <v>23</v>
      </c>
      <c r="I1184" t="s">
        <v>83</v>
      </c>
      <c r="J1184" t="s">
        <v>84</v>
      </c>
      <c r="K1184">
        <v>7</v>
      </c>
      <c r="L1184" s="2">
        <v>20.07</v>
      </c>
      <c r="M1184" s="3">
        <v>0.1</v>
      </c>
      <c r="N1184" s="2">
        <v>126.44</v>
      </c>
      <c r="O1184" s="2">
        <v>72.77</v>
      </c>
      <c r="P1184" s="2">
        <v>53.67</v>
      </c>
      <c r="Q1184" t="s">
        <v>34</v>
      </c>
    </row>
    <row r="1185" spans="1:17" x14ac:dyDescent="0.2">
      <c r="A1185" t="s">
        <v>1350</v>
      </c>
      <c r="B1185" s="1">
        <v>45796</v>
      </c>
      <c r="C1185" t="s">
        <v>36</v>
      </c>
      <c r="D1185" t="s">
        <v>67</v>
      </c>
      <c r="E1185" t="s">
        <v>270</v>
      </c>
      <c r="F1185" t="s">
        <v>21</v>
      </c>
      <c r="G1185" t="s">
        <v>75</v>
      </c>
      <c r="H1185" t="s">
        <v>31</v>
      </c>
      <c r="I1185" t="s">
        <v>112</v>
      </c>
      <c r="J1185" t="s">
        <v>136</v>
      </c>
      <c r="K1185">
        <v>9</v>
      </c>
      <c r="L1185" s="2">
        <v>463.36</v>
      </c>
      <c r="M1185" s="3">
        <v>0.05</v>
      </c>
      <c r="N1185" s="2">
        <v>3961.73</v>
      </c>
      <c r="O1185" s="2">
        <v>2548.66</v>
      </c>
      <c r="P1185" s="2">
        <v>1413.07</v>
      </c>
      <c r="Q1185" t="s">
        <v>57</v>
      </c>
    </row>
    <row r="1186" spans="1:17" x14ac:dyDescent="0.2">
      <c r="A1186" t="s">
        <v>1351</v>
      </c>
      <c r="B1186" s="1">
        <v>45796</v>
      </c>
      <c r="C1186" t="s">
        <v>43</v>
      </c>
      <c r="D1186" t="s">
        <v>44</v>
      </c>
      <c r="E1186" t="s">
        <v>147</v>
      </c>
      <c r="F1186" t="s">
        <v>69</v>
      </c>
      <c r="G1186" t="s">
        <v>75</v>
      </c>
      <c r="H1186" t="s">
        <v>23</v>
      </c>
      <c r="I1186" t="s">
        <v>83</v>
      </c>
      <c r="J1186" t="s">
        <v>84</v>
      </c>
      <c r="K1186">
        <v>6</v>
      </c>
      <c r="L1186" s="2">
        <v>25.98</v>
      </c>
      <c r="M1186" s="3">
        <v>0.2</v>
      </c>
      <c r="N1186" s="2">
        <v>124.7</v>
      </c>
      <c r="O1186" s="2">
        <v>76.55</v>
      </c>
      <c r="P1186" s="2">
        <v>48.15</v>
      </c>
      <c r="Q1186" t="s">
        <v>57</v>
      </c>
    </row>
    <row r="1187" spans="1:17" x14ac:dyDescent="0.2">
      <c r="A1187" t="s">
        <v>1352</v>
      </c>
      <c r="B1187" s="1">
        <v>45796</v>
      </c>
      <c r="C1187" t="s">
        <v>43</v>
      </c>
      <c r="D1187" t="s">
        <v>44</v>
      </c>
      <c r="E1187" t="s">
        <v>82</v>
      </c>
      <c r="F1187" t="s">
        <v>39</v>
      </c>
      <c r="G1187" t="s">
        <v>22</v>
      </c>
      <c r="H1187" t="s">
        <v>31</v>
      </c>
      <c r="I1187" t="s">
        <v>64</v>
      </c>
      <c r="J1187" t="s">
        <v>65</v>
      </c>
      <c r="K1187">
        <v>6</v>
      </c>
      <c r="L1187" s="2">
        <v>115.86</v>
      </c>
      <c r="M1187" s="3">
        <v>0.05</v>
      </c>
      <c r="N1187" s="2">
        <v>660.4</v>
      </c>
      <c r="O1187" s="2">
        <v>470.63</v>
      </c>
      <c r="P1187" s="2">
        <v>189.77</v>
      </c>
      <c r="Q1187" t="s">
        <v>34</v>
      </c>
    </row>
    <row r="1188" spans="1:17" x14ac:dyDescent="0.2">
      <c r="A1188" t="s">
        <v>1353</v>
      </c>
      <c r="B1188" s="1">
        <v>45796</v>
      </c>
      <c r="C1188" t="s">
        <v>36</v>
      </c>
      <c r="D1188" t="s">
        <v>67</v>
      </c>
      <c r="E1188" t="s">
        <v>68</v>
      </c>
      <c r="F1188" t="s">
        <v>130</v>
      </c>
      <c r="G1188" t="s">
        <v>75</v>
      </c>
      <c r="H1188" t="s">
        <v>47</v>
      </c>
      <c r="I1188" t="s">
        <v>141</v>
      </c>
      <c r="J1188" t="s">
        <v>372</v>
      </c>
      <c r="K1188">
        <v>7</v>
      </c>
      <c r="L1188" s="2">
        <v>199.39</v>
      </c>
      <c r="M1188" s="3">
        <v>0</v>
      </c>
      <c r="N1188" s="2">
        <v>1395.73</v>
      </c>
      <c r="O1188" s="2">
        <v>779.05</v>
      </c>
      <c r="P1188" s="2">
        <v>616.67999999999995</v>
      </c>
      <c r="Q1188" t="s">
        <v>57</v>
      </c>
    </row>
    <row r="1189" spans="1:17" x14ac:dyDescent="0.2">
      <c r="A1189" t="s">
        <v>1354</v>
      </c>
      <c r="B1189" s="1">
        <v>45796</v>
      </c>
      <c r="C1189" t="s">
        <v>77</v>
      </c>
      <c r="D1189" t="s">
        <v>128</v>
      </c>
      <c r="E1189" t="s">
        <v>159</v>
      </c>
      <c r="F1189" t="s">
        <v>46</v>
      </c>
      <c r="G1189" t="s">
        <v>22</v>
      </c>
      <c r="H1189" t="s">
        <v>47</v>
      </c>
      <c r="I1189" t="s">
        <v>97</v>
      </c>
      <c r="J1189" t="s">
        <v>116</v>
      </c>
      <c r="K1189">
        <v>1</v>
      </c>
      <c r="L1189" s="2">
        <v>244.78</v>
      </c>
      <c r="M1189" s="3">
        <v>0.1</v>
      </c>
      <c r="N1189" s="2">
        <v>220.3</v>
      </c>
      <c r="O1189" s="2">
        <v>177.47</v>
      </c>
      <c r="P1189" s="2">
        <v>42.83</v>
      </c>
      <c r="Q1189" t="s">
        <v>34</v>
      </c>
    </row>
    <row r="1190" spans="1:17" x14ac:dyDescent="0.2">
      <c r="A1190" t="s">
        <v>1355</v>
      </c>
      <c r="B1190" s="1">
        <v>45796</v>
      </c>
      <c r="C1190" t="s">
        <v>18</v>
      </c>
      <c r="D1190" t="s">
        <v>19</v>
      </c>
      <c r="E1190" t="s">
        <v>20</v>
      </c>
      <c r="F1190" t="s">
        <v>69</v>
      </c>
      <c r="G1190" t="s">
        <v>75</v>
      </c>
      <c r="H1190" t="s">
        <v>23</v>
      </c>
      <c r="I1190" t="s">
        <v>24</v>
      </c>
      <c r="J1190" t="s">
        <v>220</v>
      </c>
      <c r="K1190">
        <v>3</v>
      </c>
      <c r="L1190" s="2">
        <v>12.39</v>
      </c>
      <c r="M1190" s="3">
        <v>0.15</v>
      </c>
      <c r="N1190" s="2">
        <v>31.59</v>
      </c>
      <c r="O1190" s="2">
        <v>19.71</v>
      </c>
      <c r="P1190" s="2">
        <v>11.88</v>
      </c>
      <c r="Q1190" t="s">
        <v>57</v>
      </c>
    </row>
    <row r="1191" spans="1:17" x14ac:dyDescent="0.2">
      <c r="A1191" t="s">
        <v>1356</v>
      </c>
      <c r="B1191" s="1">
        <v>45796</v>
      </c>
      <c r="C1191" t="s">
        <v>43</v>
      </c>
      <c r="D1191" t="s">
        <v>51</v>
      </c>
      <c r="E1191" t="s">
        <v>63</v>
      </c>
      <c r="F1191" t="s">
        <v>21</v>
      </c>
      <c r="G1191" t="s">
        <v>22</v>
      </c>
      <c r="H1191" t="s">
        <v>23</v>
      </c>
      <c r="I1191" t="s">
        <v>83</v>
      </c>
      <c r="J1191" t="s">
        <v>131</v>
      </c>
      <c r="K1191">
        <v>9</v>
      </c>
      <c r="L1191" s="2">
        <v>16.89</v>
      </c>
      <c r="M1191" s="3">
        <v>0</v>
      </c>
      <c r="N1191" s="2">
        <v>152.01</v>
      </c>
      <c r="O1191" s="2">
        <v>112.99</v>
      </c>
      <c r="P1191" s="2">
        <v>39.020000000000003</v>
      </c>
      <c r="Q1191" t="s">
        <v>57</v>
      </c>
    </row>
    <row r="1192" spans="1:17" x14ac:dyDescent="0.2">
      <c r="A1192" t="s">
        <v>1357</v>
      </c>
      <c r="B1192" s="1">
        <v>45796</v>
      </c>
      <c r="C1192" t="s">
        <v>43</v>
      </c>
      <c r="D1192" t="s">
        <v>51</v>
      </c>
      <c r="E1192" t="s">
        <v>63</v>
      </c>
      <c r="F1192" t="s">
        <v>60</v>
      </c>
      <c r="G1192" t="s">
        <v>22</v>
      </c>
      <c r="H1192" t="s">
        <v>31</v>
      </c>
      <c r="I1192" t="s">
        <v>112</v>
      </c>
      <c r="J1192" t="s">
        <v>176</v>
      </c>
      <c r="K1192">
        <v>6</v>
      </c>
      <c r="L1192" s="2">
        <v>577.87</v>
      </c>
      <c r="M1192" s="3">
        <v>0</v>
      </c>
      <c r="N1192" s="2">
        <v>3467.22</v>
      </c>
      <c r="O1192" s="2">
        <v>2686.19</v>
      </c>
      <c r="P1192" s="2">
        <v>781.03</v>
      </c>
      <c r="Q1192" t="s">
        <v>26</v>
      </c>
    </row>
    <row r="1193" spans="1:17" x14ac:dyDescent="0.2">
      <c r="A1193" t="s">
        <v>1358</v>
      </c>
      <c r="B1193" s="1">
        <v>45796</v>
      </c>
      <c r="C1193" t="s">
        <v>43</v>
      </c>
      <c r="D1193" t="s">
        <v>208</v>
      </c>
      <c r="E1193" t="s">
        <v>287</v>
      </c>
      <c r="F1193" t="s">
        <v>138</v>
      </c>
      <c r="G1193" t="s">
        <v>22</v>
      </c>
      <c r="H1193" t="s">
        <v>47</v>
      </c>
      <c r="I1193" t="s">
        <v>141</v>
      </c>
      <c r="J1193" t="s">
        <v>201</v>
      </c>
      <c r="K1193">
        <v>4</v>
      </c>
      <c r="L1193" s="2">
        <v>192.43</v>
      </c>
      <c r="M1193" s="3">
        <v>0.15</v>
      </c>
      <c r="N1193" s="2">
        <v>654.26</v>
      </c>
      <c r="O1193" s="2">
        <v>414.87</v>
      </c>
      <c r="P1193" s="2">
        <v>239.39</v>
      </c>
      <c r="Q1193" t="s">
        <v>34</v>
      </c>
    </row>
    <row r="1194" spans="1:17" x14ac:dyDescent="0.2">
      <c r="A1194" t="s">
        <v>1359</v>
      </c>
      <c r="B1194" s="1">
        <v>45796</v>
      </c>
      <c r="C1194" t="s">
        <v>36</v>
      </c>
      <c r="D1194" t="s">
        <v>73</v>
      </c>
      <c r="E1194" t="s">
        <v>212</v>
      </c>
      <c r="F1194" t="s">
        <v>138</v>
      </c>
      <c r="G1194" t="s">
        <v>75</v>
      </c>
      <c r="H1194" t="s">
        <v>23</v>
      </c>
      <c r="I1194" t="s">
        <v>55</v>
      </c>
      <c r="J1194" t="s">
        <v>56</v>
      </c>
      <c r="K1194">
        <v>5</v>
      </c>
      <c r="L1194" s="2">
        <v>13.15</v>
      </c>
      <c r="M1194" s="3">
        <v>0.1</v>
      </c>
      <c r="N1194" s="2">
        <v>59.18</v>
      </c>
      <c r="O1194" s="2">
        <v>45.19</v>
      </c>
      <c r="P1194" s="2">
        <v>13.99</v>
      </c>
      <c r="Q1194" t="s">
        <v>26</v>
      </c>
    </row>
    <row r="1195" spans="1:17" x14ac:dyDescent="0.2">
      <c r="A1195" t="s">
        <v>1360</v>
      </c>
      <c r="B1195" s="1">
        <v>45797</v>
      </c>
      <c r="C1195" t="s">
        <v>43</v>
      </c>
      <c r="D1195" t="s">
        <v>161</v>
      </c>
      <c r="E1195" t="s">
        <v>172</v>
      </c>
      <c r="F1195" t="s">
        <v>138</v>
      </c>
      <c r="G1195" t="s">
        <v>75</v>
      </c>
      <c r="H1195" t="s">
        <v>47</v>
      </c>
      <c r="I1195" t="s">
        <v>97</v>
      </c>
      <c r="J1195" t="s">
        <v>98</v>
      </c>
      <c r="K1195">
        <v>1</v>
      </c>
      <c r="L1195" s="2">
        <v>679.53</v>
      </c>
      <c r="M1195" s="3">
        <v>0.1</v>
      </c>
      <c r="N1195" s="2">
        <v>611.58000000000004</v>
      </c>
      <c r="O1195" s="2">
        <v>405.9</v>
      </c>
      <c r="P1195" s="2">
        <v>205.68</v>
      </c>
      <c r="Q1195" t="s">
        <v>57</v>
      </c>
    </row>
    <row r="1196" spans="1:17" x14ac:dyDescent="0.2">
      <c r="A1196" t="s">
        <v>1361</v>
      </c>
      <c r="B1196" s="1">
        <v>45797</v>
      </c>
      <c r="C1196" t="s">
        <v>18</v>
      </c>
      <c r="D1196" t="s">
        <v>133</v>
      </c>
      <c r="E1196" t="s">
        <v>197</v>
      </c>
      <c r="F1196" t="s">
        <v>138</v>
      </c>
      <c r="G1196" t="s">
        <v>75</v>
      </c>
      <c r="H1196" t="s">
        <v>23</v>
      </c>
      <c r="I1196" t="s">
        <v>24</v>
      </c>
      <c r="J1196" t="s">
        <v>108</v>
      </c>
      <c r="K1196">
        <v>3</v>
      </c>
      <c r="L1196" s="2">
        <v>7.77</v>
      </c>
      <c r="M1196" s="3">
        <v>0</v>
      </c>
      <c r="N1196" s="2">
        <v>23.31</v>
      </c>
      <c r="O1196" s="2">
        <v>15.97</v>
      </c>
      <c r="P1196" s="2">
        <v>7.34</v>
      </c>
      <c r="Q1196" t="s">
        <v>26</v>
      </c>
    </row>
    <row r="1197" spans="1:17" x14ac:dyDescent="0.2">
      <c r="A1197" t="s">
        <v>1362</v>
      </c>
      <c r="B1197" s="1">
        <v>45797</v>
      </c>
      <c r="C1197" t="s">
        <v>43</v>
      </c>
      <c r="D1197" t="s">
        <v>161</v>
      </c>
      <c r="E1197" t="s">
        <v>172</v>
      </c>
      <c r="F1197" t="s">
        <v>69</v>
      </c>
      <c r="G1197" t="s">
        <v>22</v>
      </c>
      <c r="H1197" t="s">
        <v>31</v>
      </c>
      <c r="I1197" t="s">
        <v>64</v>
      </c>
      <c r="J1197" t="s">
        <v>252</v>
      </c>
      <c r="K1197">
        <v>8</v>
      </c>
      <c r="L1197" s="2">
        <v>104.6</v>
      </c>
      <c r="M1197" s="3">
        <v>0</v>
      </c>
      <c r="N1197" s="2">
        <v>836.8</v>
      </c>
      <c r="O1197" s="2">
        <v>639.87</v>
      </c>
      <c r="P1197" s="2">
        <v>196.93</v>
      </c>
      <c r="Q1197" t="s">
        <v>26</v>
      </c>
    </row>
    <row r="1198" spans="1:17" x14ac:dyDescent="0.2">
      <c r="A1198" t="s">
        <v>1363</v>
      </c>
      <c r="B1198" s="1">
        <v>45797</v>
      </c>
      <c r="C1198" t="s">
        <v>77</v>
      </c>
      <c r="D1198" t="s">
        <v>95</v>
      </c>
      <c r="E1198" t="s">
        <v>96</v>
      </c>
      <c r="F1198" t="s">
        <v>130</v>
      </c>
      <c r="G1198" t="s">
        <v>22</v>
      </c>
      <c r="H1198" t="s">
        <v>31</v>
      </c>
      <c r="I1198" t="s">
        <v>40</v>
      </c>
      <c r="J1198" t="s">
        <v>41</v>
      </c>
      <c r="K1198">
        <v>6</v>
      </c>
      <c r="L1198" s="2">
        <v>194.92</v>
      </c>
      <c r="M1198" s="3">
        <v>0.1</v>
      </c>
      <c r="N1198" s="2">
        <v>1052.57</v>
      </c>
      <c r="O1198" s="2">
        <v>635.66999999999996</v>
      </c>
      <c r="P1198" s="2">
        <v>416.9</v>
      </c>
      <c r="Q1198" t="s">
        <v>26</v>
      </c>
    </row>
    <row r="1199" spans="1:17" x14ac:dyDescent="0.2">
      <c r="A1199" t="s">
        <v>1364</v>
      </c>
      <c r="B1199" s="1">
        <v>45797</v>
      </c>
      <c r="C1199" t="s">
        <v>77</v>
      </c>
      <c r="D1199" t="s">
        <v>128</v>
      </c>
      <c r="E1199" t="s">
        <v>129</v>
      </c>
      <c r="F1199" t="s">
        <v>138</v>
      </c>
      <c r="G1199" t="s">
        <v>22</v>
      </c>
      <c r="H1199" t="s">
        <v>31</v>
      </c>
      <c r="I1199" t="s">
        <v>40</v>
      </c>
      <c r="J1199" t="s">
        <v>41</v>
      </c>
      <c r="K1199">
        <v>3</v>
      </c>
      <c r="L1199" s="2">
        <v>94.07</v>
      </c>
      <c r="M1199" s="3">
        <v>0.1</v>
      </c>
      <c r="N1199" s="2">
        <v>253.99</v>
      </c>
      <c r="O1199" s="2">
        <v>198.21</v>
      </c>
      <c r="P1199" s="2">
        <v>55.78</v>
      </c>
      <c r="Q1199" t="s">
        <v>26</v>
      </c>
    </row>
    <row r="1200" spans="1:17" x14ac:dyDescent="0.2">
      <c r="A1200" t="s">
        <v>1365</v>
      </c>
      <c r="B1200" s="1">
        <v>45797</v>
      </c>
      <c r="C1200" t="s">
        <v>43</v>
      </c>
      <c r="D1200" t="s">
        <v>161</v>
      </c>
      <c r="E1200" t="s">
        <v>162</v>
      </c>
      <c r="F1200" t="s">
        <v>30</v>
      </c>
      <c r="G1200" t="s">
        <v>22</v>
      </c>
      <c r="H1200" t="s">
        <v>31</v>
      </c>
      <c r="I1200" t="s">
        <v>40</v>
      </c>
      <c r="J1200" t="s">
        <v>41</v>
      </c>
      <c r="K1200">
        <v>2</v>
      </c>
      <c r="L1200" s="2">
        <v>199.37</v>
      </c>
      <c r="M1200" s="3">
        <v>0.1</v>
      </c>
      <c r="N1200" s="2">
        <v>358.87</v>
      </c>
      <c r="O1200" s="2">
        <v>255.86</v>
      </c>
      <c r="P1200" s="2">
        <v>103.01</v>
      </c>
      <c r="Q1200" t="s">
        <v>34</v>
      </c>
    </row>
    <row r="1201" spans="1:17" x14ac:dyDescent="0.2">
      <c r="A1201" t="s">
        <v>1366</v>
      </c>
      <c r="B1201" s="1">
        <v>45797</v>
      </c>
      <c r="C1201" t="s">
        <v>43</v>
      </c>
      <c r="D1201" t="s">
        <v>44</v>
      </c>
      <c r="E1201" t="s">
        <v>45</v>
      </c>
      <c r="F1201" t="s">
        <v>46</v>
      </c>
      <c r="G1201" t="s">
        <v>22</v>
      </c>
      <c r="H1201" t="s">
        <v>31</v>
      </c>
      <c r="I1201" t="s">
        <v>32</v>
      </c>
      <c r="J1201" t="s">
        <v>104</v>
      </c>
      <c r="K1201">
        <v>7</v>
      </c>
      <c r="L1201" s="2">
        <v>724.4</v>
      </c>
      <c r="M1201" s="3">
        <v>0.1</v>
      </c>
      <c r="N1201" s="2">
        <v>4563.72</v>
      </c>
      <c r="O1201" s="2">
        <v>2667.62</v>
      </c>
      <c r="P1201" s="2">
        <v>1896.1</v>
      </c>
      <c r="Q1201" t="s">
        <v>61</v>
      </c>
    </row>
    <row r="1202" spans="1:17" x14ac:dyDescent="0.2">
      <c r="A1202" t="s">
        <v>1367</v>
      </c>
      <c r="B1202" s="1">
        <v>45797</v>
      </c>
      <c r="C1202" t="s">
        <v>36</v>
      </c>
      <c r="D1202" t="s">
        <v>67</v>
      </c>
      <c r="E1202" t="s">
        <v>68</v>
      </c>
      <c r="F1202" t="s">
        <v>46</v>
      </c>
      <c r="G1202" t="s">
        <v>22</v>
      </c>
      <c r="H1202" t="s">
        <v>31</v>
      </c>
      <c r="I1202" t="s">
        <v>32</v>
      </c>
      <c r="J1202" t="s">
        <v>104</v>
      </c>
      <c r="K1202">
        <v>5</v>
      </c>
      <c r="L1202" s="2">
        <v>1773.47</v>
      </c>
      <c r="M1202" s="3">
        <v>0</v>
      </c>
      <c r="N1202" s="2">
        <v>8867.35</v>
      </c>
      <c r="O1202" s="2">
        <v>5602.02</v>
      </c>
      <c r="P1202" s="2">
        <v>3265.33</v>
      </c>
      <c r="Q1202" t="s">
        <v>57</v>
      </c>
    </row>
    <row r="1203" spans="1:17" x14ac:dyDescent="0.2">
      <c r="A1203" t="s">
        <v>1368</v>
      </c>
      <c r="B1203" s="1">
        <v>45797</v>
      </c>
      <c r="C1203" t="s">
        <v>77</v>
      </c>
      <c r="D1203" t="s">
        <v>78</v>
      </c>
      <c r="E1203" t="s">
        <v>52</v>
      </c>
      <c r="F1203" t="s">
        <v>39</v>
      </c>
      <c r="G1203" t="s">
        <v>75</v>
      </c>
      <c r="H1203" t="s">
        <v>31</v>
      </c>
      <c r="I1203" t="s">
        <v>32</v>
      </c>
      <c r="J1203" t="s">
        <v>104</v>
      </c>
      <c r="K1203">
        <v>1</v>
      </c>
      <c r="L1203" s="2">
        <v>1680.12</v>
      </c>
      <c r="M1203" s="3">
        <v>0</v>
      </c>
      <c r="N1203" s="2">
        <v>1680.12</v>
      </c>
      <c r="O1203" s="2">
        <v>1035.05</v>
      </c>
      <c r="P1203" s="2">
        <v>645.07000000000005</v>
      </c>
      <c r="Q1203" t="s">
        <v>61</v>
      </c>
    </row>
    <row r="1204" spans="1:17" x14ac:dyDescent="0.2">
      <c r="A1204" t="s">
        <v>1369</v>
      </c>
      <c r="B1204" s="1">
        <v>45797</v>
      </c>
      <c r="C1204" t="s">
        <v>43</v>
      </c>
      <c r="D1204" t="s">
        <v>208</v>
      </c>
      <c r="E1204" t="s">
        <v>230</v>
      </c>
      <c r="F1204" t="s">
        <v>60</v>
      </c>
      <c r="G1204" t="s">
        <v>54</v>
      </c>
      <c r="H1204" t="s">
        <v>47</v>
      </c>
      <c r="I1204" t="s">
        <v>141</v>
      </c>
      <c r="J1204" t="s">
        <v>372</v>
      </c>
      <c r="K1204">
        <v>5</v>
      </c>
      <c r="L1204" s="2">
        <v>279.63</v>
      </c>
      <c r="M1204" s="3">
        <v>0.1</v>
      </c>
      <c r="N1204" s="2">
        <v>1258.3399999999999</v>
      </c>
      <c r="O1204" s="2">
        <v>979.22</v>
      </c>
      <c r="P1204" s="2">
        <v>279.12</v>
      </c>
      <c r="Q1204" t="s">
        <v>34</v>
      </c>
    </row>
    <row r="1205" spans="1:17" x14ac:dyDescent="0.2">
      <c r="A1205" t="s">
        <v>1370</v>
      </c>
      <c r="B1205" s="1">
        <v>45797</v>
      </c>
      <c r="C1205" t="s">
        <v>43</v>
      </c>
      <c r="D1205" t="s">
        <v>161</v>
      </c>
      <c r="E1205" t="s">
        <v>162</v>
      </c>
      <c r="F1205" t="s">
        <v>130</v>
      </c>
      <c r="G1205" t="s">
        <v>75</v>
      </c>
      <c r="H1205" t="s">
        <v>31</v>
      </c>
      <c r="I1205" t="s">
        <v>64</v>
      </c>
      <c r="J1205" t="s">
        <v>252</v>
      </c>
      <c r="K1205">
        <v>4</v>
      </c>
      <c r="L1205" s="2">
        <v>168.24</v>
      </c>
      <c r="M1205" s="3">
        <v>0</v>
      </c>
      <c r="N1205" s="2">
        <v>672.96</v>
      </c>
      <c r="O1205" s="2">
        <v>517.91999999999996</v>
      </c>
      <c r="P1205" s="2">
        <v>155.04</v>
      </c>
      <c r="Q1205" t="s">
        <v>61</v>
      </c>
    </row>
    <row r="1206" spans="1:17" x14ac:dyDescent="0.2">
      <c r="A1206" t="s">
        <v>1371</v>
      </c>
      <c r="B1206" s="1">
        <v>45798</v>
      </c>
      <c r="C1206" t="s">
        <v>77</v>
      </c>
      <c r="D1206" t="s">
        <v>95</v>
      </c>
      <c r="E1206" t="s">
        <v>300</v>
      </c>
      <c r="F1206" t="s">
        <v>39</v>
      </c>
      <c r="G1206" t="s">
        <v>22</v>
      </c>
      <c r="H1206" t="s">
        <v>47</v>
      </c>
      <c r="I1206" t="s">
        <v>89</v>
      </c>
      <c r="J1206" t="s">
        <v>90</v>
      </c>
      <c r="K1206">
        <v>8</v>
      </c>
      <c r="L1206" s="2">
        <v>399.54</v>
      </c>
      <c r="M1206" s="3">
        <v>0.05</v>
      </c>
      <c r="N1206" s="2">
        <v>3036.5</v>
      </c>
      <c r="O1206" s="2">
        <v>1760.81</v>
      </c>
      <c r="P1206" s="2">
        <v>1275.69</v>
      </c>
      <c r="Q1206" t="s">
        <v>26</v>
      </c>
    </row>
    <row r="1207" spans="1:17" x14ac:dyDescent="0.2">
      <c r="A1207" t="s">
        <v>1372</v>
      </c>
      <c r="B1207" s="1">
        <v>45798</v>
      </c>
      <c r="C1207" t="s">
        <v>43</v>
      </c>
      <c r="D1207" t="s">
        <v>161</v>
      </c>
      <c r="E1207" t="s">
        <v>418</v>
      </c>
      <c r="F1207" t="s">
        <v>21</v>
      </c>
      <c r="G1207" t="s">
        <v>22</v>
      </c>
      <c r="H1207" t="s">
        <v>23</v>
      </c>
      <c r="I1207" t="s">
        <v>79</v>
      </c>
      <c r="J1207" t="s">
        <v>233</v>
      </c>
      <c r="K1207">
        <v>5</v>
      </c>
      <c r="L1207" s="2">
        <v>540.26</v>
      </c>
      <c r="M1207" s="3">
        <v>0.05</v>
      </c>
      <c r="N1207" s="2">
        <v>2566.2399999999998</v>
      </c>
      <c r="O1207" s="2">
        <v>1846.62</v>
      </c>
      <c r="P1207" s="2">
        <v>719.62</v>
      </c>
      <c r="Q1207" t="s">
        <v>61</v>
      </c>
    </row>
    <row r="1208" spans="1:17" x14ac:dyDescent="0.2">
      <c r="A1208" t="s">
        <v>1373</v>
      </c>
      <c r="B1208" s="1">
        <v>45798</v>
      </c>
      <c r="C1208" t="s">
        <v>18</v>
      </c>
      <c r="D1208" t="s">
        <v>28</v>
      </c>
      <c r="E1208" t="s">
        <v>29</v>
      </c>
      <c r="F1208" t="s">
        <v>39</v>
      </c>
      <c r="G1208" t="s">
        <v>75</v>
      </c>
      <c r="H1208" t="s">
        <v>23</v>
      </c>
      <c r="I1208" t="s">
        <v>24</v>
      </c>
      <c r="J1208" t="s">
        <v>25</v>
      </c>
      <c r="K1208">
        <v>2</v>
      </c>
      <c r="L1208" s="2">
        <v>8.41</v>
      </c>
      <c r="M1208" s="3">
        <v>0.05</v>
      </c>
      <c r="N1208" s="2">
        <v>15.98</v>
      </c>
      <c r="O1208" s="2">
        <v>8.9700000000000006</v>
      </c>
      <c r="P1208" s="2">
        <v>7.01</v>
      </c>
      <c r="Q1208" t="s">
        <v>34</v>
      </c>
    </row>
    <row r="1209" spans="1:17" x14ac:dyDescent="0.2">
      <c r="A1209" t="s">
        <v>1374</v>
      </c>
      <c r="B1209" s="1">
        <v>45798</v>
      </c>
      <c r="C1209" t="s">
        <v>77</v>
      </c>
      <c r="D1209" t="s">
        <v>149</v>
      </c>
      <c r="E1209" t="s">
        <v>206</v>
      </c>
      <c r="F1209" t="s">
        <v>71</v>
      </c>
      <c r="G1209" t="s">
        <v>22</v>
      </c>
      <c r="H1209" t="s">
        <v>47</v>
      </c>
      <c r="I1209" t="s">
        <v>48</v>
      </c>
      <c r="J1209" t="s">
        <v>93</v>
      </c>
      <c r="K1209">
        <v>10</v>
      </c>
      <c r="L1209" s="2">
        <v>601.14</v>
      </c>
      <c r="M1209" s="3">
        <v>0.1</v>
      </c>
      <c r="N1209" s="2">
        <v>5410.26</v>
      </c>
      <c r="O1209" s="2">
        <v>3250.37</v>
      </c>
      <c r="P1209" s="2">
        <v>2159.89</v>
      </c>
      <c r="Q1209" t="s">
        <v>61</v>
      </c>
    </row>
    <row r="1210" spans="1:17" x14ac:dyDescent="0.2">
      <c r="A1210" t="s">
        <v>1375</v>
      </c>
      <c r="B1210" s="1">
        <v>45798</v>
      </c>
      <c r="C1210" t="s">
        <v>18</v>
      </c>
      <c r="D1210" t="s">
        <v>152</v>
      </c>
      <c r="E1210" t="s">
        <v>185</v>
      </c>
      <c r="F1210" t="s">
        <v>46</v>
      </c>
      <c r="G1210" t="s">
        <v>75</v>
      </c>
      <c r="H1210" t="s">
        <v>31</v>
      </c>
      <c r="I1210" t="s">
        <v>112</v>
      </c>
      <c r="J1210" t="s">
        <v>176</v>
      </c>
      <c r="K1210">
        <v>1</v>
      </c>
      <c r="L1210" s="2">
        <v>280.95</v>
      </c>
      <c r="M1210" s="3">
        <v>0.1</v>
      </c>
      <c r="N1210" s="2">
        <v>252.86</v>
      </c>
      <c r="O1210" s="2">
        <v>192.01</v>
      </c>
      <c r="P1210" s="2">
        <v>60.85</v>
      </c>
      <c r="Q1210" t="s">
        <v>61</v>
      </c>
    </row>
    <row r="1211" spans="1:17" x14ac:dyDescent="0.2">
      <c r="A1211" t="s">
        <v>1376</v>
      </c>
      <c r="B1211" s="1">
        <v>45798</v>
      </c>
      <c r="C1211" t="s">
        <v>18</v>
      </c>
      <c r="D1211" t="s">
        <v>133</v>
      </c>
      <c r="E1211" t="s">
        <v>197</v>
      </c>
      <c r="F1211" t="s">
        <v>30</v>
      </c>
      <c r="G1211" t="s">
        <v>22</v>
      </c>
      <c r="H1211" t="s">
        <v>23</v>
      </c>
      <c r="I1211" t="s">
        <v>79</v>
      </c>
      <c r="J1211" t="s">
        <v>179</v>
      </c>
      <c r="K1211">
        <v>4</v>
      </c>
      <c r="L1211" s="2">
        <v>151.79</v>
      </c>
      <c r="M1211" s="3">
        <v>0</v>
      </c>
      <c r="N1211" s="2">
        <v>607.16</v>
      </c>
      <c r="O1211" s="2">
        <v>341.97</v>
      </c>
      <c r="P1211" s="2">
        <v>265.19</v>
      </c>
      <c r="Q1211" t="s">
        <v>57</v>
      </c>
    </row>
    <row r="1212" spans="1:17" x14ac:dyDescent="0.2">
      <c r="A1212" t="s">
        <v>1377</v>
      </c>
      <c r="B1212" s="1">
        <v>45798</v>
      </c>
      <c r="C1212" t="s">
        <v>43</v>
      </c>
      <c r="D1212" t="s">
        <v>51</v>
      </c>
      <c r="E1212" t="s">
        <v>59</v>
      </c>
      <c r="F1212" t="s">
        <v>21</v>
      </c>
      <c r="G1212" t="s">
        <v>54</v>
      </c>
      <c r="H1212" t="s">
        <v>31</v>
      </c>
      <c r="I1212" t="s">
        <v>40</v>
      </c>
      <c r="J1212" t="s">
        <v>122</v>
      </c>
      <c r="K1212">
        <v>9</v>
      </c>
      <c r="L1212" s="2">
        <v>100.25</v>
      </c>
      <c r="M1212" s="3">
        <v>0</v>
      </c>
      <c r="N1212" s="2">
        <v>902.25</v>
      </c>
      <c r="O1212" s="2">
        <v>713.83</v>
      </c>
      <c r="P1212" s="2">
        <v>188.42</v>
      </c>
      <c r="Q1212" t="s">
        <v>34</v>
      </c>
    </row>
    <row r="1213" spans="1:17" x14ac:dyDescent="0.2">
      <c r="A1213" t="s">
        <v>1378</v>
      </c>
      <c r="B1213" s="1">
        <v>45798</v>
      </c>
      <c r="C1213" t="s">
        <v>36</v>
      </c>
      <c r="D1213" t="s">
        <v>144</v>
      </c>
      <c r="E1213" t="s">
        <v>232</v>
      </c>
      <c r="F1213" t="s">
        <v>53</v>
      </c>
      <c r="G1213" t="s">
        <v>22</v>
      </c>
      <c r="H1213" t="s">
        <v>23</v>
      </c>
      <c r="I1213" t="s">
        <v>24</v>
      </c>
      <c r="J1213" t="s">
        <v>108</v>
      </c>
      <c r="K1213">
        <v>2</v>
      </c>
      <c r="L1213" s="2">
        <v>10</v>
      </c>
      <c r="M1213" s="3">
        <v>0</v>
      </c>
      <c r="N1213" s="2">
        <v>20</v>
      </c>
      <c r="O1213" s="2">
        <v>12.92</v>
      </c>
      <c r="P1213" s="2">
        <v>7.08</v>
      </c>
      <c r="Q1213" t="s">
        <v>57</v>
      </c>
    </row>
    <row r="1214" spans="1:17" x14ac:dyDescent="0.2">
      <c r="A1214" t="s">
        <v>1379</v>
      </c>
      <c r="B1214" s="1">
        <v>45799</v>
      </c>
      <c r="C1214" t="s">
        <v>36</v>
      </c>
      <c r="D1214" t="s">
        <v>67</v>
      </c>
      <c r="E1214" t="s">
        <v>270</v>
      </c>
      <c r="F1214" t="s">
        <v>130</v>
      </c>
      <c r="G1214" t="s">
        <v>22</v>
      </c>
      <c r="H1214" t="s">
        <v>31</v>
      </c>
      <c r="I1214" t="s">
        <v>64</v>
      </c>
      <c r="J1214" t="s">
        <v>126</v>
      </c>
      <c r="K1214">
        <v>9</v>
      </c>
      <c r="L1214" s="2">
        <v>65.400000000000006</v>
      </c>
      <c r="M1214" s="3">
        <v>0.05</v>
      </c>
      <c r="N1214" s="2">
        <v>559.16999999999996</v>
      </c>
      <c r="O1214" s="2">
        <v>346.83</v>
      </c>
      <c r="P1214" s="2">
        <v>212.34</v>
      </c>
      <c r="Q1214" t="s">
        <v>34</v>
      </c>
    </row>
    <row r="1215" spans="1:17" x14ac:dyDescent="0.2">
      <c r="A1215" t="s">
        <v>1380</v>
      </c>
      <c r="B1215" s="1">
        <v>45799</v>
      </c>
      <c r="C1215" t="s">
        <v>36</v>
      </c>
      <c r="D1215" t="s">
        <v>144</v>
      </c>
      <c r="E1215" t="s">
        <v>232</v>
      </c>
      <c r="F1215" t="s">
        <v>69</v>
      </c>
      <c r="G1215" t="s">
        <v>54</v>
      </c>
      <c r="H1215" t="s">
        <v>31</v>
      </c>
      <c r="I1215" t="s">
        <v>32</v>
      </c>
      <c r="J1215" t="s">
        <v>104</v>
      </c>
      <c r="K1215">
        <v>9</v>
      </c>
      <c r="L1215" s="2">
        <v>1395.6</v>
      </c>
      <c r="M1215" s="3">
        <v>0.05</v>
      </c>
      <c r="N1215" s="2">
        <v>11932.38</v>
      </c>
      <c r="O1215" s="2">
        <v>8391.14</v>
      </c>
      <c r="P1215" s="2">
        <v>3541.24</v>
      </c>
      <c r="Q1215" t="s">
        <v>34</v>
      </c>
    </row>
    <row r="1216" spans="1:17" x14ac:dyDescent="0.2">
      <c r="A1216" t="s">
        <v>1381</v>
      </c>
      <c r="B1216" s="1">
        <v>45799</v>
      </c>
      <c r="C1216" t="s">
        <v>43</v>
      </c>
      <c r="D1216" t="s">
        <v>51</v>
      </c>
      <c r="E1216" t="s">
        <v>52</v>
      </c>
      <c r="F1216" t="s">
        <v>30</v>
      </c>
      <c r="G1216" t="s">
        <v>75</v>
      </c>
      <c r="H1216" t="s">
        <v>23</v>
      </c>
      <c r="I1216" t="s">
        <v>55</v>
      </c>
      <c r="J1216" t="s">
        <v>173</v>
      </c>
      <c r="K1216">
        <v>2</v>
      </c>
      <c r="L1216" s="2">
        <v>20.94</v>
      </c>
      <c r="M1216" s="3">
        <v>0.2</v>
      </c>
      <c r="N1216" s="2">
        <v>33.5</v>
      </c>
      <c r="O1216" s="2">
        <v>22.88</v>
      </c>
      <c r="P1216" s="2">
        <v>10.62</v>
      </c>
      <c r="Q1216" t="s">
        <v>57</v>
      </c>
    </row>
    <row r="1217" spans="1:17" x14ac:dyDescent="0.2">
      <c r="A1217" t="s">
        <v>1382</v>
      </c>
      <c r="B1217" s="1">
        <v>45799</v>
      </c>
      <c r="C1217" t="s">
        <v>43</v>
      </c>
      <c r="D1217" t="s">
        <v>244</v>
      </c>
      <c r="E1217" t="s">
        <v>326</v>
      </c>
      <c r="F1217" t="s">
        <v>21</v>
      </c>
      <c r="G1217" t="s">
        <v>75</v>
      </c>
      <c r="H1217" t="s">
        <v>47</v>
      </c>
      <c r="I1217" t="s">
        <v>89</v>
      </c>
      <c r="J1217" t="s">
        <v>240</v>
      </c>
      <c r="K1217">
        <v>2</v>
      </c>
      <c r="L1217" s="2">
        <v>349.16</v>
      </c>
      <c r="M1217" s="3">
        <v>0.15</v>
      </c>
      <c r="N1217" s="2">
        <v>593.57000000000005</v>
      </c>
      <c r="O1217" s="2">
        <v>446.81</v>
      </c>
      <c r="P1217" s="2">
        <v>146.76</v>
      </c>
      <c r="Q1217" t="s">
        <v>61</v>
      </c>
    </row>
    <row r="1218" spans="1:17" x14ac:dyDescent="0.2">
      <c r="A1218" t="s">
        <v>1383</v>
      </c>
      <c r="B1218" s="1">
        <v>45799</v>
      </c>
      <c r="C1218" t="s">
        <v>77</v>
      </c>
      <c r="D1218" t="s">
        <v>106</v>
      </c>
      <c r="E1218" t="s">
        <v>236</v>
      </c>
      <c r="F1218" t="s">
        <v>138</v>
      </c>
      <c r="G1218" t="s">
        <v>54</v>
      </c>
      <c r="H1218" t="s">
        <v>47</v>
      </c>
      <c r="I1218" t="s">
        <v>89</v>
      </c>
      <c r="J1218" t="s">
        <v>204</v>
      </c>
      <c r="K1218">
        <v>2</v>
      </c>
      <c r="L1218" s="2">
        <v>346.83</v>
      </c>
      <c r="M1218" s="3">
        <v>0.1</v>
      </c>
      <c r="N1218" s="2">
        <v>624.29</v>
      </c>
      <c r="O1218" s="2">
        <v>487.79</v>
      </c>
      <c r="P1218" s="2">
        <v>136.5</v>
      </c>
      <c r="Q1218" t="s">
        <v>57</v>
      </c>
    </row>
    <row r="1219" spans="1:17" x14ac:dyDescent="0.2">
      <c r="A1219" t="s">
        <v>1384</v>
      </c>
      <c r="B1219" s="1">
        <v>45799</v>
      </c>
      <c r="C1219" t="s">
        <v>77</v>
      </c>
      <c r="D1219" t="s">
        <v>95</v>
      </c>
      <c r="E1219" t="s">
        <v>300</v>
      </c>
      <c r="F1219" t="s">
        <v>138</v>
      </c>
      <c r="G1219" t="s">
        <v>75</v>
      </c>
      <c r="H1219" t="s">
        <v>23</v>
      </c>
      <c r="I1219" t="s">
        <v>24</v>
      </c>
      <c r="J1219" t="s">
        <v>25</v>
      </c>
      <c r="K1219">
        <v>7</v>
      </c>
      <c r="L1219" s="2">
        <v>16.39</v>
      </c>
      <c r="M1219" s="3">
        <v>0</v>
      </c>
      <c r="N1219" s="2">
        <v>114.73</v>
      </c>
      <c r="O1219" s="2">
        <v>90.43</v>
      </c>
      <c r="P1219" s="2">
        <v>24.3</v>
      </c>
      <c r="Q1219" t="s">
        <v>61</v>
      </c>
    </row>
    <row r="1220" spans="1:17" x14ac:dyDescent="0.2">
      <c r="A1220" t="s">
        <v>1385</v>
      </c>
      <c r="B1220" s="1">
        <v>45799</v>
      </c>
      <c r="C1220" t="s">
        <v>18</v>
      </c>
      <c r="D1220" t="s">
        <v>86</v>
      </c>
      <c r="E1220" t="s">
        <v>87</v>
      </c>
      <c r="F1220" t="s">
        <v>69</v>
      </c>
      <c r="G1220" t="s">
        <v>22</v>
      </c>
      <c r="H1220" t="s">
        <v>23</v>
      </c>
      <c r="I1220" t="s">
        <v>79</v>
      </c>
      <c r="J1220" t="s">
        <v>233</v>
      </c>
      <c r="K1220">
        <v>1</v>
      </c>
      <c r="L1220" s="2">
        <v>229.19</v>
      </c>
      <c r="M1220" s="3">
        <v>0.05</v>
      </c>
      <c r="N1220" s="2">
        <v>217.73</v>
      </c>
      <c r="O1220" s="2">
        <v>151.88999999999999</v>
      </c>
      <c r="P1220" s="2">
        <v>65.84</v>
      </c>
      <c r="Q1220" t="s">
        <v>61</v>
      </c>
    </row>
    <row r="1221" spans="1:17" x14ac:dyDescent="0.2">
      <c r="A1221" t="s">
        <v>1386</v>
      </c>
      <c r="B1221" s="1">
        <v>45800</v>
      </c>
      <c r="C1221" t="s">
        <v>18</v>
      </c>
      <c r="D1221" t="s">
        <v>86</v>
      </c>
      <c r="E1221" t="s">
        <v>87</v>
      </c>
      <c r="F1221" t="s">
        <v>71</v>
      </c>
      <c r="G1221" t="s">
        <v>75</v>
      </c>
      <c r="H1221" t="s">
        <v>23</v>
      </c>
      <c r="I1221" t="s">
        <v>79</v>
      </c>
      <c r="J1221" t="s">
        <v>233</v>
      </c>
      <c r="K1221">
        <v>2</v>
      </c>
      <c r="L1221" s="2">
        <v>320.12</v>
      </c>
      <c r="M1221" s="3">
        <v>0.05</v>
      </c>
      <c r="N1221" s="2">
        <v>608.23</v>
      </c>
      <c r="O1221" s="2">
        <v>361.92</v>
      </c>
      <c r="P1221" s="2">
        <v>246.31</v>
      </c>
      <c r="Q1221" t="s">
        <v>26</v>
      </c>
    </row>
    <row r="1222" spans="1:17" x14ac:dyDescent="0.2">
      <c r="A1222" t="s">
        <v>1387</v>
      </c>
      <c r="B1222" s="1">
        <v>45800</v>
      </c>
      <c r="C1222" t="s">
        <v>43</v>
      </c>
      <c r="D1222" t="s">
        <v>161</v>
      </c>
      <c r="E1222" t="s">
        <v>162</v>
      </c>
      <c r="F1222" t="s">
        <v>69</v>
      </c>
      <c r="G1222" t="s">
        <v>54</v>
      </c>
      <c r="H1222" t="s">
        <v>31</v>
      </c>
      <c r="I1222" t="s">
        <v>32</v>
      </c>
      <c r="J1222" t="s">
        <v>33</v>
      </c>
      <c r="K1222">
        <v>1</v>
      </c>
      <c r="L1222" s="2">
        <v>1769.4</v>
      </c>
      <c r="M1222" s="3">
        <v>0</v>
      </c>
      <c r="N1222" s="2">
        <v>1769.4</v>
      </c>
      <c r="O1222" s="2">
        <v>1403.28</v>
      </c>
      <c r="P1222" s="2">
        <v>366.12</v>
      </c>
      <c r="Q1222" t="s">
        <v>34</v>
      </c>
    </row>
    <row r="1223" spans="1:17" x14ac:dyDescent="0.2">
      <c r="A1223" t="s">
        <v>1388</v>
      </c>
      <c r="B1223" s="1">
        <v>45800</v>
      </c>
      <c r="C1223" t="s">
        <v>43</v>
      </c>
      <c r="D1223" t="s">
        <v>44</v>
      </c>
      <c r="E1223" t="s">
        <v>82</v>
      </c>
      <c r="F1223" t="s">
        <v>71</v>
      </c>
      <c r="G1223" t="s">
        <v>22</v>
      </c>
      <c r="H1223" t="s">
        <v>23</v>
      </c>
      <c r="I1223" t="s">
        <v>24</v>
      </c>
      <c r="J1223" t="s">
        <v>25</v>
      </c>
      <c r="K1223">
        <v>6</v>
      </c>
      <c r="L1223" s="2">
        <v>6.82</v>
      </c>
      <c r="M1223" s="3">
        <v>0.05</v>
      </c>
      <c r="N1223" s="2">
        <v>38.869999999999997</v>
      </c>
      <c r="O1223" s="2">
        <v>29.44</v>
      </c>
      <c r="P1223" s="2">
        <v>9.43</v>
      </c>
      <c r="Q1223" t="s">
        <v>34</v>
      </c>
    </row>
    <row r="1224" spans="1:17" x14ac:dyDescent="0.2">
      <c r="A1224" t="s">
        <v>1389</v>
      </c>
      <c r="B1224" s="1">
        <v>45800</v>
      </c>
      <c r="C1224" t="s">
        <v>18</v>
      </c>
      <c r="D1224" t="s">
        <v>28</v>
      </c>
      <c r="E1224" t="s">
        <v>29</v>
      </c>
      <c r="F1224" t="s">
        <v>21</v>
      </c>
      <c r="G1224" t="s">
        <v>22</v>
      </c>
      <c r="H1224" t="s">
        <v>47</v>
      </c>
      <c r="I1224" t="s">
        <v>97</v>
      </c>
      <c r="J1224" t="s">
        <v>168</v>
      </c>
      <c r="K1224">
        <v>4</v>
      </c>
      <c r="L1224" s="2">
        <v>419.2</v>
      </c>
      <c r="M1224" s="3">
        <v>0.15</v>
      </c>
      <c r="N1224" s="2">
        <v>1425.28</v>
      </c>
      <c r="O1224" s="2">
        <v>1051.3800000000001</v>
      </c>
      <c r="P1224" s="2">
        <v>373.9</v>
      </c>
      <c r="Q1224" t="s">
        <v>61</v>
      </c>
    </row>
    <row r="1225" spans="1:17" x14ac:dyDescent="0.2">
      <c r="A1225" t="s">
        <v>1390</v>
      </c>
      <c r="B1225" s="1">
        <v>45800</v>
      </c>
      <c r="C1225" t="s">
        <v>43</v>
      </c>
      <c r="D1225" t="s">
        <v>51</v>
      </c>
      <c r="E1225" t="s">
        <v>52</v>
      </c>
      <c r="F1225" t="s">
        <v>53</v>
      </c>
      <c r="G1225" t="s">
        <v>54</v>
      </c>
      <c r="H1225" t="s">
        <v>31</v>
      </c>
      <c r="I1225" t="s">
        <v>112</v>
      </c>
      <c r="J1225" t="s">
        <v>136</v>
      </c>
      <c r="K1225">
        <v>3</v>
      </c>
      <c r="L1225" s="2">
        <v>355.25</v>
      </c>
      <c r="M1225" s="3">
        <v>0.05</v>
      </c>
      <c r="N1225" s="2">
        <v>1012.46</v>
      </c>
      <c r="O1225" s="2">
        <v>767.3</v>
      </c>
      <c r="P1225" s="2">
        <v>245.16</v>
      </c>
      <c r="Q1225" t="s">
        <v>61</v>
      </c>
    </row>
    <row r="1226" spans="1:17" x14ac:dyDescent="0.2">
      <c r="A1226" t="s">
        <v>1391</v>
      </c>
      <c r="B1226" s="1">
        <v>45800</v>
      </c>
      <c r="C1226" t="s">
        <v>36</v>
      </c>
      <c r="D1226" t="s">
        <v>37</v>
      </c>
      <c r="E1226" t="s">
        <v>255</v>
      </c>
      <c r="F1226" t="s">
        <v>21</v>
      </c>
      <c r="G1226" t="s">
        <v>22</v>
      </c>
      <c r="H1226" t="s">
        <v>31</v>
      </c>
      <c r="I1226" t="s">
        <v>32</v>
      </c>
      <c r="J1226" t="s">
        <v>104</v>
      </c>
      <c r="K1226">
        <v>8</v>
      </c>
      <c r="L1226" s="2">
        <v>700.02</v>
      </c>
      <c r="M1226" s="3">
        <v>0.15</v>
      </c>
      <c r="N1226" s="2">
        <v>4760.1400000000003</v>
      </c>
      <c r="O1226" s="2">
        <v>3397.18</v>
      </c>
      <c r="P1226" s="2">
        <v>1362.96</v>
      </c>
      <c r="Q1226" t="s">
        <v>57</v>
      </c>
    </row>
    <row r="1227" spans="1:17" x14ac:dyDescent="0.2">
      <c r="A1227" t="s">
        <v>1392</v>
      </c>
      <c r="B1227" s="1">
        <v>45800</v>
      </c>
      <c r="C1227" t="s">
        <v>36</v>
      </c>
      <c r="D1227" t="s">
        <v>144</v>
      </c>
      <c r="E1227" t="s">
        <v>145</v>
      </c>
      <c r="F1227" t="s">
        <v>53</v>
      </c>
      <c r="G1227" t="s">
        <v>75</v>
      </c>
      <c r="H1227" t="s">
        <v>47</v>
      </c>
      <c r="I1227" t="s">
        <v>48</v>
      </c>
      <c r="J1227" t="s">
        <v>49</v>
      </c>
      <c r="K1227">
        <v>8</v>
      </c>
      <c r="L1227" s="2">
        <v>544.21</v>
      </c>
      <c r="M1227" s="3">
        <v>0</v>
      </c>
      <c r="N1227" s="2">
        <v>4353.68</v>
      </c>
      <c r="O1227" s="2">
        <v>3079.42</v>
      </c>
      <c r="P1227" s="2">
        <v>1274.26</v>
      </c>
      <c r="Q1227" t="s">
        <v>34</v>
      </c>
    </row>
    <row r="1228" spans="1:17" x14ac:dyDescent="0.2">
      <c r="A1228" t="s">
        <v>1393</v>
      </c>
      <c r="B1228" s="1">
        <v>45800</v>
      </c>
      <c r="C1228" t="s">
        <v>18</v>
      </c>
      <c r="D1228" t="s">
        <v>28</v>
      </c>
      <c r="E1228" t="s">
        <v>170</v>
      </c>
      <c r="F1228" t="s">
        <v>30</v>
      </c>
      <c r="G1228" t="s">
        <v>75</v>
      </c>
      <c r="H1228" t="s">
        <v>47</v>
      </c>
      <c r="I1228" t="s">
        <v>97</v>
      </c>
      <c r="J1228" t="s">
        <v>168</v>
      </c>
      <c r="K1228">
        <v>2</v>
      </c>
      <c r="L1228" s="2">
        <v>110.22</v>
      </c>
      <c r="M1228" s="3">
        <v>0</v>
      </c>
      <c r="N1228" s="2">
        <v>220.44</v>
      </c>
      <c r="O1228" s="2">
        <v>125.9</v>
      </c>
      <c r="P1228" s="2">
        <v>94.54</v>
      </c>
      <c r="Q1228" t="s">
        <v>34</v>
      </c>
    </row>
    <row r="1229" spans="1:17" x14ac:dyDescent="0.2">
      <c r="A1229" t="s">
        <v>1394</v>
      </c>
      <c r="B1229" s="1">
        <v>45800</v>
      </c>
      <c r="C1229" t="s">
        <v>36</v>
      </c>
      <c r="D1229" t="s">
        <v>37</v>
      </c>
      <c r="E1229" t="s">
        <v>187</v>
      </c>
      <c r="F1229" t="s">
        <v>60</v>
      </c>
      <c r="G1229" t="s">
        <v>22</v>
      </c>
      <c r="H1229" t="s">
        <v>47</v>
      </c>
      <c r="I1229" t="s">
        <v>48</v>
      </c>
      <c r="J1229" t="s">
        <v>49</v>
      </c>
      <c r="K1229">
        <v>8</v>
      </c>
      <c r="L1229" s="2">
        <v>877.01</v>
      </c>
      <c r="M1229" s="3">
        <v>0.05</v>
      </c>
      <c r="N1229" s="2">
        <v>6665.28</v>
      </c>
      <c r="O1229" s="2">
        <v>4836.6000000000004</v>
      </c>
      <c r="P1229" s="2">
        <v>1828.68</v>
      </c>
      <c r="Q1229" t="s">
        <v>26</v>
      </c>
    </row>
    <row r="1230" spans="1:17" x14ac:dyDescent="0.2">
      <c r="A1230" t="s">
        <v>1395</v>
      </c>
      <c r="B1230" s="1">
        <v>45800</v>
      </c>
      <c r="C1230" t="s">
        <v>77</v>
      </c>
      <c r="D1230" t="s">
        <v>78</v>
      </c>
      <c r="E1230" t="s">
        <v>52</v>
      </c>
      <c r="F1230" t="s">
        <v>39</v>
      </c>
      <c r="G1230" t="s">
        <v>54</v>
      </c>
      <c r="H1230" t="s">
        <v>47</v>
      </c>
      <c r="I1230" t="s">
        <v>89</v>
      </c>
      <c r="J1230" t="s">
        <v>90</v>
      </c>
      <c r="K1230">
        <v>4</v>
      </c>
      <c r="L1230" s="2">
        <v>473.46</v>
      </c>
      <c r="M1230" s="3">
        <v>0.2</v>
      </c>
      <c r="N1230" s="2">
        <v>1515.07</v>
      </c>
      <c r="O1230" s="2">
        <v>1047.77</v>
      </c>
      <c r="P1230" s="2">
        <v>467.3</v>
      </c>
      <c r="Q1230" t="s">
        <v>34</v>
      </c>
    </row>
    <row r="1231" spans="1:17" x14ac:dyDescent="0.2">
      <c r="A1231" t="s">
        <v>1396</v>
      </c>
      <c r="B1231" s="1">
        <v>45801</v>
      </c>
      <c r="C1231" t="s">
        <v>43</v>
      </c>
      <c r="D1231" t="s">
        <v>161</v>
      </c>
      <c r="E1231" t="s">
        <v>162</v>
      </c>
      <c r="F1231" t="s">
        <v>69</v>
      </c>
      <c r="G1231" t="s">
        <v>75</v>
      </c>
      <c r="H1231" t="s">
        <v>31</v>
      </c>
      <c r="I1231" t="s">
        <v>40</v>
      </c>
      <c r="J1231" t="s">
        <v>122</v>
      </c>
      <c r="K1231">
        <v>9</v>
      </c>
      <c r="L1231" s="2">
        <v>111.48</v>
      </c>
      <c r="M1231" s="3">
        <v>0.15</v>
      </c>
      <c r="N1231" s="2">
        <v>852.82</v>
      </c>
      <c r="O1231" s="2">
        <v>638.26</v>
      </c>
      <c r="P1231" s="2">
        <v>214.56</v>
      </c>
      <c r="Q1231" t="s">
        <v>57</v>
      </c>
    </row>
    <row r="1232" spans="1:17" x14ac:dyDescent="0.2">
      <c r="A1232" t="s">
        <v>1397</v>
      </c>
      <c r="B1232" s="1">
        <v>45801</v>
      </c>
      <c r="C1232" t="s">
        <v>18</v>
      </c>
      <c r="D1232" t="s">
        <v>19</v>
      </c>
      <c r="E1232" t="s">
        <v>100</v>
      </c>
      <c r="F1232" t="s">
        <v>130</v>
      </c>
      <c r="G1232" t="s">
        <v>22</v>
      </c>
      <c r="H1232" t="s">
        <v>47</v>
      </c>
      <c r="I1232" t="s">
        <v>141</v>
      </c>
      <c r="J1232" t="s">
        <v>201</v>
      </c>
      <c r="K1232">
        <v>3</v>
      </c>
      <c r="L1232" s="2">
        <v>358.46</v>
      </c>
      <c r="M1232" s="3">
        <v>0</v>
      </c>
      <c r="N1232" s="2">
        <v>1075.3800000000001</v>
      </c>
      <c r="O1232" s="2">
        <v>622.23</v>
      </c>
      <c r="P1232" s="2">
        <v>453.15</v>
      </c>
      <c r="Q1232" t="s">
        <v>34</v>
      </c>
    </row>
    <row r="1233" spans="1:17" x14ac:dyDescent="0.2">
      <c r="A1233" t="s">
        <v>1398</v>
      </c>
      <c r="B1233" s="1">
        <v>45801</v>
      </c>
      <c r="C1233" t="s">
        <v>18</v>
      </c>
      <c r="D1233" t="s">
        <v>86</v>
      </c>
      <c r="E1233" t="s">
        <v>87</v>
      </c>
      <c r="F1233" t="s">
        <v>138</v>
      </c>
      <c r="G1233" t="s">
        <v>22</v>
      </c>
      <c r="H1233" t="s">
        <v>31</v>
      </c>
      <c r="I1233" t="s">
        <v>40</v>
      </c>
      <c r="J1233" t="s">
        <v>216</v>
      </c>
      <c r="K1233">
        <v>5</v>
      </c>
      <c r="L1233" s="2">
        <v>116.62</v>
      </c>
      <c r="M1233" s="3">
        <v>0</v>
      </c>
      <c r="N1233" s="2">
        <v>583.1</v>
      </c>
      <c r="O1233" s="2">
        <v>427.81</v>
      </c>
      <c r="P1233" s="2">
        <v>155.29</v>
      </c>
      <c r="Q1233" t="s">
        <v>61</v>
      </c>
    </row>
    <row r="1234" spans="1:17" x14ac:dyDescent="0.2">
      <c r="A1234" t="s">
        <v>1399</v>
      </c>
      <c r="B1234" s="1">
        <v>45801</v>
      </c>
      <c r="C1234" t="s">
        <v>43</v>
      </c>
      <c r="D1234" t="s">
        <v>44</v>
      </c>
      <c r="E1234" t="s">
        <v>82</v>
      </c>
      <c r="F1234" t="s">
        <v>46</v>
      </c>
      <c r="G1234" t="s">
        <v>54</v>
      </c>
      <c r="H1234" t="s">
        <v>23</v>
      </c>
      <c r="I1234" t="s">
        <v>79</v>
      </c>
      <c r="J1234" t="s">
        <v>179</v>
      </c>
      <c r="K1234">
        <v>10</v>
      </c>
      <c r="L1234" s="2">
        <v>165.88</v>
      </c>
      <c r="M1234" s="3">
        <v>0</v>
      </c>
      <c r="N1234" s="2">
        <v>1658.8</v>
      </c>
      <c r="O1234" s="2">
        <v>1155.26</v>
      </c>
      <c r="P1234" s="2">
        <v>503.54</v>
      </c>
      <c r="Q1234" t="s">
        <v>61</v>
      </c>
    </row>
    <row r="1235" spans="1:17" x14ac:dyDescent="0.2">
      <c r="A1235" t="s">
        <v>1400</v>
      </c>
      <c r="B1235" s="1">
        <v>45801</v>
      </c>
      <c r="C1235" t="s">
        <v>36</v>
      </c>
      <c r="D1235" t="s">
        <v>67</v>
      </c>
      <c r="E1235" t="s">
        <v>68</v>
      </c>
      <c r="F1235" t="s">
        <v>60</v>
      </c>
      <c r="G1235" t="s">
        <v>54</v>
      </c>
      <c r="H1235" t="s">
        <v>31</v>
      </c>
      <c r="I1235" t="s">
        <v>40</v>
      </c>
      <c r="J1235" t="s">
        <v>122</v>
      </c>
      <c r="K1235">
        <v>5</v>
      </c>
      <c r="L1235" s="2">
        <v>233.83</v>
      </c>
      <c r="M1235" s="3">
        <v>0</v>
      </c>
      <c r="N1235" s="2">
        <v>1169.1500000000001</v>
      </c>
      <c r="O1235" s="2">
        <v>778.01</v>
      </c>
      <c r="P1235" s="2">
        <v>391.14</v>
      </c>
      <c r="Q1235" t="s">
        <v>26</v>
      </c>
    </row>
    <row r="1236" spans="1:17" x14ac:dyDescent="0.2">
      <c r="A1236" t="s">
        <v>1401</v>
      </c>
      <c r="B1236" s="1">
        <v>45801</v>
      </c>
      <c r="C1236" t="s">
        <v>36</v>
      </c>
      <c r="D1236" t="s">
        <v>67</v>
      </c>
      <c r="E1236" t="s">
        <v>68</v>
      </c>
      <c r="F1236" t="s">
        <v>130</v>
      </c>
      <c r="G1236" t="s">
        <v>75</v>
      </c>
      <c r="H1236" t="s">
        <v>23</v>
      </c>
      <c r="I1236" t="s">
        <v>55</v>
      </c>
      <c r="J1236" t="s">
        <v>56</v>
      </c>
      <c r="K1236">
        <v>10</v>
      </c>
      <c r="L1236" s="2">
        <v>5.68</v>
      </c>
      <c r="M1236" s="3">
        <v>0.05</v>
      </c>
      <c r="N1236" s="2">
        <v>53.96</v>
      </c>
      <c r="O1236" s="2">
        <v>30.28</v>
      </c>
      <c r="P1236" s="2">
        <v>23.68</v>
      </c>
      <c r="Q1236" t="s">
        <v>61</v>
      </c>
    </row>
    <row r="1237" spans="1:17" x14ac:dyDescent="0.2">
      <c r="A1237" t="s">
        <v>1402</v>
      </c>
      <c r="B1237" s="1">
        <v>45802</v>
      </c>
      <c r="C1237" t="s">
        <v>18</v>
      </c>
      <c r="D1237" t="s">
        <v>152</v>
      </c>
      <c r="E1237" t="s">
        <v>153</v>
      </c>
      <c r="F1237" t="s">
        <v>69</v>
      </c>
      <c r="G1237" t="s">
        <v>22</v>
      </c>
      <c r="H1237" t="s">
        <v>23</v>
      </c>
      <c r="I1237" t="s">
        <v>79</v>
      </c>
      <c r="J1237" t="s">
        <v>80</v>
      </c>
      <c r="K1237">
        <v>8</v>
      </c>
      <c r="L1237" s="2">
        <v>198.49</v>
      </c>
      <c r="M1237" s="3">
        <v>0.05</v>
      </c>
      <c r="N1237" s="2">
        <v>1508.52</v>
      </c>
      <c r="O1237" s="2">
        <v>881.86</v>
      </c>
      <c r="P1237" s="2">
        <v>626.66</v>
      </c>
      <c r="Q1237" t="s">
        <v>61</v>
      </c>
    </row>
    <row r="1238" spans="1:17" x14ac:dyDescent="0.2">
      <c r="A1238" t="s">
        <v>1403</v>
      </c>
      <c r="B1238" s="1">
        <v>45802</v>
      </c>
      <c r="C1238" t="s">
        <v>43</v>
      </c>
      <c r="D1238" t="s">
        <v>44</v>
      </c>
      <c r="E1238" t="s">
        <v>147</v>
      </c>
      <c r="F1238" t="s">
        <v>69</v>
      </c>
      <c r="G1238" t="s">
        <v>22</v>
      </c>
      <c r="H1238" t="s">
        <v>47</v>
      </c>
      <c r="I1238" t="s">
        <v>97</v>
      </c>
      <c r="J1238" t="s">
        <v>98</v>
      </c>
      <c r="K1238">
        <v>1</v>
      </c>
      <c r="L1238" s="2">
        <v>660.25</v>
      </c>
      <c r="M1238" s="3">
        <v>0.2</v>
      </c>
      <c r="N1238" s="2">
        <v>528.20000000000005</v>
      </c>
      <c r="O1238" s="2">
        <v>300.58</v>
      </c>
      <c r="P1238" s="2">
        <v>227.62</v>
      </c>
      <c r="Q1238" t="s">
        <v>57</v>
      </c>
    </row>
    <row r="1239" spans="1:17" x14ac:dyDescent="0.2">
      <c r="A1239" t="s">
        <v>1404</v>
      </c>
      <c r="B1239" s="1">
        <v>45802</v>
      </c>
      <c r="C1239" t="s">
        <v>43</v>
      </c>
      <c r="D1239" t="s">
        <v>244</v>
      </c>
      <c r="E1239" t="s">
        <v>245</v>
      </c>
      <c r="F1239" t="s">
        <v>46</v>
      </c>
      <c r="G1239" t="s">
        <v>22</v>
      </c>
      <c r="H1239" t="s">
        <v>31</v>
      </c>
      <c r="I1239" t="s">
        <v>32</v>
      </c>
      <c r="J1239" t="s">
        <v>104</v>
      </c>
      <c r="K1239">
        <v>3</v>
      </c>
      <c r="L1239" s="2">
        <v>1694.85</v>
      </c>
      <c r="M1239" s="3">
        <v>0.1</v>
      </c>
      <c r="N1239" s="2">
        <v>4576.09</v>
      </c>
      <c r="O1239" s="2">
        <v>2791.67</v>
      </c>
      <c r="P1239" s="2">
        <v>1784.42</v>
      </c>
      <c r="Q1239" t="s">
        <v>61</v>
      </c>
    </row>
    <row r="1240" spans="1:17" x14ac:dyDescent="0.2">
      <c r="A1240" t="s">
        <v>1405</v>
      </c>
      <c r="B1240" s="1">
        <v>45802</v>
      </c>
      <c r="C1240" t="s">
        <v>18</v>
      </c>
      <c r="D1240" t="s">
        <v>152</v>
      </c>
      <c r="E1240" t="s">
        <v>166</v>
      </c>
      <c r="F1240" t="s">
        <v>30</v>
      </c>
      <c r="G1240" t="s">
        <v>54</v>
      </c>
      <c r="H1240" t="s">
        <v>31</v>
      </c>
      <c r="I1240" t="s">
        <v>40</v>
      </c>
      <c r="J1240" t="s">
        <v>41</v>
      </c>
      <c r="K1240">
        <v>1</v>
      </c>
      <c r="L1240" s="2">
        <v>133.49</v>
      </c>
      <c r="M1240" s="3">
        <v>0.1</v>
      </c>
      <c r="N1240" s="2">
        <v>120.14</v>
      </c>
      <c r="O1240" s="2">
        <v>96.28</v>
      </c>
      <c r="P1240" s="2">
        <v>23.86</v>
      </c>
      <c r="Q1240" t="s">
        <v>26</v>
      </c>
    </row>
    <row r="1241" spans="1:17" x14ac:dyDescent="0.2">
      <c r="A1241" t="s">
        <v>1406</v>
      </c>
      <c r="B1241" s="1">
        <v>45802</v>
      </c>
      <c r="C1241" t="s">
        <v>18</v>
      </c>
      <c r="D1241" t="s">
        <v>152</v>
      </c>
      <c r="E1241" t="s">
        <v>166</v>
      </c>
      <c r="F1241" t="s">
        <v>53</v>
      </c>
      <c r="G1241" t="s">
        <v>75</v>
      </c>
      <c r="H1241" t="s">
        <v>31</v>
      </c>
      <c r="I1241" t="s">
        <v>64</v>
      </c>
      <c r="J1241" t="s">
        <v>126</v>
      </c>
      <c r="K1241">
        <v>7</v>
      </c>
      <c r="L1241" s="2">
        <v>111.43</v>
      </c>
      <c r="M1241" s="3">
        <v>0.15</v>
      </c>
      <c r="N1241" s="2">
        <v>663.01</v>
      </c>
      <c r="O1241" s="2">
        <v>468.48</v>
      </c>
      <c r="P1241" s="2">
        <v>194.53</v>
      </c>
      <c r="Q1241" t="s">
        <v>34</v>
      </c>
    </row>
    <row r="1242" spans="1:17" x14ac:dyDescent="0.2">
      <c r="A1242" t="s">
        <v>1407</v>
      </c>
      <c r="B1242" s="1">
        <v>45802</v>
      </c>
      <c r="C1242" t="s">
        <v>43</v>
      </c>
      <c r="D1242" t="s">
        <v>161</v>
      </c>
      <c r="E1242" t="s">
        <v>172</v>
      </c>
      <c r="F1242" t="s">
        <v>138</v>
      </c>
      <c r="G1242" t="s">
        <v>22</v>
      </c>
      <c r="H1242" t="s">
        <v>31</v>
      </c>
      <c r="I1242" t="s">
        <v>112</v>
      </c>
      <c r="J1242" t="s">
        <v>113</v>
      </c>
      <c r="K1242">
        <v>9</v>
      </c>
      <c r="L1242" s="2">
        <v>652.46</v>
      </c>
      <c r="M1242" s="3">
        <v>0.1</v>
      </c>
      <c r="N1242" s="2">
        <v>5284.93</v>
      </c>
      <c r="O1242" s="2">
        <v>2919.48</v>
      </c>
      <c r="P1242" s="2">
        <v>2365.4499999999998</v>
      </c>
      <c r="Q1242" t="s">
        <v>34</v>
      </c>
    </row>
    <row r="1243" spans="1:17" x14ac:dyDescent="0.2">
      <c r="A1243" t="s">
        <v>1408</v>
      </c>
      <c r="B1243" s="1">
        <v>45802</v>
      </c>
      <c r="C1243" t="s">
        <v>18</v>
      </c>
      <c r="D1243" t="s">
        <v>19</v>
      </c>
      <c r="E1243" t="s">
        <v>100</v>
      </c>
      <c r="F1243" t="s">
        <v>71</v>
      </c>
      <c r="G1243" t="s">
        <v>75</v>
      </c>
      <c r="H1243" t="s">
        <v>47</v>
      </c>
      <c r="I1243" t="s">
        <v>97</v>
      </c>
      <c r="J1243" t="s">
        <v>98</v>
      </c>
      <c r="K1243">
        <v>8</v>
      </c>
      <c r="L1243" s="2">
        <v>470.46</v>
      </c>
      <c r="M1243" s="3">
        <v>0.15</v>
      </c>
      <c r="N1243" s="2">
        <v>3199.13</v>
      </c>
      <c r="O1243" s="2">
        <v>2580.15</v>
      </c>
      <c r="P1243" s="2">
        <v>618.98</v>
      </c>
      <c r="Q1243" t="s">
        <v>61</v>
      </c>
    </row>
    <row r="1244" spans="1:17" x14ac:dyDescent="0.2">
      <c r="A1244" t="s">
        <v>1409</v>
      </c>
      <c r="B1244" s="1">
        <v>45802</v>
      </c>
      <c r="C1244" t="s">
        <v>36</v>
      </c>
      <c r="D1244" t="s">
        <v>67</v>
      </c>
      <c r="E1244" t="s">
        <v>270</v>
      </c>
      <c r="F1244" t="s">
        <v>60</v>
      </c>
      <c r="G1244" t="s">
        <v>54</v>
      </c>
      <c r="H1244" t="s">
        <v>31</v>
      </c>
      <c r="I1244" t="s">
        <v>32</v>
      </c>
      <c r="J1244" t="s">
        <v>258</v>
      </c>
      <c r="K1244">
        <v>5</v>
      </c>
      <c r="L1244" s="2">
        <v>1675.3</v>
      </c>
      <c r="M1244" s="3">
        <v>0.2</v>
      </c>
      <c r="N1244" s="2">
        <v>6701.2</v>
      </c>
      <c r="O1244" s="2">
        <v>3703.03</v>
      </c>
      <c r="P1244" s="2">
        <v>2998.17</v>
      </c>
      <c r="Q1244" t="s">
        <v>61</v>
      </c>
    </row>
    <row r="1245" spans="1:17" x14ac:dyDescent="0.2">
      <c r="A1245" t="s">
        <v>1410</v>
      </c>
      <c r="B1245" s="1">
        <v>45802</v>
      </c>
      <c r="C1245" t="s">
        <v>36</v>
      </c>
      <c r="D1245" t="s">
        <v>37</v>
      </c>
      <c r="E1245" t="s">
        <v>255</v>
      </c>
      <c r="F1245" t="s">
        <v>71</v>
      </c>
      <c r="G1245" t="s">
        <v>22</v>
      </c>
      <c r="H1245" t="s">
        <v>31</v>
      </c>
      <c r="I1245" t="s">
        <v>32</v>
      </c>
      <c r="J1245" t="s">
        <v>33</v>
      </c>
      <c r="K1245">
        <v>7</v>
      </c>
      <c r="L1245" s="2">
        <v>1668.4</v>
      </c>
      <c r="M1245" s="3">
        <v>0.05</v>
      </c>
      <c r="N1245" s="2">
        <v>11094.86</v>
      </c>
      <c r="O1245" s="2">
        <v>7892.64</v>
      </c>
      <c r="P1245" s="2">
        <v>3202.22</v>
      </c>
      <c r="Q1245" t="s">
        <v>57</v>
      </c>
    </row>
    <row r="1246" spans="1:17" x14ac:dyDescent="0.2">
      <c r="A1246" t="s">
        <v>1411</v>
      </c>
      <c r="B1246" s="1">
        <v>45802</v>
      </c>
      <c r="C1246" t="s">
        <v>18</v>
      </c>
      <c r="D1246" t="s">
        <v>28</v>
      </c>
      <c r="E1246" t="s">
        <v>170</v>
      </c>
      <c r="F1246" t="s">
        <v>60</v>
      </c>
      <c r="G1246" t="s">
        <v>75</v>
      </c>
      <c r="H1246" t="s">
        <v>47</v>
      </c>
      <c r="I1246" t="s">
        <v>97</v>
      </c>
      <c r="J1246" t="s">
        <v>168</v>
      </c>
      <c r="K1246">
        <v>5</v>
      </c>
      <c r="L1246" s="2">
        <v>109.1</v>
      </c>
      <c r="M1246" s="3">
        <v>0.1</v>
      </c>
      <c r="N1246" s="2">
        <v>490.95</v>
      </c>
      <c r="O1246" s="2">
        <v>315.31</v>
      </c>
      <c r="P1246" s="2">
        <v>175.64</v>
      </c>
      <c r="Q1246" t="s">
        <v>26</v>
      </c>
    </row>
    <row r="1247" spans="1:17" x14ac:dyDescent="0.2">
      <c r="A1247" t="s">
        <v>1412</v>
      </c>
      <c r="B1247" s="1">
        <v>45802</v>
      </c>
      <c r="C1247" t="s">
        <v>36</v>
      </c>
      <c r="D1247" t="s">
        <v>37</v>
      </c>
      <c r="E1247" t="s">
        <v>38</v>
      </c>
      <c r="F1247" t="s">
        <v>46</v>
      </c>
      <c r="G1247" t="s">
        <v>54</v>
      </c>
      <c r="H1247" t="s">
        <v>31</v>
      </c>
      <c r="I1247" t="s">
        <v>32</v>
      </c>
      <c r="J1247" t="s">
        <v>33</v>
      </c>
      <c r="K1247">
        <v>2</v>
      </c>
      <c r="L1247" s="2">
        <v>1038.54</v>
      </c>
      <c r="M1247" s="3">
        <v>0.15</v>
      </c>
      <c r="N1247" s="2">
        <v>1765.52</v>
      </c>
      <c r="O1247" s="2">
        <v>1334.43</v>
      </c>
      <c r="P1247" s="2">
        <v>431.09</v>
      </c>
      <c r="Q1247" t="s">
        <v>61</v>
      </c>
    </row>
    <row r="1248" spans="1:17" x14ac:dyDescent="0.2">
      <c r="A1248" t="s">
        <v>1413</v>
      </c>
      <c r="B1248" s="1">
        <v>45803</v>
      </c>
      <c r="C1248" t="s">
        <v>36</v>
      </c>
      <c r="D1248" t="s">
        <v>37</v>
      </c>
      <c r="E1248" t="s">
        <v>187</v>
      </c>
      <c r="F1248" t="s">
        <v>53</v>
      </c>
      <c r="G1248" t="s">
        <v>75</v>
      </c>
      <c r="H1248" t="s">
        <v>31</v>
      </c>
      <c r="I1248" t="s">
        <v>112</v>
      </c>
      <c r="J1248" t="s">
        <v>113</v>
      </c>
      <c r="K1248">
        <v>6</v>
      </c>
      <c r="L1248" s="2">
        <v>671.21</v>
      </c>
      <c r="M1248" s="3">
        <v>0.15</v>
      </c>
      <c r="N1248" s="2">
        <v>3423.17</v>
      </c>
      <c r="O1248" s="2">
        <v>2038.82</v>
      </c>
      <c r="P1248" s="2">
        <v>1384.35</v>
      </c>
      <c r="Q1248" t="s">
        <v>61</v>
      </c>
    </row>
    <row r="1249" spans="1:17" x14ac:dyDescent="0.2">
      <c r="A1249" t="s">
        <v>1414</v>
      </c>
      <c r="B1249" s="1">
        <v>45803</v>
      </c>
      <c r="C1249" t="s">
        <v>77</v>
      </c>
      <c r="D1249" t="s">
        <v>149</v>
      </c>
      <c r="E1249" t="s">
        <v>309</v>
      </c>
      <c r="F1249" t="s">
        <v>46</v>
      </c>
      <c r="G1249" t="s">
        <v>75</v>
      </c>
      <c r="H1249" t="s">
        <v>23</v>
      </c>
      <c r="I1249" t="s">
        <v>79</v>
      </c>
      <c r="J1249" t="s">
        <v>80</v>
      </c>
      <c r="K1249">
        <v>4</v>
      </c>
      <c r="L1249" s="2">
        <v>545.79</v>
      </c>
      <c r="M1249" s="3">
        <v>0.1</v>
      </c>
      <c r="N1249" s="2">
        <v>1964.84</v>
      </c>
      <c r="O1249" s="2">
        <v>1450.06</v>
      </c>
      <c r="P1249" s="2">
        <v>514.78</v>
      </c>
      <c r="Q1249" t="s">
        <v>57</v>
      </c>
    </row>
    <row r="1250" spans="1:17" x14ac:dyDescent="0.2">
      <c r="A1250" t="s">
        <v>1415</v>
      </c>
      <c r="B1250" s="1">
        <v>45803</v>
      </c>
      <c r="C1250" t="s">
        <v>43</v>
      </c>
      <c r="D1250" t="s">
        <v>44</v>
      </c>
      <c r="E1250" t="s">
        <v>45</v>
      </c>
      <c r="F1250" t="s">
        <v>46</v>
      </c>
      <c r="G1250" t="s">
        <v>22</v>
      </c>
      <c r="H1250" t="s">
        <v>23</v>
      </c>
      <c r="I1250" t="s">
        <v>55</v>
      </c>
      <c r="J1250" t="s">
        <v>102</v>
      </c>
      <c r="K1250">
        <v>10</v>
      </c>
      <c r="L1250" s="2">
        <v>20.7</v>
      </c>
      <c r="M1250" s="3">
        <v>0.1</v>
      </c>
      <c r="N1250" s="2">
        <v>186.3</v>
      </c>
      <c r="O1250" s="2">
        <v>112.29</v>
      </c>
      <c r="P1250" s="2">
        <v>74.010000000000005</v>
      </c>
      <c r="Q1250" t="s">
        <v>34</v>
      </c>
    </row>
    <row r="1251" spans="1:17" x14ac:dyDescent="0.2">
      <c r="A1251" t="s">
        <v>1416</v>
      </c>
      <c r="B1251" s="1">
        <v>45803</v>
      </c>
      <c r="C1251" t="s">
        <v>43</v>
      </c>
      <c r="D1251" t="s">
        <v>161</v>
      </c>
      <c r="E1251" t="s">
        <v>418</v>
      </c>
      <c r="F1251" t="s">
        <v>71</v>
      </c>
      <c r="G1251" t="s">
        <v>75</v>
      </c>
      <c r="H1251" t="s">
        <v>23</v>
      </c>
      <c r="I1251" t="s">
        <v>83</v>
      </c>
      <c r="J1251" t="s">
        <v>120</v>
      </c>
      <c r="K1251">
        <v>1</v>
      </c>
      <c r="L1251" s="2">
        <v>26.07</v>
      </c>
      <c r="M1251" s="3">
        <v>0.05</v>
      </c>
      <c r="N1251" s="2">
        <v>24.77</v>
      </c>
      <c r="O1251" s="2">
        <v>19.12</v>
      </c>
      <c r="P1251" s="2">
        <v>5.65</v>
      </c>
      <c r="Q1251" t="s">
        <v>26</v>
      </c>
    </row>
    <row r="1252" spans="1:17" x14ac:dyDescent="0.2">
      <c r="A1252" t="s">
        <v>1417</v>
      </c>
      <c r="B1252" s="1">
        <v>45803</v>
      </c>
      <c r="C1252" t="s">
        <v>43</v>
      </c>
      <c r="D1252" t="s">
        <v>51</v>
      </c>
      <c r="E1252" t="s">
        <v>63</v>
      </c>
      <c r="F1252" t="s">
        <v>138</v>
      </c>
      <c r="G1252" t="s">
        <v>75</v>
      </c>
      <c r="H1252" t="s">
        <v>47</v>
      </c>
      <c r="I1252" t="s">
        <v>97</v>
      </c>
      <c r="J1252" t="s">
        <v>116</v>
      </c>
      <c r="K1252">
        <v>6</v>
      </c>
      <c r="L1252" s="2">
        <v>395.05</v>
      </c>
      <c r="M1252" s="3">
        <v>0.05</v>
      </c>
      <c r="N1252" s="2">
        <v>2251.7800000000002</v>
      </c>
      <c r="O1252" s="2">
        <v>1245.26</v>
      </c>
      <c r="P1252" s="2">
        <v>1006.52</v>
      </c>
      <c r="Q1252" t="s">
        <v>34</v>
      </c>
    </row>
    <row r="1253" spans="1:17" x14ac:dyDescent="0.2">
      <c r="A1253" t="s">
        <v>1418</v>
      </c>
      <c r="B1253" s="1">
        <v>45803</v>
      </c>
      <c r="C1253" t="s">
        <v>36</v>
      </c>
      <c r="D1253" t="s">
        <v>110</v>
      </c>
      <c r="E1253" t="s">
        <v>115</v>
      </c>
      <c r="F1253" t="s">
        <v>53</v>
      </c>
      <c r="G1253" t="s">
        <v>22</v>
      </c>
      <c r="H1253" t="s">
        <v>23</v>
      </c>
      <c r="I1253" t="s">
        <v>83</v>
      </c>
      <c r="J1253" t="s">
        <v>131</v>
      </c>
      <c r="K1253">
        <v>7</v>
      </c>
      <c r="L1253" s="2">
        <v>31.24</v>
      </c>
      <c r="M1253" s="3">
        <v>0.15</v>
      </c>
      <c r="N1253" s="2">
        <v>185.88</v>
      </c>
      <c r="O1253" s="2">
        <v>126.18</v>
      </c>
      <c r="P1253" s="2">
        <v>59.7</v>
      </c>
      <c r="Q1253" t="s">
        <v>34</v>
      </c>
    </row>
    <row r="1254" spans="1:17" x14ac:dyDescent="0.2">
      <c r="A1254" t="s">
        <v>1419</v>
      </c>
      <c r="B1254" s="1">
        <v>45803</v>
      </c>
      <c r="C1254" t="s">
        <v>18</v>
      </c>
      <c r="D1254" t="s">
        <v>86</v>
      </c>
      <c r="E1254" t="s">
        <v>87</v>
      </c>
      <c r="F1254" t="s">
        <v>69</v>
      </c>
      <c r="G1254" t="s">
        <v>22</v>
      </c>
      <c r="H1254" t="s">
        <v>31</v>
      </c>
      <c r="I1254" t="s">
        <v>32</v>
      </c>
      <c r="J1254" t="s">
        <v>33</v>
      </c>
      <c r="K1254">
        <v>8</v>
      </c>
      <c r="L1254" s="2">
        <v>1328.91</v>
      </c>
      <c r="M1254" s="3">
        <v>0</v>
      </c>
      <c r="N1254" s="2">
        <v>10631.28</v>
      </c>
      <c r="O1254" s="2">
        <v>6319.21</v>
      </c>
      <c r="P1254" s="2">
        <v>4312.07</v>
      </c>
      <c r="Q1254" t="s">
        <v>61</v>
      </c>
    </row>
    <row r="1255" spans="1:17" x14ac:dyDescent="0.2">
      <c r="A1255" t="s">
        <v>1420</v>
      </c>
      <c r="B1255" s="1">
        <v>45803</v>
      </c>
      <c r="C1255" t="s">
        <v>36</v>
      </c>
      <c r="D1255" t="s">
        <v>144</v>
      </c>
      <c r="E1255" t="s">
        <v>232</v>
      </c>
      <c r="F1255" t="s">
        <v>130</v>
      </c>
      <c r="G1255" t="s">
        <v>22</v>
      </c>
      <c r="H1255" t="s">
        <v>47</v>
      </c>
      <c r="I1255" t="s">
        <v>48</v>
      </c>
      <c r="J1255" t="s">
        <v>93</v>
      </c>
      <c r="K1255">
        <v>3</v>
      </c>
      <c r="L1255" s="2">
        <v>842.84</v>
      </c>
      <c r="M1255" s="3">
        <v>0.1</v>
      </c>
      <c r="N1255" s="2">
        <v>2275.67</v>
      </c>
      <c r="O1255" s="2">
        <v>1739.21</v>
      </c>
      <c r="P1255" s="2">
        <v>536.46</v>
      </c>
      <c r="Q1255" t="s">
        <v>61</v>
      </c>
    </row>
    <row r="1256" spans="1:17" x14ac:dyDescent="0.2">
      <c r="A1256" t="s">
        <v>1421</v>
      </c>
      <c r="B1256" s="1">
        <v>45803</v>
      </c>
      <c r="C1256" t="s">
        <v>77</v>
      </c>
      <c r="D1256" t="s">
        <v>149</v>
      </c>
      <c r="E1256" t="s">
        <v>309</v>
      </c>
      <c r="F1256" t="s">
        <v>130</v>
      </c>
      <c r="G1256" t="s">
        <v>22</v>
      </c>
      <c r="H1256" t="s">
        <v>23</v>
      </c>
      <c r="I1256" t="s">
        <v>24</v>
      </c>
      <c r="J1256" t="s">
        <v>108</v>
      </c>
      <c r="K1256">
        <v>7</v>
      </c>
      <c r="L1256" s="2">
        <v>16.62</v>
      </c>
      <c r="M1256" s="3">
        <v>0.05</v>
      </c>
      <c r="N1256" s="2">
        <v>110.52</v>
      </c>
      <c r="O1256" s="2">
        <v>85.24</v>
      </c>
      <c r="P1256" s="2">
        <v>25.28</v>
      </c>
      <c r="Q1256" t="s">
        <v>34</v>
      </c>
    </row>
    <row r="1257" spans="1:17" x14ac:dyDescent="0.2">
      <c r="A1257" t="s">
        <v>1422</v>
      </c>
      <c r="B1257" s="1">
        <v>45803</v>
      </c>
      <c r="C1257" t="s">
        <v>43</v>
      </c>
      <c r="D1257" t="s">
        <v>161</v>
      </c>
      <c r="E1257" t="s">
        <v>418</v>
      </c>
      <c r="F1257" t="s">
        <v>39</v>
      </c>
      <c r="G1257" t="s">
        <v>54</v>
      </c>
      <c r="H1257" t="s">
        <v>23</v>
      </c>
      <c r="I1257" t="s">
        <v>55</v>
      </c>
      <c r="J1257" t="s">
        <v>102</v>
      </c>
      <c r="K1257">
        <v>3</v>
      </c>
      <c r="L1257" s="2">
        <v>14.01</v>
      </c>
      <c r="M1257" s="3">
        <v>0.05</v>
      </c>
      <c r="N1257" s="2">
        <v>39.93</v>
      </c>
      <c r="O1257" s="2">
        <v>30.29</v>
      </c>
      <c r="P1257" s="2">
        <v>9.64</v>
      </c>
      <c r="Q1257" t="s">
        <v>26</v>
      </c>
    </row>
    <row r="1258" spans="1:17" x14ac:dyDescent="0.2">
      <c r="A1258" t="s">
        <v>1423</v>
      </c>
      <c r="B1258" s="1">
        <v>45803</v>
      </c>
      <c r="C1258" t="s">
        <v>36</v>
      </c>
      <c r="D1258" t="s">
        <v>110</v>
      </c>
      <c r="E1258" t="s">
        <v>111</v>
      </c>
      <c r="F1258" t="s">
        <v>46</v>
      </c>
      <c r="G1258" t="s">
        <v>75</v>
      </c>
      <c r="H1258" t="s">
        <v>31</v>
      </c>
      <c r="I1258" t="s">
        <v>64</v>
      </c>
      <c r="J1258" t="s">
        <v>252</v>
      </c>
      <c r="K1258">
        <v>1</v>
      </c>
      <c r="L1258" s="2">
        <v>146.41</v>
      </c>
      <c r="M1258" s="3">
        <v>0.1</v>
      </c>
      <c r="N1258" s="2">
        <v>131.77000000000001</v>
      </c>
      <c r="O1258" s="2">
        <v>96.11</v>
      </c>
      <c r="P1258" s="2">
        <v>35.659999999999997</v>
      </c>
      <c r="Q1258" t="s">
        <v>26</v>
      </c>
    </row>
    <row r="1259" spans="1:17" x14ac:dyDescent="0.2">
      <c r="A1259" t="s">
        <v>1424</v>
      </c>
      <c r="B1259" s="1">
        <v>45803</v>
      </c>
      <c r="C1259" t="s">
        <v>18</v>
      </c>
      <c r="D1259" t="s">
        <v>19</v>
      </c>
      <c r="E1259" t="s">
        <v>100</v>
      </c>
      <c r="F1259" t="s">
        <v>138</v>
      </c>
      <c r="G1259" t="s">
        <v>22</v>
      </c>
      <c r="H1259" t="s">
        <v>31</v>
      </c>
      <c r="I1259" t="s">
        <v>40</v>
      </c>
      <c r="J1259" t="s">
        <v>41</v>
      </c>
      <c r="K1259">
        <v>4</v>
      </c>
      <c r="L1259" s="2">
        <v>49.77</v>
      </c>
      <c r="M1259" s="3">
        <v>0.1</v>
      </c>
      <c r="N1259" s="2">
        <v>179.17</v>
      </c>
      <c r="O1259" s="2">
        <v>139.79</v>
      </c>
      <c r="P1259" s="2">
        <v>39.380000000000003</v>
      </c>
      <c r="Q1259" t="s">
        <v>57</v>
      </c>
    </row>
    <row r="1260" spans="1:17" x14ac:dyDescent="0.2">
      <c r="A1260" t="s">
        <v>1425</v>
      </c>
      <c r="B1260" s="1">
        <v>45804</v>
      </c>
      <c r="C1260" t="s">
        <v>36</v>
      </c>
      <c r="D1260" t="s">
        <v>37</v>
      </c>
      <c r="E1260" t="s">
        <v>255</v>
      </c>
      <c r="F1260" t="s">
        <v>60</v>
      </c>
      <c r="G1260" t="s">
        <v>22</v>
      </c>
      <c r="H1260" t="s">
        <v>31</v>
      </c>
      <c r="I1260" t="s">
        <v>40</v>
      </c>
      <c r="J1260" t="s">
        <v>216</v>
      </c>
      <c r="K1260">
        <v>4</v>
      </c>
      <c r="L1260" s="2">
        <v>86.62</v>
      </c>
      <c r="M1260" s="3">
        <v>0.1</v>
      </c>
      <c r="N1260" s="2">
        <v>311.83</v>
      </c>
      <c r="O1260" s="2">
        <v>244.29</v>
      </c>
      <c r="P1260" s="2">
        <v>67.540000000000006</v>
      </c>
      <c r="Q1260" t="s">
        <v>57</v>
      </c>
    </row>
    <row r="1261" spans="1:17" x14ac:dyDescent="0.2">
      <c r="A1261" t="s">
        <v>1426</v>
      </c>
      <c r="B1261" s="1">
        <v>45804</v>
      </c>
      <c r="C1261" t="s">
        <v>36</v>
      </c>
      <c r="D1261" t="s">
        <v>37</v>
      </c>
      <c r="E1261" t="s">
        <v>187</v>
      </c>
      <c r="F1261" t="s">
        <v>138</v>
      </c>
      <c r="G1261" t="s">
        <v>75</v>
      </c>
      <c r="H1261" t="s">
        <v>31</v>
      </c>
      <c r="I1261" t="s">
        <v>32</v>
      </c>
      <c r="J1261" t="s">
        <v>104</v>
      </c>
      <c r="K1261">
        <v>10</v>
      </c>
      <c r="L1261" s="2">
        <v>1091.07</v>
      </c>
      <c r="M1261" s="3">
        <v>0.05</v>
      </c>
      <c r="N1261" s="2">
        <v>10365.16</v>
      </c>
      <c r="O1261" s="2">
        <v>8469.7099999999991</v>
      </c>
      <c r="P1261" s="2">
        <v>1895.45</v>
      </c>
      <c r="Q1261" t="s">
        <v>61</v>
      </c>
    </row>
    <row r="1262" spans="1:17" x14ac:dyDescent="0.2">
      <c r="A1262" t="s">
        <v>1427</v>
      </c>
      <c r="B1262" s="1">
        <v>45804</v>
      </c>
      <c r="C1262" t="s">
        <v>43</v>
      </c>
      <c r="D1262" t="s">
        <v>208</v>
      </c>
      <c r="E1262" t="s">
        <v>230</v>
      </c>
      <c r="F1262" t="s">
        <v>138</v>
      </c>
      <c r="G1262" t="s">
        <v>54</v>
      </c>
      <c r="H1262" t="s">
        <v>47</v>
      </c>
      <c r="I1262" t="s">
        <v>48</v>
      </c>
      <c r="J1262" t="s">
        <v>164</v>
      </c>
      <c r="K1262">
        <v>8</v>
      </c>
      <c r="L1262" s="2">
        <v>532.53</v>
      </c>
      <c r="M1262" s="3">
        <v>0.05</v>
      </c>
      <c r="N1262" s="2">
        <v>4047.23</v>
      </c>
      <c r="O1262" s="2">
        <v>2286.65</v>
      </c>
      <c r="P1262" s="2">
        <v>1760.58</v>
      </c>
      <c r="Q1262" t="s">
        <v>57</v>
      </c>
    </row>
    <row r="1263" spans="1:17" x14ac:dyDescent="0.2">
      <c r="A1263" t="s">
        <v>1428</v>
      </c>
      <c r="B1263" s="1">
        <v>45804</v>
      </c>
      <c r="C1263" t="s">
        <v>43</v>
      </c>
      <c r="D1263" t="s">
        <v>161</v>
      </c>
      <c r="E1263" t="s">
        <v>172</v>
      </c>
      <c r="F1263" t="s">
        <v>21</v>
      </c>
      <c r="G1263" t="s">
        <v>22</v>
      </c>
      <c r="H1263" t="s">
        <v>31</v>
      </c>
      <c r="I1263" t="s">
        <v>64</v>
      </c>
      <c r="J1263" t="s">
        <v>252</v>
      </c>
      <c r="K1263">
        <v>5</v>
      </c>
      <c r="L1263" s="2">
        <v>76.930000000000007</v>
      </c>
      <c r="M1263" s="3">
        <v>0.1</v>
      </c>
      <c r="N1263" s="2">
        <v>346.19</v>
      </c>
      <c r="O1263" s="2">
        <v>218.6</v>
      </c>
      <c r="P1263" s="2">
        <v>127.59</v>
      </c>
      <c r="Q1263" t="s">
        <v>34</v>
      </c>
    </row>
    <row r="1264" spans="1:17" x14ac:dyDescent="0.2">
      <c r="A1264" t="s">
        <v>1429</v>
      </c>
      <c r="B1264" s="1">
        <v>45804</v>
      </c>
      <c r="C1264" t="s">
        <v>43</v>
      </c>
      <c r="D1264" t="s">
        <v>244</v>
      </c>
      <c r="E1264" t="s">
        <v>300</v>
      </c>
      <c r="F1264" t="s">
        <v>46</v>
      </c>
      <c r="G1264" t="s">
        <v>54</v>
      </c>
      <c r="H1264" t="s">
        <v>23</v>
      </c>
      <c r="I1264" t="s">
        <v>79</v>
      </c>
      <c r="J1264" t="s">
        <v>179</v>
      </c>
      <c r="K1264">
        <v>6</v>
      </c>
      <c r="L1264" s="2">
        <v>527.72</v>
      </c>
      <c r="M1264" s="3">
        <v>0</v>
      </c>
      <c r="N1264" s="2">
        <v>3166.32</v>
      </c>
      <c r="O1264" s="2">
        <v>2037.41</v>
      </c>
      <c r="P1264" s="2">
        <v>1128.9100000000001</v>
      </c>
      <c r="Q1264" t="s">
        <v>34</v>
      </c>
    </row>
    <row r="1265" spans="1:17" x14ac:dyDescent="0.2">
      <c r="A1265" t="s">
        <v>1430</v>
      </c>
      <c r="B1265" s="1">
        <v>45804</v>
      </c>
      <c r="C1265" t="s">
        <v>77</v>
      </c>
      <c r="D1265" t="s">
        <v>149</v>
      </c>
      <c r="E1265" t="s">
        <v>309</v>
      </c>
      <c r="F1265" t="s">
        <v>30</v>
      </c>
      <c r="G1265" t="s">
        <v>22</v>
      </c>
      <c r="H1265" t="s">
        <v>23</v>
      </c>
      <c r="I1265" t="s">
        <v>24</v>
      </c>
      <c r="J1265" t="s">
        <v>25</v>
      </c>
      <c r="K1265">
        <v>9</v>
      </c>
      <c r="L1265" s="2">
        <v>21.35</v>
      </c>
      <c r="M1265" s="3">
        <v>0.1</v>
      </c>
      <c r="N1265" s="2">
        <v>172.94</v>
      </c>
      <c r="O1265" s="2">
        <v>125.39</v>
      </c>
      <c r="P1265" s="2">
        <v>47.55</v>
      </c>
      <c r="Q1265" t="s">
        <v>57</v>
      </c>
    </row>
    <row r="1266" spans="1:17" x14ac:dyDescent="0.2">
      <c r="A1266" t="s">
        <v>1431</v>
      </c>
      <c r="B1266" s="1">
        <v>45804</v>
      </c>
      <c r="C1266" t="s">
        <v>36</v>
      </c>
      <c r="D1266" t="s">
        <v>110</v>
      </c>
      <c r="E1266" t="s">
        <v>111</v>
      </c>
      <c r="F1266" t="s">
        <v>30</v>
      </c>
      <c r="G1266" t="s">
        <v>54</v>
      </c>
      <c r="H1266" t="s">
        <v>31</v>
      </c>
      <c r="I1266" t="s">
        <v>112</v>
      </c>
      <c r="J1266" t="s">
        <v>113</v>
      </c>
      <c r="K1266">
        <v>1</v>
      </c>
      <c r="L1266" s="2">
        <v>679.3</v>
      </c>
      <c r="M1266" s="3">
        <v>0.15</v>
      </c>
      <c r="N1266" s="2">
        <v>577.4</v>
      </c>
      <c r="O1266" s="2">
        <v>394.63</v>
      </c>
      <c r="P1266" s="2">
        <v>182.77</v>
      </c>
      <c r="Q1266" t="s">
        <v>26</v>
      </c>
    </row>
    <row r="1267" spans="1:17" x14ac:dyDescent="0.2">
      <c r="A1267" t="s">
        <v>1432</v>
      </c>
      <c r="B1267" s="1">
        <v>45804</v>
      </c>
      <c r="C1267" t="s">
        <v>36</v>
      </c>
      <c r="D1267" t="s">
        <v>110</v>
      </c>
      <c r="E1267" t="s">
        <v>111</v>
      </c>
      <c r="F1267" t="s">
        <v>69</v>
      </c>
      <c r="G1267" t="s">
        <v>54</v>
      </c>
      <c r="H1267" t="s">
        <v>23</v>
      </c>
      <c r="I1267" t="s">
        <v>83</v>
      </c>
      <c r="J1267" t="s">
        <v>120</v>
      </c>
      <c r="K1267">
        <v>6</v>
      </c>
      <c r="L1267" s="2">
        <v>28.03</v>
      </c>
      <c r="M1267" s="3">
        <v>0</v>
      </c>
      <c r="N1267" s="2">
        <v>168.18</v>
      </c>
      <c r="O1267" s="2">
        <v>125.96</v>
      </c>
      <c r="P1267" s="2">
        <v>42.22</v>
      </c>
      <c r="Q1267" t="s">
        <v>26</v>
      </c>
    </row>
    <row r="1268" spans="1:17" x14ac:dyDescent="0.2">
      <c r="A1268" t="s">
        <v>1433</v>
      </c>
      <c r="B1268" s="1">
        <v>45805</v>
      </c>
      <c r="C1268" t="s">
        <v>18</v>
      </c>
      <c r="D1268" t="s">
        <v>28</v>
      </c>
      <c r="E1268" t="s">
        <v>170</v>
      </c>
      <c r="F1268" t="s">
        <v>60</v>
      </c>
      <c r="G1268" t="s">
        <v>22</v>
      </c>
      <c r="H1268" t="s">
        <v>47</v>
      </c>
      <c r="I1268" t="s">
        <v>97</v>
      </c>
      <c r="J1268" t="s">
        <v>168</v>
      </c>
      <c r="K1268">
        <v>10</v>
      </c>
      <c r="L1268" s="2">
        <v>562.20000000000005</v>
      </c>
      <c r="M1268" s="3">
        <v>0.05</v>
      </c>
      <c r="N1268" s="2">
        <v>5340.9</v>
      </c>
      <c r="O1268" s="2">
        <v>3055.26</v>
      </c>
      <c r="P1268" s="2">
        <v>2285.64</v>
      </c>
      <c r="Q1268" t="s">
        <v>26</v>
      </c>
    </row>
    <row r="1269" spans="1:17" x14ac:dyDescent="0.2">
      <c r="A1269" t="s">
        <v>1434</v>
      </c>
      <c r="B1269" s="1">
        <v>45805</v>
      </c>
      <c r="C1269" t="s">
        <v>77</v>
      </c>
      <c r="D1269" t="s">
        <v>128</v>
      </c>
      <c r="E1269" t="s">
        <v>129</v>
      </c>
      <c r="F1269" t="s">
        <v>46</v>
      </c>
      <c r="G1269" t="s">
        <v>22</v>
      </c>
      <c r="H1269" t="s">
        <v>23</v>
      </c>
      <c r="I1269" t="s">
        <v>83</v>
      </c>
      <c r="J1269" t="s">
        <v>84</v>
      </c>
      <c r="K1269">
        <v>6</v>
      </c>
      <c r="L1269" s="2">
        <v>10.62</v>
      </c>
      <c r="M1269" s="3">
        <v>0</v>
      </c>
      <c r="N1269" s="2">
        <v>63.72</v>
      </c>
      <c r="O1269" s="2">
        <v>45.47</v>
      </c>
      <c r="P1269" s="2">
        <v>18.25</v>
      </c>
      <c r="Q1269" t="s">
        <v>34</v>
      </c>
    </row>
    <row r="1270" spans="1:17" x14ac:dyDescent="0.2">
      <c r="A1270" t="s">
        <v>1435</v>
      </c>
      <c r="B1270" s="1">
        <v>45805</v>
      </c>
      <c r="C1270" t="s">
        <v>36</v>
      </c>
      <c r="D1270" t="s">
        <v>37</v>
      </c>
      <c r="E1270" t="s">
        <v>187</v>
      </c>
      <c r="F1270" t="s">
        <v>53</v>
      </c>
      <c r="G1270" t="s">
        <v>75</v>
      </c>
      <c r="H1270" t="s">
        <v>31</v>
      </c>
      <c r="I1270" t="s">
        <v>64</v>
      </c>
      <c r="J1270" t="s">
        <v>252</v>
      </c>
      <c r="K1270">
        <v>9</v>
      </c>
      <c r="L1270" s="2">
        <v>65.94</v>
      </c>
      <c r="M1270" s="3">
        <v>0.1</v>
      </c>
      <c r="N1270" s="2">
        <v>534.11</v>
      </c>
      <c r="O1270" s="2">
        <v>399.44</v>
      </c>
      <c r="P1270" s="2">
        <v>134.66999999999999</v>
      </c>
      <c r="Q1270" t="s">
        <v>61</v>
      </c>
    </row>
    <row r="1271" spans="1:17" x14ac:dyDescent="0.2">
      <c r="A1271" t="s">
        <v>1436</v>
      </c>
      <c r="B1271" s="1">
        <v>45805</v>
      </c>
      <c r="C1271" t="s">
        <v>36</v>
      </c>
      <c r="D1271" t="s">
        <v>144</v>
      </c>
      <c r="E1271" t="s">
        <v>214</v>
      </c>
      <c r="F1271" t="s">
        <v>53</v>
      </c>
      <c r="G1271" t="s">
        <v>54</v>
      </c>
      <c r="H1271" t="s">
        <v>31</v>
      </c>
      <c r="I1271" t="s">
        <v>64</v>
      </c>
      <c r="J1271" t="s">
        <v>252</v>
      </c>
      <c r="K1271">
        <v>4</v>
      </c>
      <c r="L1271" s="2">
        <v>125.66</v>
      </c>
      <c r="M1271" s="3">
        <v>0.15</v>
      </c>
      <c r="N1271" s="2">
        <v>427.24</v>
      </c>
      <c r="O1271" s="2">
        <v>318.63</v>
      </c>
      <c r="P1271" s="2">
        <v>108.61</v>
      </c>
      <c r="Q1271" t="s">
        <v>34</v>
      </c>
    </row>
    <row r="1272" spans="1:17" x14ac:dyDescent="0.2">
      <c r="A1272" t="s">
        <v>1437</v>
      </c>
      <c r="B1272" s="1">
        <v>45805</v>
      </c>
      <c r="C1272" t="s">
        <v>18</v>
      </c>
      <c r="D1272" t="s">
        <v>133</v>
      </c>
      <c r="E1272" t="s">
        <v>197</v>
      </c>
      <c r="F1272" t="s">
        <v>21</v>
      </c>
      <c r="G1272" t="s">
        <v>22</v>
      </c>
      <c r="H1272" t="s">
        <v>47</v>
      </c>
      <c r="I1272" t="s">
        <v>141</v>
      </c>
      <c r="J1272" t="s">
        <v>372</v>
      </c>
      <c r="K1272">
        <v>2</v>
      </c>
      <c r="L1272" s="2">
        <v>752.21</v>
      </c>
      <c r="M1272" s="3">
        <v>0</v>
      </c>
      <c r="N1272" s="2">
        <v>1504.42</v>
      </c>
      <c r="O1272" s="2">
        <v>935.69</v>
      </c>
      <c r="P1272" s="2">
        <v>568.73</v>
      </c>
      <c r="Q1272" t="s">
        <v>57</v>
      </c>
    </row>
    <row r="1273" spans="1:17" x14ac:dyDescent="0.2">
      <c r="A1273" t="s">
        <v>1438</v>
      </c>
      <c r="B1273" s="1">
        <v>45805</v>
      </c>
      <c r="C1273" t="s">
        <v>18</v>
      </c>
      <c r="D1273" t="s">
        <v>86</v>
      </c>
      <c r="E1273" t="s">
        <v>140</v>
      </c>
      <c r="F1273" t="s">
        <v>30</v>
      </c>
      <c r="G1273" t="s">
        <v>75</v>
      </c>
      <c r="H1273" t="s">
        <v>47</v>
      </c>
      <c r="I1273" t="s">
        <v>48</v>
      </c>
      <c r="J1273" t="s">
        <v>93</v>
      </c>
      <c r="K1273">
        <v>9</v>
      </c>
      <c r="L1273" s="2">
        <v>451.4</v>
      </c>
      <c r="M1273" s="3">
        <v>0.1</v>
      </c>
      <c r="N1273" s="2">
        <v>3656.34</v>
      </c>
      <c r="O1273" s="2">
        <v>2710.31</v>
      </c>
      <c r="P1273" s="2">
        <v>946.03</v>
      </c>
      <c r="Q1273" t="s">
        <v>26</v>
      </c>
    </row>
    <row r="1274" spans="1:17" x14ac:dyDescent="0.2">
      <c r="A1274" t="s">
        <v>1439</v>
      </c>
      <c r="B1274" s="1">
        <v>45806</v>
      </c>
      <c r="C1274" t="s">
        <v>18</v>
      </c>
      <c r="D1274" t="s">
        <v>28</v>
      </c>
      <c r="E1274" t="s">
        <v>29</v>
      </c>
      <c r="F1274" t="s">
        <v>39</v>
      </c>
      <c r="G1274" t="s">
        <v>22</v>
      </c>
      <c r="H1274" t="s">
        <v>23</v>
      </c>
      <c r="I1274" t="s">
        <v>55</v>
      </c>
      <c r="J1274" t="s">
        <v>56</v>
      </c>
      <c r="K1274">
        <v>10</v>
      </c>
      <c r="L1274" s="2">
        <v>13.34</v>
      </c>
      <c r="M1274" s="3">
        <v>0</v>
      </c>
      <c r="N1274" s="2">
        <v>133.4</v>
      </c>
      <c r="O1274" s="2">
        <v>97.22</v>
      </c>
      <c r="P1274" s="2">
        <v>36.18</v>
      </c>
      <c r="Q1274" t="s">
        <v>57</v>
      </c>
    </row>
    <row r="1275" spans="1:17" x14ac:dyDescent="0.2">
      <c r="A1275" t="s">
        <v>1440</v>
      </c>
      <c r="B1275" s="1">
        <v>45806</v>
      </c>
      <c r="C1275" t="s">
        <v>36</v>
      </c>
      <c r="D1275" t="s">
        <v>73</v>
      </c>
      <c r="E1275" t="s">
        <v>74</v>
      </c>
      <c r="F1275" t="s">
        <v>39</v>
      </c>
      <c r="G1275" t="s">
        <v>22</v>
      </c>
      <c r="H1275" t="s">
        <v>31</v>
      </c>
      <c r="I1275" t="s">
        <v>64</v>
      </c>
      <c r="J1275" t="s">
        <v>126</v>
      </c>
      <c r="K1275">
        <v>3</v>
      </c>
      <c r="L1275" s="2">
        <v>77.959999999999994</v>
      </c>
      <c r="M1275" s="3">
        <v>0.15</v>
      </c>
      <c r="N1275" s="2">
        <v>198.8</v>
      </c>
      <c r="O1275" s="2">
        <v>140.57</v>
      </c>
      <c r="P1275" s="2">
        <v>58.23</v>
      </c>
      <c r="Q1275" t="s">
        <v>57</v>
      </c>
    </row>
    <row r="1276" spans="1:17" x14ac:dyDescent="0.2">
      <c r="A1276" t="s">
        <v>1441</v>
      </c>
      <c r="B1276" s="1">
        <v>45806</v>
      </c>
      <c r="C1276" t="s">
        <v>77</v>
      </c>
      <c r="D1276" t="s">
        <v>128</v>
      </c>
      <c r="E1276" t="s">
        <v>159</v>
      </c>
      <c r="F1276" t="s">
        <v>53</v>
      </c>
      <c r="G1276" t="s">
        <v>54</v>
      </c>
      <c r="H1276" t="s">
        <v>47</v>
      </c>
      <c r="I1276" t="s">
        <v>97</v>
      </c>
      <c r="J1276" t="s">
        <v>168</v>
      </c>
      <c r="K1276">
        <v>9</v>
      </c>
      <c r="L1276" s="2">
        <v>437.55</v>
      </c>
      <c r="M1276" s="3">
        <v>0.15</v>
      </c>
      <c r="N1276" s="2">
        <v>3347.26</v>
      </c>
      <c r="O1276" s="2">
        <v>2397.2199999999998</v>
      </c>
      <c r="P1276" s="2">
        <v>950.04</v>
      </c>
      <c r="Q1276" t="s">
        <v>57</v>
      </c>
    </row>
    <row r="1277" spans="1:17" x14ac:dyDescent="0.2">
      <c r="A1277" t="s">
        <v>1442</v>
      </c>
      <c r="B1277" s="1">
        <v>45806</v>
      </c>
      <c r="C1277" t="s">
        <v>36</v>
      </c>
      <c r="D1277" t="s">
        <v>144</v>
      </c>
      <c r="E1277" t="s">
        <v>145</v>
      </c>
      <c r="F1277" t="s">
        <v>69</v>
      </c>
      <c r="G1277" t="s">
        <v>22</v>
      </c>
      <c r="H1277" t="s">
        <v>31</v>
      </c>
      <c r="I1277" t="s">
        <v>112</v>
      </c>
      <c r="J1277" t="s">
        <v>113</v>
      </c>
      <c r="K1277">
        <v>4</v>
      </c>
      <c r="L1277" s="2">
        <v>345.91</v>
      </c>
      <c r="M1277" s="3">
        <v>0.1</v>
      </c>
      <c r="N1277" s="2">
        <v>1245.28</v>
      </c>
      <c r="O1277" s="2">
        <v>990.54</v>
      </c>
      <c r="P1277" s="2">
        <v>254.74</v>
      </c>
      <c r="Q1277" t="s">
        <v>61</v>
      </c>
    </row>
    <row r="1278" spans="1:17" x14ac:dyDescent="0.2">
      <c r="A1278" t="s">
        <v>1443</v>
      </c>
      <c r="B1278" s="1">
        <v>45806</v>
      </c>
      <c r="C1278" t="s">
        <v>18</v>
      </c>
      <c r="D1278" t="s">
        <v>86</v>
      </c>
      <c r="E1278" t="s">
        <v>87</v>
      </c>
      <c r="F1278" t="s">
        <v>39</v>
      </c>
      <c r="G1278" t="s">
        <v>75</v>
      </c>
      <c r="H1278" t="s">
        <v>23</v>
      </c>
      <c r="I1278" t="s">
        <v>24</v>
      </c>
      <c r="J1278" t="s">
        <v>25</v>
      </c>
      <c r="K1278">
        <v>2</v>
      </c>
      <c r="L1278" s="2">
        <v>11.62</v>
      </c>
      <c r="M1278" s="3">
        <v>0.1</v>
      </c>
      <c r="N1278" s="2">
        <v>20.92</v>
      </c>
      <c r="O1278" s="2">
        <v>15.7</v>
      </c>
      <c r="P1278" s="2">
        <v>5.22</v>
      </c>
      <c r="Q1278" t="s">
        <v>26</v>
      </c>
    </row>
    <row r="1279" spans="1:17" x14ac:dyDescent="0.2">
      <c r="A1279" t="s">
        <v>1444</v>
      </c>
      <c r="B1279" s="1">
        <v>45806</v>
      </c>
      <c r="C1279" t="s">
        <v>18</v>
      </c>
      <c r="D1279" t="s">
        <v>28</v>
      </c>
      <c r="E1279" t="s">
        <v>157</v>
      </c>
      <c r="F1279" t="s">
        <v>30</v>
      </c>
      <c r="G1279" t="s">
        <v>22</v>
      </c>
      <c r="H1279" t="s">
        <v>23</v>
      </c>
      <c r="I1279" t="s">
        <v>24</v>
      </c>
      <c r="J1279" t="s">
        <v>108</v>
      </c>
      <c r="K1279">
        <v>2</v>
      </c>
      <c r="L1279" s="2">
        <v>6.68</v>
      </c>
      <c r="M1279" s="3">
        <v>0.15</v>
      </c>
      <c r="N1279" s="2">
        <v>11.36</v>
      </c>
      <c r="O1279" s="2">
        <v>6.25</v>
      </c>
      <c r="P1279" s="2">
        <v>5.1100000000000003</v>
      </c>
      <c r="Q1279" t="s">
        <v>34</v>
      </c>
    </row>
    <row r="1280" spans="1:17" x14ac:dyDescent="0.2">
      <c r="A1280" t="s">
        <v>1445</v>
      </c>
      <c r="B1280" s="1">
        <v>45806</v>
      </c>
      <c r="C1280" t="s">
        <v>43</v>
      </c>
      <c r="D1280" t="s">
        <v>44</v>
      </c>
      <c r="E1280" t="s">
        <v>82</v>
      </c>
      <c r="F1280" t="s">
        <v>130</v>
      </c>
      <c r="G1280" t="s">
        <v>22</v>
      </c>
      <c r="H1280" t="s">
        <v>47</v>
      </c>
      <c r="I1280" t="s">
        <v>89</v>
      </c>
      <c r="J1280" t="s">
        <v>90</v>
      </c>
      <c r="K1280">
        <v>3</v>
      </c>
      <c r="L1280" s="2">
        <v>321.64</v>
      </c>
      <c r="M1280" s="3">
        <v>0.05</v>
      </c>
      <c r="N1280" s="2">
        <v>916.67</v>
      </c>
      <c r="O1280" s="2">
        <v>610.4</v>
      </c>
      <c r="P1280" s="2">
        <v>306.27</v>
      </c>
      <c r="Q1280" t="s">
        <v>57</v>
      </c>
    </row>
    <row r="1281" spans="1:17" x14ac:dyDescent="0.2">
      <c r="A1281" t="s">
        <v>1446</v>
      </c>
      <c r="B1281" s="1">
        <v>45806</v>
      </c>
      <c r="C1281" t="s">
        <v>36</v>
      </c>
      <c r="D1281" t="s">
        <v>67</v>
      </c>
      <c r="E1281" t="s">
        <v>323</v>
      </c>
      <c r="F1281" t="s">
        <v>60</v>
      </c>
      <c r="G1281" t="s">
        <v>54</v>
      </c>
      <c r="H1281" t="s">
        <v>31</v>
      </c>
      <c r="I1281" t="s">
        <v>32</v>
      </c>
      <c r="J1281" t="s">
        <v>104</v>
      </c>
      <c r="K1281">
        <v>2</v>
      </c>
      <c r="L1281" s="2">
        <v>1269.95</v>
      </c>
      <c r="M1281" s="3">
        <v>0.15</v>
      </c>
      <c r="N1281" s="2">
        <v>2158.92</v>
      </c>
      <c r="O1281" s="2">
        <v>1600.93</v>
      </c>
      <c r="P1281" s="2">
        <v>557.99</v>
      </c>
      <c r="Q1281" t="s">
        <v>26</v>
      </c>
    </row>
    <row r="1282" spans="1:17" x14ac:dyDescent="0.2">
      <c r="A1282" t="s">
        <v>1447</v>
      </c>
      <c r="B1282" s="1">
        <v>45806</v>
      </c>
      <c r="C1282" t="s">
        <v>77</v>
      </c>
      <c r="D1282" t="s">
        <v>95</v>
      </c>
      <c r="E1282" t="s">
        <v>300</v>
      </c>
      <c r="F1282" t="s">
        <v>60</v>
      </c>
      <c r="G1282" t="s">
        <v>22</v>
      </c>
      <c r="H1282" t="s">
        <v>31</v>
      </c>
      <c r="I1282" t="s">
        <v>112</v>
      </c>
      <c r="J1282" t="s">
        <v>176</v>
      </c>
      <c r="K1282">
        <v>8</v>
      </c>
      <c r="L1282" s="2">
        <v>603.34</v>
      </c>
      <c r="M1282" s="3">
        <v>0.05</v>
      </c>
      <c r="N1282" s="2">
        <v>4585.38</v>
      </c>
      <c r="O1282" s="2">
        <v>3195.4</v>
      </c>
      <c r="P1282" s="2">
        <v>1389.98</v>
      </c>
      <c r="Q1282" t="s">
        <v>34</v>
      </c>
    </row>
    <row r="1283" spans="1:17" x14ac:dyDescent="0.2">
      <c r="A1283" t="s">
        <v>1448</v>
      </c>
      <c r="B1283" s="1">
        <v>45806</v>
      </c>
      <c r="C1283" t="s">
        <v>43</v>
      </c>
      <c r="D1283" t="s">
        <v>244</v>
      </c>
      <c r="E1283" t="s">
        <v>245</v>
      </c>
      <c r="F1283" t="s">
        <v>60</v>
      </c>
      <c r="G1283" t="s">
        <v>22</v>
      </c>
      <c r="H1283" t="s">
        <v>31</v>
      </c>
      <c r="I1283" t="s">
        <v>112</v>
      </c>
      <c r="J1283" t="s">
        <v>136</v>
      </c>
      <c r="K1283">
        <v>10</v>
      </c>
      <c r="L1283" s="2">
        <v>249.08</v>
      </c>
      <c r="M1283" s="3">
        <v>0.1</v>
      </c>
      <c r="N1283" s="2">
        <v>2241.7199999999998</v>
      </c>
      <c r="O1283" s="2">
        <v>1597.27</v>
      </c>
      <c r="P1283" s="2">
        <v>644.45000000000005</v>
      </c>
      <c r="Q1283" t="s">
        <v>61</v>
      </c>
    </row>
    <row r="1284" spans="1:17" x14ac:dyDescent="0.2">
      <c r="A1284" t="s">
        <v>1449</v>
      </c>
      <c r="B1284" s="1">
        <v>45807</v>
      </c>
      <c r="C1284" t="s">
        <v>18</v>
      </c>
      <c r="D1284" t="s">
        <v>133</v>
      </c>
      <c r="E1284" t="s">
        <v>197</v>
      </c>
      <c r="F1284" t="s">
        <v>69</v>
      </c>
      <c r="G1284" t="s">
        <v>75</v>
      </c>
      <c r="H1284" t="s">
        <v>47</v>
      </c>
      <c r="I1284" t="s">
        <v>141</v>
      </c>
      <c r="J1284" t="s">
        <v>201</v>
      </c>
      <c r="K1284">
        <v>4</v>
      </c>
      <c r="L1284" s="2">
        <v>698.5</v>
      </c>
      <c r="M1284" s="3">
        <v>0.15</v>
      </c>
      <c r="N1284" s="2">
        <v>2374.9</v>
      </c>
      <c r="O1284" s="2">
        <v>1800.06</v>
      </c>
      <c r="P1284" s="2">
        <v>574.84</v>
      </c>
      <c r="Q1284" t="s">
        <v>34</v>
      </c>
    </row>
    <row r="1285" spans="1:17" x14ac:dyDescent="0.2">
      <c r="A1285" t="s">
        <v>1450</v>
      </c>
      <c r="B1285" s="1">
        <v>45807</v>
      </c>
      <c r="C1285" t="s">
        <v>18</v>
      </c>
      <c r="D1285" t="s">
        <v>133</v>
      </c>
      <c r="E1285" t="s">
        <v>197</v>
      </c>
      <c r="F1285" t="s">
        <v>21</v>
      </c>
      <c r="G1285" t="s">
        <v>22</v>
      </c>
      <c r="H1285" t="s">
        <v>31</v>
      </c>
      <c r="I1285" t="s">
        <v>32</v>
      </c>
      <c r="J1285" t="s">
        <v>33</v>
      </c>
      <c r="K1285">
        <v>6</v>
      </c>
      <c r="L1285" s="2">
        <v>1763.12</v>
      </c>
      <c r="M1285" s="3">
        <v>0.05</v>
      </c>
      <c r="N1285" s="2">
        <v>10049.780000000001</v>
      </c>
      <c r="O1285" s="2">
        <v>7099.44</v>
      </c>
      <c r="P1285" s="2">
        <v>2950.34</v>
      </c>
      <c r="Q1285" t="s">
        <v>26</v>
      </c>
    </row>
    <row r="1286" spans="1:17" x14ac:dyDescent="0.2">
      <c r="A1286" t="s">
        <v>1451</v>
      </c>
      <c r="B1286" s="1">
        <v>45807</v>
      </c>
      <c r="C1286" t="s">
        <v>36</v>
      </c>
      <c r="D1286" t="s">
        <v>37</v>
      </c>
      <c r="E1286" t="s">
        <v>187</v>
      </c>
      <c r="F1286" t="s">
        <v>53</v>
      </c>
      <c r="G1286" t="s">
        <v>75</v>
      </c>
      <c r="H1286" t="s">
        <v>31</v>
      </c>
      <c r="I1286" t="s">
        <v>40</v>
      </c>
      <c r="J1286" t="s">
        <v>122</v>
      </c>
      <c r="K1286">
        <v>8</v>
      </c>
      <c r="L1286" s="2">
        <v>144.93</v>
      </c>
      <c r="M1286" s="3">
        <v>0.05</v>
      </c>
      <c r="N1286" s="2">
        <v>1101.47</v>
      </c>
      <c r="O1286" s="2">
        <v>675.34</v>
      </c>
      <c r="P1286" s="2">
        <v>426.13</v>
      </c>
      <c r="Q1286" t="s">
        <v>57</v>
      </c>
    </row>
    <row r="1287" spans="1:17" x14ac:dyDescent="0.2">
      <c r="A1287" t="s">
        <v>1452</v>
      </c>
      <c r="B1287" s="1">
        <v>45807</v>
      </c>
      <c r="C1287" t="s">
        <v>36</v>
      </c>
      <c r="D1287" t="s">
        <v>73</v>
      </c>
      <c r="E1287" t="s">
        <v>74</v>
      </c>
      <c r="F1287" t="s">
        <v>138</v>
      </c>
      <c r="G1287" t="s">
        <v>75</v>
      </c>
      <c r="H1287" t="s">
        <v>47</v>
      </c>
      <c r="I1287" t="s">
        <v>97</v>
      </c>
      <c r="J1287" t="s">
        <v>98</v>
      </c>
      <c r="K1287">
        <v>6</v>
      </c>
      <c r="L1287" s="2">
        <v>627.09</v>
      </c>
      <c r="M1287" s="3">
        <v>0</v>
      </c>
      <c r="N1287" s="2">
        <v>3762.54</v>
      </c>
      <c r="O1287" s="2">
        <v>2118.84</v>
      </c>
      <c r="P1287" s="2">
        <v>1643.7</v>
      </c>
      <c r="Q1287" t="s">
        <v>57</v>
      </c>
    </row>
    <row r="1288" spans="1:17" x14ac:dyDescent="0.2">
      <c r="A1288" t="s">
        <v>1453</v>
      </c>
      <c r="B1288" s="1">
        <v>45807</v>
      </c>
      <c r="C1288" t="s">
        <v>18</v>
      </c>
      <c r="D1288" t="s">
        <v>133</v>
      </c>
      <c r="E1288" t="s">
        <v>197</v>
      </c>
      <c r="F1288" t="s">
        <v>30</v>
      </c>
      <c r="G1288" t="s">
        <v>75</v>
      </c>
      <c r="H1288" t="s">
        <v>31</v>
      </c>
      <c r="I1288" t="s">
        <v>112</v>
      </c>
      <c r="J1288" t="s">
        <v>113</v>
      </c>
      <c r="K1288">
        <v>7</v>
      </c>
      <c r="L1288" s="2">
        <v>682.63</v>
      </c>
      <c r="M1288" s="3">
        <v>0</v>
      </c>
      <c r="N1288" s="2">
        <v>4778.41</v>
      </c>
      <c r="O1288" s="2">
        <v>2699.84</v>
      </c>
      <c r="P1288" s="2">
        <v>2078.5700000000002</v>
      </c>
      <c r="Q1288" t="s">
        <v>26</v>
      </c>
    </row>
    <row r="1289" spans="1:17" x14ac:dyDescent="0.2">
      <c r="A1289" t="s">
        <v>1454</v>
      </c>
      <c r="B1289" s="1">
        <v>45807</v>
      </c>
      <c r="C1289" t="s">
        <v>77</v>
      </c>
      <c r="D1289" t="s">
        <v>78</v>
      </c>
      <c r="E1289" t="s">
        <v>295</v>
      </c>
      <c r="F1289" t="s">
        <v>71</v>
      </c>
      <c r="G1289" t="s">
        <v>54</v>
      </c>
      <c r="H1289" t="s">
        <v>23</v>
      </c>
      <c r="I1289" t="s">
        <v>83</v>
      </c>
      <c r="J1289" t="s">
        <v>131</v>
      </c>
      <c r="K1289">
        <v>2</v>
      </c>
      <c r="L1289" s="2">
        <v>13.46</v>
      </c>
      <c r="M1289" s="3">
        <v>0</v>
      </c>
      <c r="N1289" s="2">
        <v>26.92</v>
      </c>
      <c r="O1289" s="2">
        <v>15.3</v>
      </c>
      <c r="P1289" s="2">
        <v>11.62</v>
      </c>
      <c r="Q1289" t="s">
        <v>61</v>
      </c>
    </row>
    <row r="1290" spans="1:17" x14ac:dyDescent="0.2">
      <c r="A1290" t="s">
        <v>1455</v>
      </c>
      <c r="B1290" s="1">
        <v>45807</v>
      </c>
      <c r="C1290" t="s">
        <v>43</v>
      </c>
      <c r="D1290" t="s">
        <v>244</v>
      </c>
      <c r="E1290" t="s">
        <v>300</v>
      </c>
      <c r="F1290" t="s">
        <v>46</v>
      </c>
      <c r="G1290" t="s">
        <v>75</v>
      </c>
      <c r="H1290" t="s">
        <v>23</v>
      </c>
      <c r="I1290" t="s">
        <v>83</v>
      </c>
      <c r="J1290" t="s">
        <v>84</v>
      </c>
      <c r="K1290">
        <v>4</v>
      </c>
      <c r="L1290" s="2">
        <v>17.52</v>
      </c>
      <c r="M1290" s="3">
        <v>0.15</v>
      </c>
      <c r="N1290" s="2">
        <v>59.57</v>
      </c>
      <c r="O1290" s="2">
        <v>34.159999999999997</v>
      </c>
      <c r="P1290" s="2">
        <v>25.41</v>
      </c>
      <c r="Q1290" t="s">
        <v>57</v>
      </c>
    </row>
    <row r="1291" spans="1:17" x14ac:dyDescent="0.2">
      <c r="A1291" t="s">
        <v>1456</v>
      </c>
      <c r="B1291" s="1">
        <v>45807</v>
      </c>
      <c r="C1291" t="s">
        <v>18</v>
      </c>
      <c r="D1291" t="s">
        <v>152</v>
      </c>
      <c r="E1291" t="s">
        <v>166</v>
      </c>
      <c r="F1291" t="s">
        <v>30</v>
      </c>
      <c r="G1291" t="s">
        <v>22</v>
      </c>
      <c r="H1291" t="s">
        <v>47</v>
      </c>
      <c r="I1291" t="s">
        <v>97</v>
      </c>
      <c r="J1291" t="s">
        <v>98</v>
      </c>
      <c r="K1291">
        <v>9</v>
      </c>
      <c r="L1291" s="2">
        <v>123.01</v>
      </c>
      <c r="M1291" s="3">
        <v>0.1</v>
      </c>
      <c r="N1291" s="2">
        <v>996.38</v>
      </c>
      <c r="O1291" s="2">
        <v>592.16999999999996</v>
      </c>
      <c r="P1291" s="2">
        <v>404.21</v>
      </c>
      <c r="Q1291" t="s">
        <v>34</v>
      </c>
    </row>
    <row r="1292" spans="1:17" x14ac:dyDescent="0.2">
      <c r="A1292" t="s">
        <v>1457</v>
      </c>
      <c r="B1292" s="1">
        <v>45807</v>
      </c>
      <c r="C1292" t="s">
        <v>77</v>
      </c>
      <c r="D1292" t="s">
        <v>106</v>
      </c>
      <c r="E1292" t="s">
        <v>236</v>
      </c>
      <c r="F1292" t="s">
        <v>30</v>
      </c>
      <c r="G1292" t="s">
        <v>75</v>
      </c>
      <c r="H1292" t="s">
        <v>31</v>
      </c>
      <c r="I1292" t="s">
        <v>64</v>
      </c>
      <c r="J1292" t="s">
        <v>126</v>
      </c>
      <c r="K1292">
        <v>3</v>
      </c>
      <c r="L1292" s="2">
        <v>117.21</v>
      </c>
      <c r="M1292" s="3">
        <v>0.1</v>
      </c>
      <c r="N1292" s="2">
        <v>316.47000000000003</v>
      </c>
      <c r="O1292" s="2">
        <v>233.02</v>
      </c>
      <c r="P1292" s="2">
        <v>83.45</v>
      </c>
      <c r="Q1292" t="s">
        <v>34</v>
      </c>
    </row>
    <row r="1293" spans="1:17" x14ac:dyDescent="0.2">
      <c r="A1293" t="s">
        <v>1458</v>
      </c>
      <c r="B1293" s="1">
        <v>45808</v>
      </c>
      <c r="C1293" t="s">
        <v>36</v>
      </c>
      <c r="D1293" t="s">
        <v>110</v>
      </c>
      <c r="E1293" t="s">
        <v>115</v>
      </c>
      <c r="F1293" t="s">
        <v>71</v>
      </c>
      <c r="G1293" t="s">
        <v>75</v>
      </c>
      <c r="H1293" t="s">
        <v>31</v>
      </c>
      <c r="I1293" t="s">
        <v>40</v>
      </c>
      <c r="J1293" t="s">
        <v>41</v>
      </c>
      <c r="K1293">
        <v>5</v>
      </c>
      <c r="L1293" s="2">
        <v>167.58</v>
      </c>
      <c r="M1293" s="3">
        <v>0.05</v>
      </c>
      <c r="N1293" s="2">
        <v>796</v>
      </c>
      <c r="O1293" s="2">
        <v>556.79</v>
      </c>
      <c r="P1293" s="2">
        <v>239.21</v>
      </c>
      <c r="Q1293" t="s">
        <v>34</v>
      </c>
    </row>
    <row r="1294" spans="1:17" x14ac:dyDescent="0.2">
      <c r="A1294" t="s">
        <v>1459</v>
      </c>
      <c r="B1294" s="1">
        <v>45808</v>
      </c>
      <c r="C1294" t="s">
        <v>77</v>
      </c>
      <c r="D1294" t="s">
        <v>78</v>
      </c>
      <c r="E1294" t="s">
        <v>261</v>
      </c>
      <c r="F1294" t="s">
        <v>46</v>
      </c>
      <c r="G1294" t="s">
        <v>75</v>
      </c>
      <c r="H1294" t="s">
        <v>31</v>
      </c>
      <c r="I1294" t="s">
        <v>40</v>
      </c>
      <c r="J1294" t="s">
        <v>122</v>
      </c>
      <c r="K1294">
        <v>7</v>
      </c>
      <c r="L1294" s="2">
        <v>125.5</v>
      </c>
      <c r="M1294" s="3">
        <v>0.1</v>
      </c>
      <c r="N1294" s="2">
        <v>790.65</v>
      </c>
      <c r="O1294" s="2">
        <v>638.17999999999995</v>
      </c>
      <c r="P1294" s="2">
        <v>152.47</v>
      </c>
      <c r="Q1294" t="s">
        <v>26</v>
      </c>
    </row>
    <row r="1295" spans="1:17" x14ac:dyDescent="0.2">
      <c r="A1295" t="s">
        <v>1460</v>
      </c>
      <c r="B1295" s="1">
        <v>45808</v>
      </c>
      <c r="C1295" t="s">
        <v>36</v>
      </c>
      <c r="D1295" t="s">
        <v>67</v>
      </c>
      <c r="E1295" t="s">
        <v>323</v>
      </c>
      <c r="F1295" t="s">
        <v>21</v>
      </c>
      <c r="G1295" t="s">
        <v>22</v>
      </c>
      <c r="H1295" t="s">
        <v>47</v>
      </c>
      <c r="I1295" t="s">
        <v>48</v>
      </c>
      <c r="J1295" t="s">
        <v>164</v>
      </c>
      <c r="K1295">
        <v>2</v>
      </c>
      <c r="L1295" s="2">
        <v>588.36</v>
      </c>
      <c r="M1295" s="3">
        <v>0.15</v>
      </c>
      <c r="N1295" s="2">
        <v>1000.21</v>
      </c>
      <c r="O1295" s="2">
        <v>653.23</v>
      </c>
      <c r="P1295" s="2">
        <v>346.98</v>
      </c>
      <c r="Q1295" t="s">
        <v>34</v>
      </c>
    </row>
    <row r="1296" spans="1:17" x14ac:dyDescent="0.2">
      <c r="A1296" t="s">
        <v>1461</v>
      </c>
      <c r="B1296" s="1">
        <v>45808</v>
      </c>
      <c r="C1296" t="s">
        <v>18</v>
      </c>
      <c r="D1296" t="s">
        <v>133</v>
      </c>
      <c r="E1296" t="s">
        <v>197</v>
      </c>
      <c r="F1296" t="s">
        <v>39</v>
      </c>
      <c r="G1296" t="s">
        <v>22</v>
      </c>
      <c r="H1296" t="s">
        <v>23</v>
      </c>
      <c r="I1296" t="s">
        <v>55</v>
      </c>
      <c r="J1296" t="s">
        <v>173</v>
      </c>
      <c r="K1296">
        <v>4</v>
      </c>
      <c r="L1296" s="2">
        <v>20.7</v>
      </c>
      <c r="M1296" s="3">
        <v>0.05</v>
      </c>
      <c r="N1296" s="2">
        <v>78.66</v>
      </c>
      <c r="O1296" s="2">
        <v>48.92</v>
      </c>
      <c r="P1296" s="2">
        <v>29.74</v>
      </c>
      <c r="Q1296" t="s">
        <v>61</v>
      </c>
    </row>
    <row r="1297" spans="1:17" x14ac:dyDescent="0.2">
      <c r="A1297" t="s">
        <v>1462</v>
      </c>
      <c r="B1297" s="1">
        <v>45808</v>
      </c>
      <c r="C1297" t="s">
        <v>43</v>
      </c>
      <c r="D1297" t="s">
        <v>208</v>
      </c>
      <c r="E1297" t="s">
        <v>287</v>
      </c>
      <c r="F1297" t="s">
        <v>21</v>
      </c>
      <c r="G1297" t="s">
        <v>22</v>
      </c>
      <c r="H1297" t="s">
        <v>47</v>
      </c>
      <c r="I1297" t="s">
        <v>141</v>
      </c>
      <c r="J1297" t="s">
        <v>201</v>
      </c>
      <c r="K1297">
        <v>3</v>
      </c>
      <c r="L1297" s="2">
        <v>267.48</v>
      </c>
      <c r="M1297" s="3">
        <v>0.05</v>
      </c>
      <c r="N1297" s="2">
        <v>762.32</v>
      </c>
      <c r="O1297" s="2">
        <v>420.59</v>
      </c>
      <c r="P1297" s="2">
        <v>341.73</v>
      </c>
      <c r="Q1297" t="s">
        <v>34</v>
      </c>
    </row>
    <row r="1298" spans="1:17" x14ac:dyDescent="0.2">
      <c r="A1298" t="s">
        <v>1463</v>
      </c>
      <c r="B1298" s="1">
        <v>45808</v>
      </c>
      <c r="C1298" t="s">
        <v>43</v>
      </c>
      <c r="D1298" t="s">
        <v>244</v>
      </c>
      <c r="E1298" t="s">
        <v>326</v>
      </c>
      <c r="F1298" t="s">
        <v>69</v>
      </c>
      <c r="G1298" t="s">
        <v>75</v>
      </c>
      <c r="H1298" t="s">
        <v>23</v>
      </c>
      <c r="I1298" t="s">
        <v>24</v>
      </c>
      <c r="J1298" t="s">
        <v>108</v>
      </c>
      <c r="K1298">
        <v>1</v>
      </c>
      <c r="L1298" s="2">
        <v>22.26</v>
      </c>
      <c r="M1298" s="3">
        <v>0</v>
      </c>
      <c r="N1298" s="2">
        <v>22.26</v>
      </c>
      <c r="O1298" s="2">
        <v>14.84</v>
      </c>
      <c r="P1298" s="2">
        <v>7.42</v>
      </c>
      <c r="Q1298" t="s">
        <v>61</v>
      </c>
    </row>
    <row r="1299" spans="1:17" x14ac:dyDescent="0.2">
      <c r="A1299" t="s">
        <v>1464</v>
      </c>
      <c r="B1299" s="1">
        <v>45808</v>
      </c>
      <c r="C1299" t="s">
        <v>18</v>
      </c>
      <c r="D1299" t="s">
        <v>86</v>
      </c>
      <c r="E1299" t="s">
        <v>140</v>
      </c>
      <c r="F1299" t="s">
        <v>71</v>
      </c>
      <c r="G1299" t="s">
        <v>22</v>
      </c>
      <c r="H1299" t="s">
        <v>47</v>
      </c>
      <c r="I1299" t="s">
        <v>141</v>
      </c>
      <c r="J1299" t="s">
        <v>201</v>
      </c>
      <c r="K1299">
        <v>5</v>
      </c>
      <c r="L1299" s="2">
        <v>245.51</v>
      </c>
      <c r="M1299" s="3">
        <v>0.05</v>
      </c>
      <c r="N1299" s="2">
        <v>1166.17</v>
      </c>
      <c r="O1299" s="2">
        <v>867.58</v>
      </c>
      <c r="P1299" s="2">
        <v>298.58999999999997</v>
      </c>
      <c r="Q1299" t="s">
        <v>61</v>
      </c>
    </row>
    <row r="1300" spans="1:17" x14ac:dyDescent="0.2">
      <c r="A1300" t="s">
        <v>1465</v>
      </c>
      <c r="B1300" s="1">
        <v>45808</v>
      </c>
      <c r="C1300" t="s">
        <v>77</v>
      </c>
      <c r="D1300" t="s">
        <v>149</v>
      </c>
      <c r="E1300" t="s">
        <v>150</v>
      </c>
      <c r="F1300" t="s">
        <v>53</v>
      </c>
      <c r="G1300" t="s">
        <v>54</v>
      </c>
      <c r="H1300" t="s">
        <v>31</v>
      </c>
      <c r="I1300" t="s">
        <v>64</v>
      </c>
      <c r="J1300" t="s">
        <v>252</v>
      </c>
      <c r="K1300">
        <v>6</v>
      </c>
      <c r="L1300" s="2">
        <v>158.18</v>
      </c>
      <c r="M1300" s="3">
        <v>0</v>
      </c>
      <c r="N1300" s="2">
        <v>949.08</v>
      </c>
      <c r="O1300" s="2">
        <v>555.74</v>
      </c>
      <c r="P1300" s="2">
        <v>393.34</v>
      </c>
      <c r="Q1300" t="s">
        <v>61</v>
      </c>
    </row>
    <row r="1301" spans="1:17" x14ac:dyDescent="0.2">
      <c r="A1301" t="s">
        <v>1466</v>
      </c>
      <c r="B1301" s="1">
        <v>45808</v>
      </c>
      <c r="C1301" t="s">
        <v>36</v>
      </c>
      <c r="D1301" t="s">
        <v>37</v>
      </c>
      <c r="E1301" t="s">
        <v>187</v>
      </c>
      <c r="F1301" t="s">
        <v>46</v>
      </c>
      <c r="G1301" t="s">
        <v>75</v>
      </c>
      <c r="H1301" t="s">
        <v>47</v>
      </c>
      <c r="I1301" t="s">
        <v>141</v>
      </c>
      <c r="J1301" t="s">
        <v>142</v>
      </c>
      <c r="K1301">
        <v>2</v>
      </c>
      <c r="L1301" s="2">
        <v>309.49</v>
      </c>
      <c r="M1301" s="3">
        <v>0</v>
      </c>
      <c r="N1301" s="2">
        <v>618.98</v>
      </c>
      <c r="O1301" s="2">
        <v>416.72</v>
      </c>
      <c r="P1301" s="2">
        <v>202.26</v>
      </c>
      <c r="Q1301" t="s">
        <v>34</v>
      </c>
    </row>
    <row r="1302" spans="1:17" x14ac:dyDescent="0.2">
      <c r="A1302" t="s">
        <v>1467</v>
      </c>
      <c r="B1302" s="1">
        <v>45808</v>
      </c>
      <c r="C1302" t="s">
        <v>18</v>
      </c>
      <c r="D1302" t="s">
        <v>152</v>
      </c>
      <c r="E1302" t="s">
        <v>166</v>
      </c>
      <c r="F1302" t="s">
        <v>30</v>
      </c>
      <c r="G1302" t="s">
        <v>22</v>
      </c>
      <c r="H1302" t="s">
        <v>23</v>
      </c>
      <c r="I1302" t="s">
        <v>79</v>
      </c>
      <c r="J1302" t="s">
        <v>233</v>
      </c>
      <c r="K1302">
        <v>9</v>
      </c>
      <c r="L1302" s="2">
        <v>589.35</v>
      </c>
      <c r="M1302" s="3">
        <v>0.05</v>
      </c>
      <c r="N1302" s="2">
        <v>5038.9399999999996</v>
      </c>
      <c r="O1302" s="2">
        <v>2828.37</v>
      </c>
      <c r="P1302" s="2">
        <v>2210.5700000000002</v>
      </c>
      <c r="Q1302" t="s">
        <v>34</v>
      </c>
    </row>
    <row r="1303" spans="1:17" x14ac:dyDescent="0.2">
      <c r="A1303" t="s">
        <v>1468</v>
      </c>
      <c r="B1303" s="1">
        <v>45809</v>
      </c>
      <c r="C1303" t="s">
        <v>36</v>
      </c>
      <c r="D1303" t="s">
        <v>73</v>
      </c>
      <c r="E1303" t="s">
        <v>212</v>
      </c>
      <c r="F1303" t="s">
        <v>69</v>
      </c>
      <c r="G1303" t="s">
        <v>75</v>
      </c>
      <c r="H1303" t="s">
        <v>31</v>
      </c>
      <c r="I1303" t="s">
        <v>112</v>
      </c>
      <c r="J1303" t="s">
        <v>176</v>
      </c>
      <c r="K1303">
        <v>1</v>
      </c>
      <c r="L1303" s="2">
        <v>542.01</v>
      </c>
      <c r="M1303" s="3">
        <v>0.2</v>
      </c>
      <c r="N1303" s="2">
        <v>433.61</v>
      </c>
      <c r="O1303" s="2">
        <v>255.34</v>
      </c>
      <c r="P1303" s="2">
        <v>178.27</v>
      </c>
      <c r="Q1303" t="s">
        <v>57</v>
      </c>
    </row>
    <row r="1304" spans="1:17" x14ac:dyDescent="0.2">
      <c r="A1304" t="s">
        <v>1469</v>
      </c>
      <c r="B1304" s="1">
        <v>45809</v>
      </c>
      <c r="C1304" t="s">
        <v>36</v>
      </c>
      <c r="D1304" t="s">
        <v>67</v>
      </c>
      <c r="E1304" t="s">
        <v>270</v>
      </c>
      <c r="F1304" t="s">
        <v>138</v>
      </c>
      <c r="G1304" t="s">
        <v>54</v>
      </c>
      <c r="H1304" t="s">
        <v>23</v>
      </c>
      <c r="I1304" t="s">
        <v>24</v>
      </c>
      <c r="J1304" t="s">
        <v>25</v>
      </c>
      <c r="K1304">
        <v>1</v>
      </c>
      <c r="L1304" s="2">
        <v>15.98</v>
      </c>
      <c r="M1304" s="3">
        <v>0.05</v>
      </c>
      <c r="N1304" s="2">
        <v>15.18</v>
      </c>
      <c r="O1304" s="2">
        <v>9.26</v>
      </c>
      <c r="P1304" s="2">
        <v>5.92</v>
      </c>
      <c r="Q1304" t="s">
        <v>34</v>
      </c>
    </row>
    <row r="1305" spans="1:17" x14ac:dyDescent="0.2">
      <c r="A1305" t="s">
        <v>1470</v>
      </c>
      <c r="B1305" s="1">
        <v>45809</v>
      </c>
      <c r="C1305" t="s">
        <v>36</v>
      </c>
      <c r="D1305" t="s">
        <v>73</v>
      </c>
      <c r="E1305" t="s">
        <v>247</v>
      </c>
      <c r="F1305" t="s">
        <v>60</v>
      </c>
      <c r="G1305" t="s">
        <v>22</v>
      </c>
      <c r="H1305" t="s">
        <v>47</v>
      </c>
      <c r="I1305" t="s">
        <v>141</v>
      </c>
      <c r="J1305" t="s">
        <v>201</v>
      </c>
      <c r="K1305">
        <v>2</v>
      </c>
      <c r="L1305" s="2">
        <v>349.4</v>
      </c>
      <c r="M1305" s="3">
        <v>0</v>
      </c>
      <c r="N1305" s="2">
        <v>698.8</v>
      </c>
      <c r="O1305" s="2">
        <v>471.35</v>
      </c>
      <c r="P1305" s="2">
        <v>227.45</v>
      </c>
      <c r="Q1305" t="s">
        <v>26</v>
      </c>
    </row>
    <row r="1306" spans="1:17" x14ac:dyDescent="0.2">
      <c r="A1306" t="s">
        <v>1471</v>
      </c>
      <c r="B1306" s="1">
        <v>45809</v>
      </c>
      <c r="C1306" t="s">
        <v>18</v>
      </c>
      <c r="D1306" t="s">
        <v>152</v>
      </c>
      <c r="E1306" t="s">
        <v>153</v>
      </c>
      <c r="F1306" t="s">
        <v>138</v>
      </c>
      <c r="G1306" t="s">
        <v>22</v>
      </c>
      <c r="H1306" t="s">
        <v>23</v>
      </c>
      <c r="I1306" t="s">
        <v>79</v>
      </c>
      <c r="J1306" t="s">
        <v>80</v>
      </c>
      <c r="K1306">
        <v>10</v>
      </c>
      <c r="L1306" s="2">
        <v>267.69</v>
      </c>
      <c r="M1306" s="3">
        <v>0.05</v>
      </c>
      <c r="N1306" s="2">
        <v>2543.0500000000002</v>
      </c>
      <c r="O1306" s="2">
        <v>1978.76</v>
      </c>
      <c r="P1306" s="2">
        <v>564.29</v>
      </c>
      <c r="Q1306" t="s">
        <v>61</v>
      </c>
    </row>
    <row r="1307" spans="1:17" x14ac:dyDescent="0.2">
      <c r="A1307" t="s">
        <v>1472</v>
      </c>
      <c r="B1307" s="1">
        <v>45810</v>
      </c>
      <c r="C1307" t="s">
        <v>43</v>
      </c>
      <c r="D1307" t="s">
        <v>51</v>
      </c>
      <c r="E1307" t="s">
        <v>59</v>
      </c>
      <c r="F1307" t="s">
        <v>53</v>
      </c>
      <c r="G1307" t="s">
        <v>75</v>
      </c>
      <c r="H1307" t="s">
        <v>31</v>
      </c>
      <c r="I1307" t="s">
        <v>112</v>
      </c>
      <c r="J1307" t="s">
        <v>136</v>
      </c>
      <c r="K1307">
        <v>1</v>
      </c>
      <c r="L1307" s="2">
        <v>450.86</v>
      </c>
      <c r="M1307" s="3">
        <v>0.1</v>
      </c>
      <c r="N1307" s="2">
        <v>405.77</v>
      </c>
      <c r="O1307" s="2">
        <v>257.61</v>
      </c>
      <c r="P1307" s="2">
        <v>148.16</v>
      </c>
      <c r="Q1307" t="s">
        <v>57</v>
      </c>
    </row>
    <row r="1308" spans="1:17" x14ac:dyDescent="0.2">
      <c r="A1308" t="s">
        <v>1473</v>
      </c>
      <c r="B1308" s="1">
        <v>45810</v>
      </c>
      <c r="C1308" t="s">
        <v>18</v>
      </c>
      <c r="D1308" t="s">
        <v>86</v>
      </c>
      <c r="E1308" t="s">
        <v>140</v>
      </c>
      <c r="F1308" t="s">
        <v>46</v>
      </c>
      <c r="G1308" t="s">
        <v>54</v>
      </c>
      <c r="H1308" t="s">
        <v>31</v>
      </c>
      <c r="I1308" t="s">
        <v>40</v>
      </c>
      <c r="J1308" t="s">
        <v>122</v>
      </c>
      <c r="K1308">
        <v>4</v>
      </c>
      <c r="L1308" s="2">
        <v>48.32</v>
      </c>
      <c r="M1308" s="3">
        <v>0.15</v>
      </c>
      <c r="N1308" s="2">
        <v>164.29</v>
      </c>
      <c r="O1308" s="2">
        <v>134.08000000000001</v>
      </c>
      <c r="P1308" s="2">
        <v>30.21</v>
      </c>
      <c r="Q1308" t="s">
        <v>26</v>
      </c>
    </row>
    <row r="1309" spans="1:17" x14ac:dyDescent="0.2">
      <c r="A1309" t="s">
        <v>1474</v>
      </c>
      <c r="B1309" s="1">
        <v>45810</v>
      </c>
      <c r="C1309" t="s">
        <v>77</v>
      </c>
      <c r="D1309" t="s">
        <v>128</v>
      </c>
      <c r="E1309" t="s">
        <v>155</v>
      </c>
      <c r="F1309" t="s">
        <v>21</v>
      </c>
      <c r="G1309" t="s">
        <v>22</v>
      </c>
      <c r="H1309" t="s">
        <v>47</v>
      </c>
      <c r="I1309" t="s">
        <v>97</v>
      </c>
      <c r="J1309" t="s">
        <v>98</v>
      </c>
      <c r="K1309">
        <v>9</v>
      </c>
      <c r="L1309" s="2">
        <v>552.29999999999995</v>
      </c>
      <c r="M1309" s="3">
        <v>0.15</v>
      </c>
      <c r="N1309" s="2">
        <v>4225.09</v>
      </c>
      <c r="O1309" s="2">
        <v>2714.55</v>
      </c>
      <c r="P1309" s="2">
        <v>1510.54</v>
      </c>
      <c r="Q1309" t="s">
        <v>34</v>
      </c>
    </row>
    <row r="1310" spans="1:17" x14ac:dyDescent="0.2">
      <c r="A1310" t="s">
        <v>1475</v>
      </c>
      <c r="B1310" s="1">
        <v>45810</v>
      </c>
      <c r="C1310" t="s">
        <v>43</v>
      </c>
      <c r="D1310" t="s">
        <v>244</v>
      </c>
      <c r="E1310" t="s">
        <v>245</v>
      </c>
      <c r="F1310" t="s">
        <v>60</v>
      </c>
      <c r="G1310" t="s">
        <v>22</v>
      </c>
      <c r="H1310" t="s">
        <v>31</v>
      </c>
      <c r="I1310" t="s">
        <v>32</v>
      </c>
      <c r="J1310" t="s">
        <v>104</v>
      </c>
      <c r="K1310">
        <v>7</v>
      </c>
      <c r="L1310" s="2">
        <v>994.2</v>
      </c>
      <c r="M1310" s="3">
        <v>0.05</v>
      </c>
      <c r="N1310" s="2">
        <v>6611.43</v>
      </c>
      <c r="O1310" s="2">
        <v>4615.2700000000004</v>
      </c>
      <c r="P1310" s="2">
        <v>1996.16</v>
      </c>
      <c r="Q1310" t="s">
        <v>34</v>
      </c>
    </row>
    <row r="1311" spans="1:17" x14ac:dyDescent="0.2">
      <c r="A1311" t="s">
        <v>1476</v>
      </c>
      <c r="B1311" s="1">
        <v>45810</v>
      </c>
      <c r="C1311" t="s">
        <v>36</v>
      </c>
      <c r="D1311" t="s">
        <v>73</v>
      </c>
      <c r="E1311" t="s">
        <v>247</v>
      </c>
      <c r="F1311" t="s">
        <v>46</v>
      </c>
      <c r="G1311" t="s">
        <v>22</v>
      </c>
      <c r="H1311" t="s">
        <v>47</v>
      </c>
      <c r="I1311" t="s">
        <v>141</v>
      </c>
      <c r="J1311" t="s">
        <v>201</v>
      </c>
      <c r="K1311">
        <v>5</v>
      </c>
      <c r="L1311" s="2">
        <v>369.63</v>
      </c>
      <c r="M1311" s="3">
        <v>0.1</v>
      </c>
      <c r="N1311" s="2">
        <v>1663.34</v>
      </c>
      <c r="O1311" s="2">
        <v>1026.71</v>
      </c>
      <c r="P1311" s="2">
        <v>636.63</v>
      </c>
      <c r="Q1311" t="s">
        <v>34</v>
      </c>
    </row>
    <row r="1312" spans="1:17" x14ac:dyDescent="0.2">
      <c r="A1312" t="s">
        <v>1477</v>
      </c>
      <c r="B1312" s="1">
        <v>45810</v>
      </c>
      <c r="C1312" t="s">
        <v>36</v>
      </c>
      <c r="D1312" t="s">
        <v>37</v>
      </c>
      <c r="E1312" t="s">
        <v>38</v>
      </c>
      <c r="F1312" t="s">
        <v>71</v>
      </c>
      <c r="G1312" t="s">
        <v>22</v>
      </c>
      <c r="H1312" t="s">
        <v>47</v>
      </c>
      <c r="I1312" t="s">
        <v>141</v>
      </c>
      <c r="J1312" t="s">
        <v>372</v>
      </c>
      <c r="K1312">
        <v>9</v>
      </c>
      <c r="L1312" s="2">
        <v>634.4</v>
      </c>
      <c r="M1312" s="3">
        <v>0.05</v>
      </c>
      <c r="N1312" s="2">
        <v>5424.12</v>
      </c>
      <c r="O1312" s="2">
        <v>4101.79</v>
      </c>
      <c r="P1312" s="2">
        <v>1322.33</v>
      </c>
      <c r="Q1312" t="s">
        <v>26</v>
      </c>
    </row>
    <row r="1313" spans="1:17" x14ac:dyDescent="0.2">
      <c r="A1313" t="s">
        <v>1478</v>
      </c>
      <c r="B1313" s="1">
        <v>45810</v>
      </c>
      <c r="C1313" t="s">
        <v>36</v>
      </c>
      <c r="D1313" t="s">
        <v>110</v>
      </c>
      <c r="E1313" t="s">
        <v>115</v>
      </c>
      <c r="F1313" t="s">
        <v>53</v>
      </c>
      <c r="G1313" t="s">
        <v>22</v>
      </c>
      <c r="H1313" t="s">
        <v>47</v>
      </c>
      <c r="I1313" t="s">
        <v>141</v>
      </c>
      <c r="J1313" t="s">
        <v>372</v>
      </c>
      <c r="K1313">
        <v>3</v>
      </c>
      <c r="L1313" s="2">
        <v>157.79</v>
      </c>
      <c r="M1313" s="3">
        <v>0.05</v>
      </c>
      <c r="N1313" s="2">
        <v>449.7</v>
      </c>
      <c r="O1313" s="2">
        <v>273.61</v>
      </c>
      <c r="P1313" s="2">
        <v>176.09</v>
      </c>
      <c r="Q1313" t="s">
        <v>57</v>
      </c>
    </row>
    <row r="1314" spans="1:17" x14ac:dyDescent="0.2">
      <c r="A1314" t="s">
        <v>1479</v>
      </c>
      <c r="B1314" s="1">
        <v>45810</v>
      </c>
      <c r="C1314" t="s">
        <v>18</v>
      </c>
      <c r="D1314" t="s">
        <v>86</v>
      </c>
      <c r="E1314" t="s">
        <v>140</v>
      </c>
      <c r="F1314" t="s">
        <v>30</v>
      </c>
      <c r="G1314" t="s">
        <v>22</v>
      </c>
      <c r="H1314" t="s">
        <v>31</v>
      </c>
      <c r="I1314" t="s">
        <v>40</v>
      </c>
      <c r="J1314" t="s">
        <v>41</v>
      </c>
      <c r="K1314">
        <v>6</v>
      </c>
      <c r="L1314" s="2">
        <v>84.76</v>
      </c>
      <c r="M1314" s="3">
        <v>0.15</v>
      </c>
      <c r="N1314" s="2">
        <v>432.28</v>
      </c>
      <c r="O1314" s="2">
        <v>297.73</v>
      </c>
      <c r="P1314" s="2">
        <v>134.55000000000001</v>
      </c>
      <c r="Q1314" t="s">
        <v>61</v>
      </c>
    </row>
    <row r="1315" spans="1:17" x14ac:dyDescent="0.2">
      <c r="A1315" t="s">
        <v>1480</v>
      </c>
      <c r="B1315" s="1">
        <v>45810</v>
      </c>
      <c r="C1315" t="s">
        <v>77</v>
      </c>
      <c r="D1315" t="s">
        <v>78</v>
      </c>
      <c r="E1315" t="s">
        <v>261</v>
      </c>
      <c r="F1315" t="s">
        <v>71</v>
      </c>
      <c r="G1315" t="s">
        <v>22</v>
      </c>
      <c r="H1315" t="s">
        <v>31</v>
      </c>
      <c r="I1315" t="s">
        <v>112</v>
      </c>
      <c r="J1315" t="s">
        <v>113</v>
      </c>
      <c r="K1315">
        <v>4</v>
      </c>
      <c r="L1315" s="2">
        <v>549.41</v>
      </c>
      <c r="M1315" s="3">
        <v>0.1</v>
      </c>
      <c r="N1315" s="2">
        <v>1977.88</v>
      </c>
      <c r="O1315" s="2">
        <v>1222.07</v>
      </c>
      <c r="P1315" s="2">
        <v>755.81</v>
      </c>
      <c r="Q1315" t="s">
        <v>57</v>
      </c>
    </row>
    <row r="1316" spans="1:17" x14ac:dyDescent="0.2">
      <c r="A1316" t="s">
        <v>1481</v>
      </c>
      <c r="B1316" s="1">
        <v>45810</v>
      </c>
      <c r="C1316" t="s">
        <v>77</v>
      </c>
      <c r="D1316" t="s">
        <v>95</v>
      </c>
      <c r="E1316" t="s">
        <v>96</v>
      </c>
      <c r="F1316" t="s">
        <v>60</v>
      </c>
      <c r="G1316" t="s">
        <v>54</v>
      </c>
      <c r="H1316" t="s">
        <v>31</v>
      </c>
      <c r="I1316" t="s">
        <v>112</v>
      </c>
      <c r="J1316" t="s">
        <v>136</v>
      </c>
      <c r="K1316">
        <v>7</v>
      </c>
      <c r="L1316" s="2">
        <v>624.82000000000005</v>
      </c>
      <c r="M1316" s="3">
        <v>0.05</v>
      </c>
      <c r="N1316" s="2">
        <v>4155.05</v>
      </c>
      <c r="O1316" s="2">
        <v>2692.89</v>
      </c>
      <c r="P1316" s="2">
        <v>1462.16</v>
      </c>
      <c r="Q1316" t="s">
        <v>57</v>
      </c>
    </row>
    <row r="1317" spans="1:17" x14ac:dyDescent="0.2">
      <c r="A1317" t="s">
        <v>1482</v>
      </c>
      <c r="B1317" s="1">
        <v>45811</v>
      </c>
      <c r="C1317" t="s">
        <v>43</v>
      </c>
      <c r="D1317" t="s">
        <v>161</v>
      </c>
      <c r="E1317" t="s">
        <v>172</v>
      </c>
      <c r="F1317" t="s">
        <v>30</v>
      </c>
      <c r="G1317" t="s">
        <v>22</v>
      </c>
      <c r="H1317" t="s">
        <v>31</v>
      </c>
      <c r="I1317" t="s">
        <v>40</v>
      </c>
      <c r="J1317" t="s">
        <v>41</v>
      </c>
      <c r="K1317">
        <v>7</v>
      </c>
      <c r="L1317" s="2">
        <v>157.13</v>
      </c>
      <c r="M1317" s="3">
        <v>0.1</v>
      </c>
      <c r="N1317" s="2">
        <v>989.92</v>
      </c>
      <c r="O1317" s="2">
        <v>747.34</v>
      </c>
      <c r="P1317" s="2">
        <v>242.58</v>
      </c>
      <c r="Q1317" t="s">
        <v>34</v>
      </c>
    </row>
    <row r="1318" spans="1:17" x14ac:dyDescent="0.2">
      <c r="A1318" t="s">
        <v>1483</v>
      </c>
      <c r="B1318" s="1">
        <v>45811</v>
      </c>
      <c r="C1318" t="s">
        <v>43</v>
      </c>
      <c r="D1318" t="s">
        <v>161</v>
      </c>
      <c r="E1318" t="s">
        <v>162</v>
      </c>
      <c r="F1318" t="s">
        <v>69</v>
      </c>
      <c r="G1318" t="s">
        <v>54</v>
      </c>
      <c r="H1318" t="s">
        <v>47</v>
      </c>
      <c r="I1318" t="s">
        <v>97</v>
      </c>
      <c r="J1318" t="s">
        <v>168</v>
      </c>
      <c r="K1318">
        <v>2</v>
      </c>
      <c r="L1318" s="2">
        <v>541.80999999999995</v>
      </c>
      <c r="M1318" s="3">
        <v>0.15</v>
      </c>
      <c r="N1318" s="2">
        <v>921.08</v>
      </c>
      <c r="O1318" s="2">
        <v>558.94000000000005</v>
      </c>
      <c r="P1318" s="2">
        <v>362.14</v>
      </c>
      <c r="Q1318" t="s">
        <v>61</v>
      </c>
    </row>
    <row r="1319" spans="1:17" x14ac:dyDescent="0.2">
      <c r="A1319" t="s">
        <v>1484</v>
      </c>
      <c r="B1319" s="1">
        <v>45811</v>
      </c>
      <c r="C1319" t="s">
        <v>43</v>
      </c>
      <c r="D1319" t="s">
        <v>44</v>
      </c>
      <c r="E1319" t="s">
        <v>45</v>
      </c>
      <c r="F1319" t="s">
        <v>69</v>
      </c>
      <c r="G1319" t="s">
        <v>75</v>
      </c>
      <c r="H1319" t="s">
        <v>23</v>
      </c>
      <c r="I1319" t="s">
        <v>79</v>
      </c>
      <c r="J1319" t="s">
        <v>80</v>
      </c>
      <c r="K1319">
        <v>10</v>
      </c>
      <c r="L1319" s="2">
        <v>318.95999999999998</v>
      </c>
      <c r="M1319" s="3">
        <v>0.05</v>
      </c>
      <c r="N1319" s="2">
        <v>3030.12</v>
      </c>
      <c r="O1319" s="2">
        <v>1900.1</v>
      </c>
      <c r="P1319" s="2">
        <v>1130.02</v>
      </c>
      <c r="Q1319" t="s">
        <v>26</v>
      </c>
    </row>
    <row r="1320" spans="1:17" x14ac:dyDescent="0.2">
      <c r="A1320" t="s">
        <v>1485</v>
      </c>
      <c r="B1320" s="1">
        <v>45811</v>
      </c>
      <c r="C1320" t="s">
        <v>18</v>
      </c>
      <c r="D1320" t="s">
        <v>28</v>
      </c>
      <c r="E1320" t="s">
        <v>170</v>
      </c>
      <c r="F1320" t="s">
        <v>138</v>
      </c>
      <c r="G1320" t="s">
        <v>54</v>
      </c>
      <c r="H1320" t="s">
        <v>31</v>
      </c>
      <c r="I1320" t="s">
        <v>112</v>
      </c>
      <c r="J1320" t="s">
        <v>176</v>
      </c>
      <c r="K1320">
        <v>6</v>
      </c>
      <c r="L1320" s="2">
        <v>271.98</v>
      </c>
      <c r="M1320" s="3">
        <v>0.05</v>
      </c>
      <c r="N1320" s="2">
        <v>1550.29</v>
      </c>
      <c r="O1320" s="2">
        <v>951.53</v>
      </c>
      <c r="P1320" s="2">
        <v>598.76</v>
      </c>
      <c r="Q1320" t="s">
        <v>26</v>
      </c>
    </row>
    <row r="1321" spans="1:17" x14ac:dyDescent="0.2">
      <c r="A1321" t="s">
        <v>1486</v>
      </c>
      <c r="B1321" s="1">
        <v>45811</v>
      </c>
      <c r="C1321" t="s">
        <v>77</v>
      </c>
      <c r="D1321" t="s">
        <v>78</v>
      </c>
      <c r="E1321" t="s">
        <v>261</v>
      </c>
      <c r="F1321" t="s">
        <v>30</v>
      </c>
      <c r="G1321" t="s">
        <v>22</v>
      </c>
      <c r="H1321" t="s">
        <v>31</v>
      </c>
      <c r="I1321" t="s">
        <v>40</v>
      </c>
      <c r="J1321" t="s">
        <v>216</v>
      </c>
      <c r="K1321">
        <v>5</v>
      </c>
      <c r="L1321" s="2">
        <v>122.33</v>
      </c>
      <c r="M1321" s="3">
        <v>0.1</v>
      </c>
      <c r="N1321" s="2">
        <v>550.48</v>
      </c>
      <c r="O1321" s="2">
        <v>414.47</v>
      </c>
      <c r="P1321" s="2">
        <v>136.01</v>
      </c>
      <c r="Q1321" t="s">
        <v>57</v>
      </c>
    </row>
    <row r="1322" spans="1:17" x14ac:dyDescent="0.2">
      <c r="A1322" t="s">
        <v>1487</v>
      </c>
      <c r="B1322" s="1">
        <v>45812</v>
      </c>
      <c r="C1322" t="s">
        <v>18</v>
      </c>
      <c r="D1322" t="s">
        <v>28</v>
      </c>
      <c r="E1322" t="s">
        <v>157</v>
      </c>
      <c r="F1322" t="s">
        <v>71</v>
      </c>
      <c r="G1322" t="s">
        <v>75</v>
      </c>
      <c r="H1322" t="s">
        <v>31</v>
      </c>
      <c r="I1322" t="s">
        <v>64</v>
      </c>
      <c r="J1322" t="s">
        <v>126</v>
      </c>
      <c r="K1322">
        <v>5</v>
      </c>
      <c r="L1322" s="2">
        <v>116.73</v>
      </c>
      <c r="M1322" s="3">
        <v>0.1</v>
      </c>
      <c r="N1322" s="2">
        <v>525.28</v>
      </c>
      <c r="O1322" s="2">
        <v>417.23</v>
      </c>
      <c r="P1322" s="2">
        <v>108.05</v>
      </c>
      <c r="Q1322" t="s">
        <v>34</v>
      </c>
    </row>
    <row r="1323" spans="1:17" x14ac:dyDescent="0.2">
      <c r="A1323" t="s">
        <v>1488</v>
      </c>
      <c r="B1323" s="1">
        <v>45812</v>
      </c>
      <c r="C1323" t="s">
        <v>43</v>
      </c>
      <c r="D1323" t="s">
        <v>161</v>
      </c>
      <c r="E1323" t="s">
        <v>418</v>
      </c>
      <c r="F1323" t="s">
        <v>39</v>
      </c>
      <c r="G1323" t="s">
        <v>75</v>
      </c>
      <c r="H1323" t="s">
        <v>23</v>
      </c>
      <c r="I1323" t="s">
        <v>83</v>
      </c>
      <c r="J1323" t="s">
        <v>120</v>
      </c>
      <c r="K1323">
        <v>3</v>
      </c>
      <c r="L1323" s="2">
        <v>31.31</v>
      </c>
      <c r="M1323" s="3">
        <v>0.1</v>
      </c>
      <c r="N1323" s="2">
        <v>84.54</v>
      </c>
      <c r="O1323" s="2">
        <v>62.98</v>
      </c>
      <c r="P1323" s="2">
        <v>21.56</v>
      </c>
      <c r="Q1323" t="s">
        <v>61</v>
      </c>
    </row>
    <row r="1324" spans="1:17" x14ac:dyDescent="0.2">
      <c r="A1324" t="s">
        <v>1489</v>
      </c>
      <c r="B1324" s="1">
        <v>45812</v>
      </c>
      <c r="C1324" t="s">
        <v>77</v>
      </c>
      <c r="D1324" t="s">
        <v>106</v>
      </c>
      <c r="E1324" t="s">
        <v>303</v>
      </c>
      <c r="F1324" t="s">
        <v>69</v>
      </c>
      <c r="G1324" t="s">
        <v>22</v>
      </c>
      <c r="H1324" t="s">
        <v>47</v>
      </c>
      <c r="I1324" t="s">
        <v>97</v>
      </c>
      <c r="J1324" t="s">
        <v>98</v>
      </c>
      <c r="K1324">
        <v>1</v>
      </c>
      <c r="L1324" s="2">
        <v>501.57</v>
      </c>
      <c r="M1324" s="3">
        <v>0</v>
      </c>
      <c r="N1324" s="2">
        <v>501.57</v>
      </c>
      <c r="O1324" s="2">
        <v>369.99</v>
      </c>
      <c r="P1324" s="2">
        <v>131.58000000000001</v>
      </c>
      <c r="Q1324" t="s">
        <v>57</v>
      </c>
    </row>
    <row r="1325" spans="1:17" x14ac:dyDescent="0.2">
      <c r="A1325" t="s">
        <v>1490</v>
      </c>
      <c r="B1325" s="1">
        <v>45812</v>
      </c>
      <c r="C1325" t="s">
        <v>18</v>
      </c>
      <c r="D1325" t="s">
        <v>133</v>
      </c>
      <c r="E1325" t="s">
        <v>197</v>
      </c>
      <c r="F1325" t="s">
        <v>30</v>
      </c>
      <c r="G1325" t="s">
        <v>75</v>
      </c>
      <c r="H1325" t="s">
        <v>31</v>
      </c>
      <c r="I1325" t="s">
        <v>64</v>
      </c>
      <c r="J1325" t="s">
        <v>252</v>
      </c>
      <c r="K1325">
        <v>2</v>
      </c>
      <c r="L1325" s="2">
        <v>39.36</v>
      </c>
      <c r="M1325" s="3">
        <v>0.1</v>
      </c>
      <c r="N1325" s="2">
        <v>70.849999999999994</v>
      </c>
      <c r="O1325" s="2">
        <v>41.51</v>
      </c>
      <c r="P1325" s="2">
        <v>29.34</v>
      </c>
      <c r="Q1325" t="s">
        <v>61</v>
      </c>
    </row>
    <row r="1326" spans="1:17" x14ac:dyDescent="0.2">
      <c r="A1326" t="s">
        <v>1491</v>
      </c>
      <c r="B1326" s="1">
        <v>45812</v>
      </c>
      <c r="C1326" t="s">
        <v>36</v>
      </c>
      <c r="D1326" t="s">
        <v>73</v>
      </c>
      <c r="E1326" t="s">
        <v>74</v>
      </c>
      <c r="F1326" t="s">
        <v>138</v>
      </c>
      <c r="G1326" t="s">
        <v>22</v>
      </c>
      <c r="H1326" t="s">
        <v>31</v>
      </c>
      <c r="I1326" t="s">
        <v>32</v>
      </c>
      <c r="J1326" t="s">
        <v>33</v>
      </c>
      <c r="K1326">
        <v>9</v>
      </c>
      <c r="L1326" s="2">
        <v>1356.51</v>
      </c>
      <c r="M1326" s="3">
        <v>0.1</v>
      </c>
      <c r="N1326" s="2">
        <v>10987.73</v>
      </c>
      <c r="O1326" s="2">
        <v>8139.11</v>
      </c>
      <c r="P1326" s="2">
        <v>2848.62</v>
      </c>
      <c r="Q1326" t="s">
        <v>34</v>
      </c>
    </row>
    <row r="1327" spans="1:17" x14ac:dyDescent="0.2">
      <c r="A1327" t="s">
        <v>1492</v>
      </c>
      <c r="B1327" s="1">
        <v>45812</v>
      </c>
      <c r="C1327" t="s">
        <v>18</v>
      </c>
      <c r="D1327" t="s">
        <v>28</v>
      </c>
      <c r="E1327" t="s">
        <v>170</v>
      </c>
      <c r="F1327" t="s">
        <v>130</v>
      </c>
      <c r="G1327" t="s">
        <v>54</v>
      </c>
      <c r="H1327" t="s">
        <v>47</v>
      </c>
      <c r="I1327" t="s">
        <v>89</v>
      </c>
      <c r="J1327" t="s">
        <v>90</v>
      </c>
      <c r="K1327">
        <v>6</v>
      </c>
      <c r="L1327" s="2">
        <v>193.81</v>
      </c>
      <c r="M1327" s="3">
        <v>0.1</v>
      </c>
      <c r="N1327" s="2">
        <v>1046.57</v>
      </c>
      <c r="O1327" s="2">
        <v>647.07000000000005</v>
      </c>
      <c r="P1327" s="2">
        <v>399.5</v>
      </c>
      <c r="Q1327" t="s">
        <v>61</v>
      </c>
    </row>
    <row r="1328" spans="1:17" x14ac:dyDescent="0.2">
      <c r="A1328" t="s">
        <v>1493</v>
      </c>
      <c r="B1328" s="1">
        <v>45812</v>
      </c>
      <c r="C1328" t="s">
        <v>18</v>
      </c>
      <c r="D1328" t="s">
        <v>86</v>
      </c>
      <c r="E1328" t="s">
        <v>92</v>
      </c>
      <c r="F1328" t="s">
        <v>69</v>
      </c>
      <c r="G1328" t="s">
        <v>22</v>
      </c>
      <c r="H1328" t="s">
        <v>23</v>
      </c>
      <c r="I1328" t="s">
        <v>79</v>
      </c>
      <c r="J1328" t="s">
        <v>80</v>
      </c>
      <c r="K1328">
        <v>10</v>
      </c>
      <c r="L1328" s="2">
        <v>230.49</v>
      </c>
      <c r="M1328" s="3">
        <v>0.1</v>
      </c>
      <c r="N1328" s="2">
        <v>2074.41</v>
      </c>
      <c r="O1328" s="2">
        <v>1347.41</v>
      </c>
      <c r="P1328" s="2">
        <v>727</v>
      </c>
      <c r="Q1328" t="s">
        <v>34</v>
      </c>
    </row>
    <row r="1329" spans="1:17" x14ac:dyDescent="0.2">
      <c r="A1329" t="s">
        <v>1494</v>
      </c>
      <c r="B1329" s="1">
        <v>45813</v>
      </c>
      <c r="C1329" t="s">
        <v>43</v>
      </c>
      <c r="D1329" t="s">
        <v>244</v>
      </c>
      <c r="E1329" t="s">
        <v>245</v>
      </c>
      <c r="F1329" t="s">
        <v>71</v>
      </c>
      <c r="G1329" t="s">
        <v>54</v>
      </c>
      <c r="H1329" t="s">
        <v>31</v>
      </c>
      <c r="I1329" t="s">
        <v>40</v>
      </c>
      <c r="J1329" t="s">
        <v>41</v>
      </c>
      <c r="K1329">
        <v>3</v>
      </c>
      <c r="L1329" s="2">
        <v>154.09</v>
      </c>
      <c r="M1329" s="3">
        <v>0.15</v>
      </c>
      <c r="N1329" s="2">
        <v>392.93</v>
      </c>
      <c r="O1329" s="2">
        <v>255.34</v>
      </c>
      <c r="P1329" s="2">
        <v>137.59</v>
      </c>
      <c r="Q1329" t="s">
        <v>34</v>
      </c>
    </row>
    <row r="1330" spans="1:17" x14ac:dyDescent="0.2">
      <c r="A1330" t="s">
        <v>1495</v>
      </c>
      <c r="B1330" s="1">
        <v>45813</v>
      </c>
      <c r="C1330" t="s">
        <v>77</v>
      </c>
      <c r="D1330" t="s">
        <v>78</v>
      </c>
      <c r="E1330" t="s">
        <v>261</v>
      </c>
      <c r="F1330" t="s">
        <v>130</v>
      </c>
      <c r="G1330" t="s">
        <v>75</v>
      </c>
      <c r="H1330" t="s">
        <v>23</v>
      </c>
      <c r="I1330" t="s">
        <v>24</v>
      </c>
      <c r="J1330" t="s">
        <v>220</v>
      </c>
      <c r="K1330">
        <v>7</v>
      </c>
      <c r="L1330" s="2">
        <v>17.239999999999998</v>
      </c>
      <c r="M1330" s="3">
        <v>0</v>
      </c>
      <c r="N1330" s="2">
        <v>120.68</v>
      </c>
      <c r="O1330" s="2">
        <v>70.739999999999995</v>
      </c>
      <c r="P1330" s="2">
        <v>49.94</v>
      </c>
      <c r="Q1330" t="s">
        <v>34</v>
      </c>
    </row>
    <row r="1331" spans="1:17" x14ac:dyDescent="0.2">
      <c r="A1331" t="s">
        <v>1496</v>
      </c>
      <c r="B1331" s="1">
        <v>45813</v>
      </c>
      <c r="C1331" t="s">
        <v>77</v>
      </c>
      <c r="D1331" t="s">
        <v>95</v>
      </c>
      <c r="E1331" t="s">
        <v>367</v>
      </c>
      <c r="F1331" t="s">
        <v>138</v>
      </c>
      <c r="G1331" t="s">
        <v>75</v>
      </c>
      <c r="H1331" t="s">
        <v>47</v>
      </c>
      <c r="I1331" t="s">
        <v>48</v>
      </c>
      <c r="J1331" t="s">
        <v>93</v>
      </c>
      <c r="K1331">
        <v>2</v>
      </c>
      <c r="L1331" s="2">
        <v>746.92</v>
      </c>
      <c r="M1331" s="3">
        <v>0</v>
      </c>
      <c r="N1331" s="2">
        <v>1493.84</v>
      </c>
      <c r="O1331" s="2">
        <v>1152.5999999999999</v>
      </c>
      <c r="P1331" s="2">
        <v>341.24</v>
      </c>
      <c r="Q1331" t="s">
        <v>34</v>
      </c>
    </row>
    <row r="1332" spans="1:17" x14ac:dyDescent="0.2">
      <c r="A1332" t="s">
        <v>1497</v>
      </c>
      <c r="B1332" s="1">
        <v>45813</v>
      </c>
      <c r="C1332" t="s">
        <v>43</v>
      </c>
      <c r="D1332" t="s">
        <v>244</v>
      </c>
      <c r="E1332" t="s">
        <v>245</v>
      </c>
      <c r="F1332" t="s">
        <v>21</v>
      </c>
      <c r="G1332" t="s">
        <v>54</v>
      </c>
      <c r="H1332" t="s">
        <v>47</v>
      </c>
      <c r="I1332" t="s">
        <v>89</v>
      </c>
      <c r="J1332" t="s">
        <v>204</v>
      </c>
      <c r="K1332">
        <v>5</v>
      </c>
      <c r="L1332" s="2">
        <v>188.64</v>
      </c>
      <c r="M1332" s="3">
        <v>0.05</v>
      </c>
      <c r="N1332" s="2">
        <v>896.04</v>
      </c>
      <c r="O1332" s="2">
        <v>731.54</v>
      </c>
      <c r="P1332" s="2">
        <v>164.5</v>
      </c>
      <c r="Q1332" t="s">
        <v>57</v>
      </c>
    </row>
    <row r="1333" spans="1:17" x14ac:dyDescent="0.2">
      <c r="A1333" t="s">
        <v>1498</v>
      </c>
      <c r="B1333" s="1">
        <v>45813</v>
      </c>
      <c r="C1333" t="s">
        <v>36</v>
      </c>
      <c r="D1333" t="s">
        <v>67</v>
      </c>
      <c r="E1333" t="s">
        <v>270</v>
      </c>
      <c r="F1333" t="s">
        <v>130</v>
      </c>
      <c r="G1333" t="s">
        <v>75</v>
      </c>
      <c r="H1333" t="s">
        <v>31</v>
      </c>
      <c r="I1333" t="s">
        <v>32</v>
      </c>
      <c r="J1333" t="s">
        <v>33</v>
      </c>
      <c r="K1333">
        <v>7</v>
      </c>
      <c r="L1333" s="2">
        <v>1427.52</v>
      </c>
      <c r="M1333" s="3">
        <v>0.1</v>
      </c>
      <c r="N1333" s="2">
        <v>8993.3799999999992</v>
      </c>
      <c r="O1333" s="2">
        <v>5474.01</v>
      </c>
      <c r="P1333" s="2">
        <v>3519.37</v>
      </c>
      <c r="Q1333" t="s">
        <v>57</v>
      </c>
    </row>
    <row r="1334" spans="1:17" x14ac:dyDescent="0.2">
      <c r="A1334" t="s">
        <v>1499</v>
      </c>
      <c r="B1334" s="1">
        <v>45813</v>
      </c>
      <c r="C1334" t="s">
        <v>36</v>
      </c>
      <c r="D1334" t="s">
        <v>67</v>
      </c>
      <c r="E1334" t="s">
        <v>68</v>
      </c>
      <c r="F1334" t="s">
        <v>60</v>
      </c>
      <c r="G1334" t="s">
        <v>22</v>
      </c>
      <c r="H1334" t="s">
        <v>47</v>
      </c>
      <c r="I1334" t="s">
        <v>89</v>
      </c>
      <c r="J1334" t="s">
        <v>240</v>
      </c>
      <c r="K1334">
        <v>6</v>
      </c>
      <c r="L1334" s="2">
        <v>487.96</v>
      </c>
      <c r="M1334" s="3">
        <v>0</v>
      </c>
      <c r="N1334" s="2">
        <v>2927.76</v>
      </c>
      <c r="O1334" s="2">
        <v>1899.74</v>
      </c>
      <c r="P1334" s="2">
        <v>1028.02</v>
      </c>
      <c r="Q1334" t="s">
        <v>34</v>
      </c>
    </row>
    <row r="1335" spans="1:17" x14ac:dyDescent="0.2">
      <c r="A1335" t="s">
        <v>1500</v>
      </c>
      <c r="B1335" s="1">
        <v>45813</v>
      </c>
      <c r="C1335" t="s">
        <v>18</v>
      </c>
      <c r="D1335" t="s">
        <v>28</v>
      </c>
      <c r="E1335" t="s">
        <v>170</v>
      </c>
      <c r="F1335" t="s">
        <v>69</v>
      </c>
      <c r="G1335" t="s">
        <v>75</v>
      </c>
      <c r="H1335" t="s">
        <v>31</v>
      </c>
      <c r="I1335" t="s">
        <v>32</v>
      </c>
      <c r="J1335" t="s">
        <v>104</v>
      </c>
      <c r="K1335">
        <v>4</v>
      </c>
      <c r="L1335" s="2">
        <v>649.45000000000005</v>
      </c>
      <c r="M1335" s="3">
        <v>0.05</v>
      </c>
      <c r="N1335" s="2">
        <v>2467.91</v>
      </c>
      <c r="O1335" s="2">
        <v>1936.87</v>
      </c>
      <c r="P1335" s="2">
        <v>531.04</v>
      </c>
      <c r="Q1335" t="s">
        <v>26</v>
      </c>
    </row>
    <row r="1336" spans="1:17" x14ac:dyDescent="0.2">
      <c r="A1336" t="s">
        <v>1501</v>
      </c>
      <c r="B1336" s="1">
        <v>45813</v>
      </c>
      <c r="C1336" t="s">
        <v>43</v>
      </c>
      <c r="D1336" t="s">
        <v>208</v>
      </c>
      <c r="E1336" t="s">
        <v>230</v>
      </c>
      <c r="F1336" t="s">
        <v>46</v>
      </c>
      <c r="G1336" t="s">
        <v>54</v>
      </c>
      <c r="H1336" t="s">
        <v>47</v>
      </c>
      <c r="I1336" t="s">
        <v>141</v>
      </c>
      <c r="J1336" t="s">
        <v>201</v>
      </c>
      <c r="K1336">
        <v>7</v>
      </c>
      <c r="L1336" s="2">
        <v>424.82</v>
      </c>
      <c r="M1336" s="3">
        <v>0</v>
      </c>
      <c r="N1336" s="2">
        <v>2973.74</v>
      </c>
      <c r="O1336" s="2">
        <v>1739.87</v>
      </c>
      <c r="P1336" s="2">
        <v>1233.8699999999999</v>
      </c>
      <c r="Q1336" t="s">
        <v>57</v>
      </c>
    </row>
    <row r="1337" spans="1:17" x14ac:dyDescent="0.2">
      <c r="A1337" t="s">
        <v>1502</v>
      </c>
      <c r="B1337" s="1">
        <v>45814</v>
      </c>
      <c r="C1337" t="s">
        <v>77</v>
      </c>
      <c r="D1337" t="s">
        <v>95</v>
      </c>
      <c r="E1337" t="s">
        <v>96</v>
      </c>
      <c r="F1337" t="s">
        <v>138</v>
      </c>
      <c r="G1337" t="s">
        <v>22</v>
      </c>
      <c r="H1337" t="s">
        <v>23</v>
      </c>
      <c r="I1337" t="s">
        <v>79</v>
      </c>
      <c r="J1337" t="s">
        <v>80</v>
      </c>
      <c r="K1337">
        <v>8</v>
      </c>
      <c r="L1337" s="2">
        <v>587.51</v>
      </c>
      <c r="M1337" s="3">
        <v>0.05</v>
      </c>
      <c r="N1337" s="2">
        <v>4465.08</v>
      </c>
      <c r="O1337" s="2">
        <v>3518.34</v>
      </c>
      <c r="P1337" s="2">
        <v>946.74</v>
      </c>
      <c r="Q1337" t="s">
        <v>57</v>
      </c>
    </row>
    <row r="1338" spans="1:17" x14ac:dyDescent="0.2">
      <c r="A1338" t="s">
        <v>1503</v>
      </c>
      <c r="B1338" s="1">
        <v>45814</v>
      </c>
      <c r="C1338" t="s">
        <v>43</v>
      </c>
      <c r="D1338" t="s">
        <v>244</v>
      </c>
      <c r="E1338" t="s">
        <v>245</v>
      </c>
      <c r="F1338" t="s">
        <v>39</v>
      </c>
      <c r="G1338" t="s">
        <v>22</v>
      </c>
      <c r="H1338" t="s">
        <v>47</v>
      </c>
      <c r="I1338" t="s">
        <v>97</v>
      </c>
      <c r="J1338" t="s">
        <v>116</v>
      </c>
      <c r="K1338">
        <v>5</v>
      </c>
      <c r="L1338" s="2">
        <v>201.39</v>
      </c>
      <c r="M1338" s="3">
        <v>0.05</v>
      </c>
      <c r="N1338" s="2">
        <v>956.6</v>
      </c>
      <c r="O1338" s="2">
        <v>732.88</v>
      </c>
      <c r="P1338" s="2">
        <v>223.72</v>
      </c>
      <c r="Q1338" t="s">
        <v>34</v>
      </c>
    </row>
    <row r="1339" spans="1:17" x14ac:dyDescent="0.2">
      <c r="A1339" t="s">
        <v>1504</v>
      </c>
      <c r="B1339" s="1">
        <v>45814</v>
      </c>
      <c r="C1339" t="s">
        <v>18</v>
      </c>
      <c r="D1339" t="s">
        <v>28</v>
      </c>
      <c r="E1339" t="s">
        <v>29</v>
      </c>
      <c r="F1339" t="s">
        <v>39</v>
      </c>
      <c r="G1339" t="s">
        <v>22</v>
      </c>
      <c r="H1339" t="s">
        <v>31</v>
      </c>
      <c r="I1339" t="s">
        <v>32</v>
      </c>
      <c r="J1339" t="s">
        <v>258</v>
      </c>
      <c r="K1339">
        <v>5</v>
      </c>
      <c r="L1339" s="2">
        <v>790.61</v>
      </c>
      <c r="M1339" s="3">
        <v>0.15</v>
      </c>
      <c r="N1339" s="2">
        <v>3360.09</v>
      </c>
      <c r="O1339" s="2">
        <v>2298.71</v>
      </c>
      <c r="P1339" s="2">
        <v>1061.3800000000001</v>
      </c>
      <c r="Q1339" t="s">
        <v>26</v>
      </c>
    </row>
    <row r="1340" spans="1:17" x14ac:dyDescent="0.2">
      <c r="A1340" t="s">
        <v>1505</v>
      </c>
      <c r="B1340" s="1">
        <v>45814</v>
      </c>
      <c r="C1340" t="s">
        <v>43</v>
      </c>
      <c r="D1340" t="s">
        <v>208</v>
      </c>
      <c r="E1340" t="s">
        <v>209</v>
      </c>
      <c r="F1340" t="s">
        <v>39</v>
      </c>
      <c r="G1340" t="s">
        <v>75</v>
      </c>
      <c r="H1340" t="s">
        <v>31</v>
      </c>
      <c r="I1340" t="s">
        <v>32</v>
      </c>
      <c r="J1340" t="s">
        <v>104</v>
      </c>
      <c r="K1340">
        <v>10</v>
      </c>
      <c r="L1340" s="2">
        <v>653.80999999999995</v>
      </c>
      <c r="M1340" s="3">
        <v>0.2</v>
      </c>
      <c r="N1340" s="2">
        <v>5230.4799999999996</v>
      </c>
      <c r="O1340" s="2">
        <v>3470.79</v>
      </c>
      <c r="P1340" s="2">
        <v>1759.69</v>
      </c>
      <c r="Q1340" t="s">
        <v>57</v>
      </c>
    </row>
    <row r="1341" spans="1:17" x14ac:dyDescent="0.2">
      <c r="A1341" t="s">
        <v>1506</v>
      </c>
      <c r="B1341" s="1">
        <v>45814</v>
      </c>
      <c r="C1341" t="s">
        <v>36</v>
      </c>
      <c r="D1341" t="s">
        <v>73</v>
      </c>
      <c r="E1341" t="s">
        <v>212</v>
      </c>
      <c r="F1341" t="s">
        <v>130</v>
      </c>
      <c r="G1341" t="s">
        <v>75</v>
      </c>
      <c r="H1341" t="s">
        <v>47</v>
      </c>
      <c r="I1341" t="s">
        <v>89</v>
      </c>
      <c r="J1341" t="s">
        <v>240</v>
      </c>
      <c r="K1341">
        <v>5</v>
      </c>
      <c r="L1341" s="2">
        <v>148.62</v>
      </c>
      <c r="M1341" s="3">
        <v>0</v>
      </c>
      <c r="N1341" s="2">
        <v>743.1</v>
      </c>
      <c r="O1341" s="2">
        <v>543.26</v>
      </c>
      <c r="P1341" s="2">
        <v>199.84</v>
      </c>
      <c r="Q1341" t="s">
        <v>34</v>
      </c>
    </row>
    <row r="1342" spans="1:17" x14ac:dyDescent="0.2">
      <c r="A1342" t="s">
        <v>1507</v>
      </c>
      <c r="B1342" s="1">
        <v>45814</v>
      </c>
      <c r="C1342" t="s">
        <v>18</v>
      </c>
      <c r="D1342" t="s">
        <v>152</v>
      </c>
      <c r="E1342" t="s">
        <v>185</v>
      </c>
      <c r="F1342" t="s">
        <v>46</v>
      </c>
      <c r="G1342" t="s">
        <v>54</v>
      </c>
      <c r="H1342" t="s">
        <v>31</v>
      </c>
      <c r="I1342" t="s">
        <v>112</v>
      </c>
      <c r="J1342" t="s">
        <v>113</v>
      </c>
      <c r="K1342">
        <v>4</v>
      </c>
      <c r="L1342" s="2">
        <v>521.66</v>
      </c>
      <c r="M1342" s="3">
        <v>0.05</v>
      </c>
      <c r="N1342" s="2">
        <v>1982.31</v>
      </c>
      <c r="O1342" s="2">
        <v>1447.84</v>
      </c>
      <c r="P1342" s="2">
        <v>534.47</v>
      </c>
      <c r="Q1342" t="s">
        <v>57</v>
      </c>
    </row>
    <row r="1343" spans="1:17" x14ac:dyDescent="0.2">
      <c r="A1343" t="s">
        <v>1508</v>
      </c>
      <c r="B1343" s="1">
        <v>45814</v>
      </c>
      <c r="C1343" t="s">
        <v>18</v>
      </c>
      <c r="D1343" t="s">
        <v>19</v>
      </c>
      <c r="E1343" t="s">
        <v>118</v>
      </c>
      <c r="F1343" t="s">
        <v>46</v>
      </c>
      <c r="G1343" t="s">
        <v>22</v>
      </c>
      <c r="H1343" t="s">
        <v>47</v>
      </c>
      <c r="I1343" t="s">
        <v>97</v>
      </c>
      <c r="J1343" t="s">
        <v>168</v>
      </c>
      <c r="K1343">
        <v>6</v>
      </c>
      <c r="L1343" s="2">
        <v>653.39</v>
      </c>
      <c r="M1343" s="3">
        <v>0.15</v>
      </c>
      <c r="N1343" s="2">
        <v>3332.29</v>
      </c>
      <c r="O1343" s="2">
        <v>2591.96</v>
      </c>
      <c r="P1343" s="2">
        <v>740.33</v>
      </c>
      <c r="Q1343" t="s">
        <v>57</v>
      </c>
    </row>
    <row r="1344" spans="1:17" x14ac:dyDescent="0.2">
      <c r="A1344" t="s">
        <v>1509</v>
      </c>
      <c r="B1344" s="1">
        <v>45814</v>
      </c>
      <c r="C1344" t="s">
        <v>43</v>
      </c>
      <c r="D1344" t="s">
        <v>44</v>
      </c>
      <c r="E1344" t="s">
        <v>82</v>
      </c>
      <c r="F1344" t="s">
        <v>39</v>
      </c>
      <c r="G1344" t="s">
        <v>22</v>
      </c>
      <c r="H1344" t="s">
        <v>31</v>
      </c>
      <c r="I1344" t="s">
        <v>32</v>
      </c>
      <c r="J1344" t="s">
        <v>104</v>
      </c>
      <c r="K1344">
        <v>8</v>
      </c>
      <c r="L1344" s="2">
        <v>1499.96</v>
      </c>
      <c r="M1344" s="3">
        <v>0</v>
      </c>
      <c r="N1344" s="2">
        <v>11999.68</v>
      </c>
      <c r="O1344" s="2">
        <v>9680.34</v>
      </c>
      <c r="P1344" s="2">
        <v>2319.34</v>
      </c>
      <c r="Q1344" t="s">
        <v>61</v>
      </c>
    </row>
    <row r="1345" spans="1:17" x14ac:dyDescent="0.2">
      <c r="A1345" t="s">
        <v>1510</v>
      </c>
      <c r="B1345" s="1">
        <v>45814</v>
      </c>
      <c r="C1345" t="s">
        <v>43</v>
      </c>
      <c r="D1345" t="s">
        <v>44</v>
      </c>
      <c r="E1345" t="s">
        <v>45</v>
      </c>
      <c r="F1345" t="s">
        <v>138</v>
      </c>
      <c r="G1345" t="s">
        <v>75</v>
      </c>
      <c r="H1345" t="s">
        <v>23</v>
      </c>
      <c r="I1345" t="s">
        <v>83</v>
      </c>
      <c r="J1345" t="s">
        <v>120</v>
      </c>
      <c r="K1345">
        <v>2</v>
      </c>
      <c r="L1345" s="2">
        <v>17.34</v>
      </c>
      <c r="M1345" s="3">
        <v>0.1</v>
      </c>
      <c r="N1345" s="2">
        <v>31.21</v>
      </c>
      <c r="O1345" s="2">
        <v>20.64</v>
      </c>
      <c r="P1345" s="2">
        <v>10.57</v>
      </c>
      <c r="Q1345" t="s">
        <v>57</v>
      </c>
    </row>
    <row r="1346" spans="1:17" x14ac:dyDescent="0.2">
      <c r="A1346" t="s">
        <v>1511</v>
      </c>
      <c r="B1346" s="1">
        <v>45814</v>
      </c>
      <c r="C1346" t="s">
        <v>77</v>
      </c>
      <c r="D1346" t="s">
        <v>149</v>
      </c>
      <c r="E1346" t="s">
        <v>309</v>
      </c>
      <c r="F1346" t="s">
        <v>69</v>
      </c>
      <c r="G1346" t="s">
        <v>75</v>
      </c>
      <c r="H1346" t="s">
        <v>47</v>
      </c>
      <c r="I1346" t="s">
        <v>89</v>
      </c>
      <c r="J1346" t="s">
        <v>204</v>
      </c>
      <c r="K1346">
        <v>1</v>
      </c>
      <c r="L1346" s="2">
        <v>214.59</v>
      </c>
      <c r="M1346" s="3">
        <v>0.05</v>
      </c>
      <c r="N1346" s="2">
        <v>203.86</v>
      </c>
      <c r="O1346" s="2">
        <v>164.03</v>
      </c>
      <c r="P1346" s="2">
        <v>39.83</v>
      </c>
      <c r="Q1346" t="s">
        <v>61</v>
      </c>
    </row>
    <row r="1347" spans="1:17" x14ac:dyDescent="0.2">
      <c r="A1347" t="s">
        <v>1512</v>
      </c>
      <c r="B1347" s="1">
        <v>45815</v>
      </c>
      <c r="C1347" t="s">
        <v>36</v>
      </c>
      <c r="D1347" t="s">
        <v>144</v>
      </c>
      <c r="E1347" t="s">
        <v>145</v>
      </c>
      <c r="F1347" t="s">
        <v>138</v>
      </c>
      <c r="G1347" t="s">
        <v>75</v>
      </c>
      <c r="H1347" t="s">
        <v>23</v>
      </c>
      <c r="I1347" t="s">
        <v>83</v>
      </c>
      <c r="J1347" t="s">
        <v>120</v>
      </c>
      <c r="K1347">
        <v>1</v>
      </c>
      <c r="L1347" s="2">
        <v>29.31</v>
      </c>
      <c r="M1347" s="3">
        <v>0</v>
      </c>
      <c r="N1347" s="2">
        <v>29.31</v>
      </c>
      <c r="O1347" s="2">
        <v>18.95</v>
      </c>
      <c r="P1347" s="2">
        <v>10.36</v>
      </c>
      <c r="Q1347" t="s">
        <v>61</v>
      </c>
    </row>
    <row r="1348" spans="1:17" x14ac:dyDescent="0.2">
      <c r="A1348" t="s">
        <v>1513</v>
      </c>
      <c r="B1348" s="1">
        <v>45815</v>
      </c>
      <c r="C1348" t="s">
        <v>36</v>
      </c>
      <c r="D1348" t="s">
        <v>67</v>
      </c>
      <c r="E1348" t="s">
        <v>323</v>
      </c>
      <c r="F1348" t="s">
        <v>46</v>
      </c>
      <c r="G1348" t="s">
        <v>54</v>
      </c>
      <c r="H1348" t="s">
        <v>23</v>
      </c>
      <c r="I1348" t="s">
        <v>79</v>
      </c>
      <c r="J1348" t="s">
        <v>179</v>
      </c>
      <c r="K1348">
        <v>7</v>
      </c>
      <c r="L1348" s="2">
        <v>185.19</v>
      </c>
      <c r="M1348" s="3">
        <v>0.2</v>
      </c>
      <c r="N1348" s="2">
        <v>1037.06</v>
      </c>
      <c r="O1348" s="2">
        <v>636.46</v>
      </c>
      <c r="P1348" s="2">
        <v>400.6</v>
      </c>
      <c r="Q1348" t="s">
        <v>26</v>
      </c>
    </row>
    <row r="1349" spans="1:17" x14ac:dyDescent="0.2">
      <c r="A1349" t="s">
        <v>1514</v>
      </c>
      <c r="B1349" s="1">
        <v>45815</v>
      </c>
      <c r="C1349" t="s">
        <v>77</v>
      </c>
      <c r="D1349" t="s">
        <v>128</v>
      </c>
      <c r="E1349" t="s">
        <v>159</v>
      </c>
      <c r="F1349" t="s">
        <v>53</v>
      </c>
      <c r="G1349" t="s">
        <v>54</v>
      </c>
      <c r="H1349" t="s">
        <v>47</v>
      </c>
      <c r="I1349" t="s">
        <v>48</v>
      </c>
      <c r="J1349" t="s">
        <v>93</v>
      </c>
      <c r="K1349">
        <v>7</v>
      </c>
      <c r="L1349" s="2">
        <v>255.55</v>
      </c>
      <c r="M1349" s="3">
        <v>0.1</v>
      </c>
      <c r="N1349" s="2">
        <v>1609.96</v>
      </c>
      <c r="O1349" s="2">
        <v>1071.82</v>
      </c>
      <c r="P1349" s="2">
        <v>538.14</v>
      </c>
      <c r="Q1349" t="s">
        <v>26</v>
      </c>
    </row>
    <row r="1350" spans="1:17" x14ac:dyDescent="0.2">
      <c r="A1350" t="s">
        <v>1515</v>
      </c>
      <c r="B1350" s="1">
        <v>45816</v>
      </c>
      <c r="C1350" t="s">
        <v>43</v>
      </c>
      <c r="D1350" t="s">
        <v>244</v>
      </c>
      <c r="E1350" t="s">
        <v>326</v>
      </c>
      <c r="F1350" t="s">
        <v>46</v>
      </c>
      <c r="G1350" t="s">
        <v>54</v>
      </c>
      <c r="H1350" t="s">
        <v>23</v>
      </c>
      <c r="I1350" t="s">
        <v>24</v>
      </c>
      <c r="J1350" t="s">
        <v>108</v>
      </c>
      <c r="K1350">
        <v>4</v>
      </c>
      <c r="L1350" s="2">
        <v>20.420000000000002</v>
      </c>
      <c r="M1350" s="3">
        <v>0.05</v>
      </c>
      <c r="N1350" s="2">
        <v>77.599999999999994</v>
      </c>
      <c r="O1350" s="2">
        <v>43.39</v>
      </c>
      <c r="P1350" s="2">
        <v>34.21</v>
      </c>
      <c r="Q1350" t="s">
        <v>57</v>
      </c>
    </row>
    <row r="1351" spans="1:17" x14ac:dyDescent="0.2">
      <c r="A1351" t="s">
        <v>1516</v>
      </c>
      <c r="B1351" s="1">
        <v>45816</v>
      </c>
      <c r="C1351" t="s">
        <v>43</v>
      </c>
      <c r="D1351" t="s">
        <v>44</v>
      </c>
      <c r="E1351" t="s">
        <v>45</v>
      </c>
      <c r="F1351" t="s">
        <v>71</v>
      </c>
      <c r="G1351" t="s">
        <v>75</v>
      </c>
      <c r="H1351" t="s">
        <v>47</v>
      </c>
      <c r="I1351" t="s">
        <v>141</v>
      </c>
      <c r="J1351" t="s">
        <v>201</v>
      </c>
      <c r="K1351">
        <v>2</v>
      </c>
      <c r="L1351" s="2">
        <v>614</v>
      </c>
      <c r="M1351" s="3">
        <v>0.15</v>
      </c>
      <c r="N1351" s="2">
        <v>1043.8</v>
      </c>
      <c r="O1351" s="2">
        <v>709.28</v>
      </c>
      <c r="P1351" s="2">
        <v>334.52</v>
      </c>
      <c r="Q1351" t="s">
        <v>26</v>
      </c>
    </row>
    <row r="1352" spans="1:17" x14ac:dyDescent="0.2">
      <c r="A1352" t="s">
        <v>1517</v>
      </c>
      <c r="B1352" s="1">
        <v>45816</v>
      </c>
      <c r="C1352" t="s">
        <v>18</v>
      </c>
      <c r="D1352" t="s">
        <v>133</v>
      </c>
      <c r="E1352" t="s">
        <v>197</v>
      </c>
      <c r="F1352" t="s">
        <v>71</v>
      </c>
      <c r="G1352" t="s">
        <v>22</v>
      </c>
      <c r="H1352" t="s">
        <v>31</v>
      </c>
      <c r="I1352" t="s">
        <v>112</v>
      </c>
      <c r="J1352" t="s">
        <v>136</v>
      </c>
      <c r="K1352">
        <v>5</v>
      </c>
      <c r="L1352" s="2">
        <v>384.24</v>
      </c>
      <c r="M1352" s="3">
        <v>0.1</v>
      </c>
      <c r="N1352" s="2">
        <v>1729.08</v>
      </c>
      <c r="O1352" s="2">
        <v>1358.63</v>
      </c>
      <c r="P1352" s="2">
        <v>370.45</v>
      </c>
      <c r="Q1352" t="s">
        <v>26</v>
      </c>
    </row>
    <row r="1353" spans="1:17" x14ac:dyDescent="0.2">
      <c r="A1353" t="s">
        <v>1518</v>
      </c>
      <c r="B1353" s="1">
        <v>45816</v>
      </c>
      <c r="C1353" t="s">
        <v>43</v>
      </c>
      <c r="D1353" t="s">
        <v>208</v>
      </c>
      <c r="E1353" t="s">
        <v>230</v>
      </c>
      <c r="F1353" t="s">
        <v>30</v>
      </c>
      <c r="G1353" t="s">
        <v>75</v>
      </c>
      <c r="H1353" t="s">
        <v>31</v>
      </c>
      <c r="I1353" t="s">
        <v>32</v>
      </c>
      <c r="J1353" t="s">
        <v>258</v>
      </c>
      <c r="K1353">
        <v>2</v>
      </c>
      <c r="L1353" s="2">
        <v>611.91</v>
      </c>
      <c r="M1353" s="3">
        <v>0.1</v>
      </c>
      <c r="N1353" s="2">
        <v>1101.44</v>
      </c>
      <c r="O1353" s="2">
        <v>896.3</v>
      </c>
      <c r="P1353" s="2">
        <v>205.14</v>
      </c>
      <c r="Q1353" t="s">
        <v>57</v>
      </c>
    </row>
    <row r="1354" spans="1:17" x14ac:dyDescent="0.2">
      <c r="A1354" t="s">
        <v>1519</v>
      </c>
      <c r="B1354" s="1">
        <v>45816</v>
      </c>
      <c r="C1354" t="s">
        <v>18</v>
      </c>
      <c r="D1354" t="s">
        <v>152</v>
      </c>
      <c r="E1354" t="s">
        <v>185</v>
      </c>
      <c r="F1354" t="s">
        <v>39</v>
      </c>
      <c r="G1354" t="s">
        <v>22</v>
      </c>
      <c r="H1354" t="s">
        <v>31</v>
      </c>
      <c r="I1354" t="s">
        <v>112</v>
      </c>
      <c r="J1354" t="s">
        <v>136</v>
      </c>
      <c r="K1354">
        <v>8</v>
      </c>
      <c r="L1354" s="2">
        <v>402.35</v>
      </c>
      <c r="M1354" s="3">
        <v>0.05</v>
      </c>
      <c r="N1354" s="2">
        <v>3057.86</v>
      </c>
      <c r="O1354" s="2">
        <v>1754.48</v>
      </c>
      <c r="P1354" s="2">
        <v>1303.3800000000001</v>
      </c>
      <c r="Q1354" t="s">
        <v>34</v>
      </c>
    </row>
    <row r="1355" spans="1:17" x14ac:dyDescent="0.2">
      <c r="A1355" t="s">
        <v>1520</v>
      </c>
      <c r="B1355" s="1">
        <v>45816</v>
      </c>
      <c r="C1355" t="s">
        <v>18</v>
      </c>
      <c r="D1355" t="s">
        <v>152</v>
      </c>
      <c r="E1355" t="s">
        <v>166</v>
      </c>
      <c r="F1355" t="s">
        <v>130</v>
      </c>
      <c r="G1355" t="s">
        <v>75</v>
      </c>
      <c r="H1355" t="s">
        <v>47</v>
      </c>
      <c r="I1355" t="s">
        <v>141</v>
      </c>
      <c r="J1355" t="s">
        <v>142</v>
      </c>
      <c r="K1355">
        <v>5</v>
      </c>
      <c r="L1355" s="2">
        <v>650.86</v>
      </c>
      <c r="M1355" s="3">
        <v>0.05</v>
      </c>
      <c r="N1355" s="2">
        <v>3091.58</v>
      </c>
      <c r="O1355" s="2">
        <v>2231.04</v>
      </c>
      <c r="P1355" s="2">
        <v>860.54</v>
      </c>
      <c r="Q1355" t="s">
        <v>34</v>
      </c>
    </row>
    <row r="1356" spans="1:17" x14ac:dyDescent="0.2">
      <c r="A1356" t="s">
        <v>1521</v>
      </c>
      <c r="B1356" s="1">
        <v>45816</v>
      </c>
      <c r="C1356" t="s">
        <v>18</v>
      </c>
      <c r="D1356" t="s">
        <v>19</v>
      </c>
      <c r="E1356" t="s">
        <v>118</v>
      </c>
      <c r="F1356" t="s">
        <v>30</v>
      </c>
      <c r="G1356" t="s">
        <v>22</v>
      </c>
      <c r="H1356" t="s">
        <v>47</v>
      </c>
      <c r="I1356" t="s">
        <v>141</v>
      </c>
      <c r="J1356" t="s">
        <v>201</v>
      </c>
      <c r="K1356">
        <v>2</v>
      </c>
      <c r="L1356" s="2">
        <v>170.52</v>
      </c>
      <c r="M1356" s="3">
        <v>0.1</v>
      </c>
      <c r="N1356" s="2">
        <v>306.94</v>
      </c>
      <c r="O1356" s="2">
        <v>169.34</v>
      </c>
      <c r="P1356" s="2">
        <v>137.6</v>
      </c>
      <c r="Q1356" t="s">
        <v>34</v>
      </c>
    </row>
    <row r="1357" spans="1:17" x14ac:dyDescent="0.2">
      <c r="A1357" t="s">
        <v>1522</v>
      </c>
      <c r="B1357" s="1">
        <v>45816</v>
      </c>
      <c r="C1357" t="s">
        <v>77</v>
      </c>
      <c r="D1357" t="s">
        <v>106</v>
      </c>
      <c r="E1357" t="s">
        <v>236</v>
      </c>
      <c r="F1357" t="s">
        <v>71</v>
      </c>
      <c r="G1357" t="s">
        <v>54</v>
      </c>
      <c r="H1357" t="s">
        <v>31</v>
      </c>
      <c r="I1357" t="s">
        <v>112</v>
      </c>
      <c r="J1357" t="s">
        <v>176</v>
      </c>
      <c r="K1357">
        <v>2</v>
      </c>
      <c r="L1357" s="2">
        <v>406.04</v>
      </c>
      <c r="M1357" s="3">
        <v>0</v>
      </c>
      <c r="N1357" s="2">
        <v>812.08</v>
      </c>
      <c r="O1357" s="2">
        <v>457.53</v>
      </c>
      <c r="P1357" s="2">
        <v>354.55</v>
      </c>
      <c r="Q1357" t="s">
        <v>57</v>
      </c>
    </row>
    <row r="1358" spans="1:17" x14ac:dyDescent="0.2">
      <c r="A1358" t="s">
        <v>1523</v>
      </c>
      <c r="B1358" s="1">
        <v>45816</v>
      </c>
      <c r="C1358" t="s">
        <v>43</v>
      </c>
      <c r="D1358" t="s">
        <v>44</v>
      </c>
      <c r="E1358" t="s">
        <v>82</v>
      </c>
      <c r="F1358" t="s">
        <v>69</v>
      </c>
      <c r="G1358" t="s">
        <v>22</v>
      </c>
      <c r="H1358" t="s">
        <v>23</v>
      </c>
      <c r="I1358" t="s">
        <v>24</v>
      </c>
      <c r="J1358" t="s">
        <v>108</v>
      </c>
      <c r="K1358">
        <v>6</v>
      </c>
      <c r="L1358" s="2">
        <v>28.02</v>
      </c>
      <c r="M1358" s="3">
        <v>0.1</v>
      </c>
      <c r="N1358" s="2">
        <v>151.31</v>
      </c>
      <c r="O1358" s="2">
        <v>92.79</v>
      </c>
      <c r="P1358" s="2">
        <v>58.52</v>
      </c>
      <c r="Q1358" t="s">
        <v>57</v>
      </c>
    </row>
    <row r="1359" spans="1:17" x14ac:dyDescent="0.2">
      <c r="A1359" t="s">
        <v>1524</v>
      </c>
      <c r="B1359" s="1">
        <v>45816</v>
      </c>
      <c r="C1359" t="s">
        <v>43</v>
      </c>
      <c r="D1359" t="s">
        <v>44</v>
      </c>
      <c r="E1359" t="s">
        <v>45</v>
      </c>
      <c r="F1359" t="s">
        <v>130</v>
      </c>
      <c r="G1359" t="s">
        <v>22</v>
      </c>
      <c r="H1359" t="s">
        <v>23</v>
      </c>
      <c r="I1359" t="s">
        <v>55</v>
      </c>
      <c r="J1359" t="s">
        <v>173</v>
      </c>
      <c r="K1359">
        <v>2</v>
      </c>
      <c r="L1359" s="2">
        <v>23.29</v>
      </c>
      <c r="M1359" s="3">
        <v>0.15</v>
      </c>
      <c r="N1359" s="2">
        <v>39.590000000000003</v>
      </c>
      <c r="O1359" s="2">
        <v>23.81</v>
      </c>
      <c r="P1359" s="2">
        <v>15.78</v>
      </c>
      <c r="Q1359" t="s">
        <v>61</v>
      </c>
    </row>
    <row r="1360" spans="1:17" x14ac:dyDescent="0.2">
      <c r="A1360" t="s">
        <v>1525</v>
      </c>
      <c r="B1360" s="1">
        <v>45816</v>
      </c>
      <c r="C1360" t="s">
        <v>18</v>
      </c>
      <c r="D1360" t="s">
        <v>28</v>
      </c>
      <c r="E1360" t="s">
        <v>170</v>
      </c>
      <c r="F1360" t="s">
        <v>39</v>
      </c>
      <c r="G1360" t="s">
        <v>75</v>
      </c>
      <c r="H1360" t="s">
        <v>31</v>
      </c>
      <c r="I1360" t="s">
        <v>40</v>
      </c>
      <c r="J1360" t="s">
        <v>122</v>
      </c>
      <c r="K1360">
        <v>2</v>
      </c>
      <c r="L1360" s="2">
        <v>130</v>
      </c>
      <c r="M1360" s="3">
        <v>0.2</v>
      </c>
      <c r="N1360" s="2">
        <v>208</v>
      </c>
      <c r="O1360" s="2">
        <v>162.38</v>
      </c>
      <c r="P1360" s="2">
        <v>45.62</v>
      </c>
      <c r="Q1360" t="s">
        <v>57</v>
      </c>
    </row>
    <row r="1361" spans="1:17" x14ac:dyDescent="0.2">
      <c r="A1361" t="s">
        <v>1526</v>
      </c>
      <c r="B1361" s="1">
        <v>45816</v>
      </c>
      <c r="C1361" t="s">
        <v>77</v>
      </c>
      <c r="D1361" t="s">
        <v>95</v>
      </c>
      <c r="E1361" t="s">
        <v>96</v>
      </c>
      <c r="F1361" t="s">
        <v>69</v>
      </c>
      <c r="G1361" t="s">
        <v>22</v>
      </c>
      <c r="H1361" t="s">
        <v>31</v>
      </c>
      <c r="I1361" t="s">
        <v>112</v>
      </c>
      <c r="J1361" t="s">
        <v>113</v>
      </c>
      <c r="K1361">
        <v>10</v>
      </c>
      <c r="L1361" s="2">
        <v>560.28</v>
      </c>
      <c r="M1361" s="3">
        <v>0</v>
      </c>
      <c r="N1361" s="2">
        <v>5602.8</v>
      </c>
      <c r="O1361" s="2">
        <v>3304.25</v>
      </c>
      <c r="P1361" s="2">
        <v>2298.5500000000002</v>
      </c>
      <c r="Q1361" t="s">
        <v>57</v>
      </c>
    </row>
    <row r="1362" spans="1:17" x14ac:dyDescent="0.2">
      <c r="A1362" t="s">
        <v>1527</v>
      </c>
      <c r="B1362" s="1">
        <v>45816</v>
      </c>
      <c r="C1362" t="s">
        <v>43</v>
      </c>
      <c r="D1362" t="s">
        <v>208</v>
      </c>
      <c r="E1362" t="s">
        <v>230</v>
      </c>
      <c r="F1362" t="s">
        <v>30</v>
      </c>
      <c r="G1362" t="s">
        <v>54</v>
      </c>
      <c r="H1362" t="s">
        <v>31</v>
      </c>
      <c r="I1362" t="s">
        <v>64</v>
      </c>
      <c r="J1362" t="s">
        <v>252</v>
      </c>
      <c r="K1362">
        <v>5</v>
      </c>
      <c r="L1362" s="2">
        <v>34.14</v>
      </c>
      <c r="M1362" s="3">
        <v>0</v>
      </c>
      <c r="N1362" s="2">
        <v>170.7</v>
      </c>
      <c r="O1362" s="2">
        <v>121</v>
      </c>
      <c r="P1362" s="2">
        <v>49.7</v>
      </c>
      <c r="Q1362" t="s">
        <v>57</v>
      </c>
    </row>
    <row r="1363" spans="1:17" x14ac:dyDescent="0.2">
      <c r="A1363" t="s">
        <v>1528</v>
      </c>
      <c r="B1363" s="1">
        <v>45817</v>
      </c>
      <c r="C1363" t="s">
        <v>36</v>
      </c>
      <c r="D1363" t="s">
        <v>37</v>
      </c>
      <c r="E1363" t="s">
        <v>255</v>
      </c>
      <c r="F1363" t="s">
        <v>39</v>
      </c>
      <c r="G1363" t="s">
        <v>54</v>
      </c>
      <c r="H1363" t="s">
        <v>23</v>
      </c>
      <c r="I1363" t="s">
        <v>24</v>
      </c>
      <c r="J1363" t="s">
        <v>220</v>
      </c>
      <c r="K1363">
        <v>10</v>
      </c>
      <c r="L1363" s="2">
        <v>17.329999999999998</v>
      </c>
      <c r="M1363" s="3">
        <v>0.05</v>
      </c>
      <c r="N1363" s="2">
        <v>164.63</v>
      </c>
      <c r="O1363" s="2">
        <v>126.03</v>
      </c>
      <c r="P1363" s="2">
        <v>38.6</v>
      </c>
      <c r="Q1363" t="s">
        <v>57</v>
      </c>
    </row>
    <row r="1364" spans="1:17" x14ac:dyDescent="0.2">
      <c r="A1364" t="s">
        <v>1529</v>
      </c>
      <c r="B1364" s="1">
        <v>45817</v>
      </c>
      <c r="C1364" t="s">
        <v>18</v>
      </c>
      <c r="D1364" t="s">
        <v>133</v>
      </c>
      <c r="E1364" t="s">
        <v>226</v>
      </c>
      <c r="F1364" t="s">
        <v>130</v>
      </c>
      <c r="G1364" t="s">
        <v>75</v>
      </c>
      <c r="H1364" t="s">
        <v>31</v>
      </c>
      <c r="I1364" t="s">
        <v>64</v>
      </c>
      <c r="J1364" t="s">
        <v>252</v>
      </c>
      <c r="K1364">
        <v>7</v>
      </c>
      <c r="L1364" s="2">
        <v>103.21</v>
      </c>
      <c r="M1364" s="3">
        <v>0.05</v>
      </c>
      <c r="N1364" s="2">
        <v>686.35</v>
      </c>
      <c r="O1364" s="2">
        <v>536.48</v>
      </c>
      <c r="P1364" s="2">
        <v>149.87</v>
      </c>
      <c r="Q1364" t="s">
        <v>57</v>
      </c>
    </row>
    <row r="1365" spans="1:17" x14ac:dyDescent="0.2">
      <c r="A1365" t="s">
        <v>1530</v>
      </c>
      <c r="B1365" s="1">
        <v>45817</v>
      </c>
      <c r="C1365" t="s">
        <v>43</v>
      </c>
      <c r="D1365" t="s">
        <v>208</v>
      </c>
      <c r="E1365" t="s">
        <v>230</v>
      </c>
      <c r="F1365" t="s">
        <v>130</v>
      </c>
      <c r="G1365" t="s">
        <v>22</v>
      </c>
      <c r="H1365" t="s">
        <v>23</v>
      </c>
      <c r="I1365" t="s">
        <v>79</v>
      </c>
      <c r="J1365" t="s">
        <v>233</v>
      </c>
      <c r="K1365">
        <v>3</v>
      </c>
      <c r="L1365" s="2">
        <v>370.46</v>
      </c>
      <c r="M1365" s="3">
        <v>0.1</v>
      </c>
      <c r="N1365" s="2">
        <v>1000.24</v>
      </c>
      <c r="O1365" s="2">
        <v>565.54</v>
      </c>
      <c r="P1365" s="2">
        <v>434.7</v>
      </c>
      <c r="Q1365" t="s">
        <v>57</v>
      </c>
    </row>
    <row r="1366" spans="1:17" x14ac:dyDescent="0.2">
      <c r="A1366" t="s">
        <v>1531</v>
      </c>
      <c r="B1366" s="1">
        <v>45817</v>
      </c>
      <c r="C1366" t="s">
        <v>18</v>
      </c>
      <c r="D1366" t="s">
        <v>152</v>
      </c>
      <c r="E1366" t="s">
        <v>153</v>
      </c>
      <c r="F1366" t="s">
        <v>71</v>
      </c>
      <c r="G1366" t="s">
        <v>54</v>
      </c>
      <c r="H1366" t="s">
        <v>23</v>
      </c>
      <c r="I1366" t="s">
        <v>24</v>
      </c>
      <c r="J1366" t="s">
        <v>25</v>
      </c>
      <c r="K1366">
        <v>9</v>
      </c>
      <c r="L1366" s="2">
        <v>17.21</v>
      </c>
      <c r="M1366" s="3">
        <v>0</v>
      </c>
      <c r="N1366" s="2">
        <v>154.88999999999999</v>
      </c>
      <c r="O1366" s="2">
        <v>103.08</v>
      </c>
      <c r="P1366" s="2">
        <v>51.81</v>
      </c>
      <c r="Q1366" t="s">
        <v>61</v>
      </c>
    </row>
    <row r="1367" spans="1:17" x14ac:dyDescent="0.2">
      <c r="A1367" t="s">
        <v>1532</v>
      </c>
      <c r="B1367" s="1">
        <v>45817</v>
      </c>
      <c r="C1367" t="s">
        <v>43</v>
      </c>
      <c r="D1367" t="s">
        <v>44</v>
      </c>
      <c r="E1367" t="s">
        <v>147</v>
      </c>
      <c r="F1367" t="s">
        <v>69</v>
      </c>
      <c r="G1367" t="s">
        <v>22</v>
      </c>
      <c r="H1367" t="s">
        <v>23</v>
      </c>
      <c r="I1367" t="s">
        <v>79</v>
      </c>
      <c r="J1367" t="s">
        <v>233</v>
      </c>
      <c r="K1367">
        <v>5</v>
      </c>
      <c r="L1367" s="2">
        <v>140.59</v>
      </c>
      <c r="M1367" s="3">
        <v>0.05</v>
      </c>
      <c r="N1367" s="2">
        <v>667.8</v>
      </c>
      <c r="O1367" s="2">
        <v>526.88</v>
      </c>
      <c r="P1367" s="2">
        <v>140.91999999999999</v>
      </c>
      <c r="Q1367" t="s">
        <v>26</v>
      </c>
    </row>
    <row r="1368" spans="1:17" x14ac:dyDescent="0.2">
      <c r="A1368" t="s">
        <v>1533</v>
      </c>
      <c r="B1368" s="1">
        <v>45817</v>
      </c>
      <c r="C1368" t="s">
        <v>36</v>
      </c>
      <c r="D1368" t="s">
        <v>67</v>
      </c>
      <c r="E1368" t="s">
        <v>270</v>
      </c>
      <c r="F1368" t="s">
        <v>53</v>
      </c>
      <c r="G1368" t="s">
        <v>22</v>
      </c>
      <c r="H1368" t="s">
        <v>31</v>
      </c>
      <c r="I1368" t="s">
        <v>112</v>
      </c>
      <c r="J1368" t="s">
        <v>136</v>
      </c>
      <c r="K1368">
        <v>2</v>
      </c>
      <c r="L1368" s="2">
        <v>689.05</v>
      </c>
      <c r="M1368" s="3">
        <v>0.05</v>
      </c>
      <c r="N1368" s="2">
        <v>1309.2</v>
      </c>
      <c r="O1368" s="2">
        <v>1016.63</v>
      </c>
      <c r="P1368" s="2">
        <v>292.57</v>
      </c>
      <c r="Q1368" t="s">
        <v>61</v>
      </c>
    </row>
    <row r="1369" spans="1:17" x14ac:dyDescent="0.2">
      <c r="A1369" t="s">
        <v>1534</v>
      </c>
      <c r="B1369" s="1">
        <v>45817</v>
      </c>
      <c r="C1369" t="s">
        <v>77</v>
      </c>
      <c r="D1369" t="s">
        <v>78</v>
      </c>
      <c r="E1369" t="s">
        <v>261</v>
      </c>
      <c r="F1369" t="s">
        <v>46</v>
      </c>
      <c r="G1369" t="s">
        <v>22</v>
      </c>
      <c r="H1369" t="s">
        <v>31</v>
      </c>
      <c r="I1369" t="s">
        <v>32</v>
      </c>
      <c r="J1369" t="s">
        <v>104</v>
      </c>
      <c r="K1369">
        <v>3</v>
      </c>
      <c r="L1369" s="2">
        <v>782.93</v>
      </c>
      <c r="M1369" s="3">
        <v>0</v>
      </c>
      <c r="N1369" s="2">
        <v>2348.79</v>
      </c>
      <c r="O1369" s="2">
        <v>1610.1</v>
      </c>
      <c r="P1369" s="2">
        <v>738.69</v>
      </c>
      <c r="Q1369" t="s">
        <v>61</v>
      </c>
    </row>
    <row r="1370" spans="1:17" x14ac:dyDescent="0.2">
      <c r="A1370" t="s">
        <v>1535</v>
      </c>
      <c r="B1370" s="1">
        <v>45817</v>
      </c>
      <c r="C1370" t="s">
        <v>36</v>
      </c>
      <c r="D1370" t="s">
        <v>37</v>
      </c>
      <c r="E1370" t="s">
        <v>38</v>
      </c>
      <c r="F1370" t="s">
        <v>30</v>
      </c>
      <c r="G1370" t="s">
        <v>75</v>
      </c>
      <c r="H1370" t="s">
        <v>23</v>
      </c>
      <c r="I1370" t="s">
        <v>83</v>
      </c>
      <c r="J1370" t="s">
        <v>131</v>
      </c>
      <c r="K1370">
        <v>6</v>
      </c>
      <c r="L1370" s="2">
        <v>24.01</v>
      </c>
      <c r="M1370" s="3">
        <v>0.15</v>
      </c>
      <c r="N1370" s="2">
        <v>122.45</v>
      </c>
      <c r="O1370" s="2">
        <v>88.34</v>
      </c>
      <c r="P1370" s="2">
        <v>34.11</v>
      </c>
      <c r="Q1370" t="s">
        <v>61</v>
      </c>
    </row>
    <row r="1371" spans="1:17" x14ac:dyDescent="0.2">
      <c r="A1371" t="s">
        <v>1536</v>
      </c>
      <c r="B1371" s="1">
        <v>45817</v>
      </c>
      <c r="C1371" t="s">
        <v>77</v>
      </c>
      <c r="D1371" t="s">
        <v>106</v>
      </c>
      <c r="E1371" t="s">
        <v>303</v>
      </c>
      <c r="F1371" t="s">
        <v>30</v>
      </c>
      <c r="G1371" t="s">
        <v>75</v>
      </c>
      <c r="H1371" t="s">
        <v>47</v>
      </c>
      <c r="I1371" t="s">
        <v>89</v>
      </c>
      <c r="J1371" t="s">
        <v>240</v>
      </c>
      <c r="K1371">
        <v>5</v>
      </c>
      <c r="L1371" s="2">
        <v>347.38</v>
      </c>
      <c r="M1371" s="3">
        <v>0.05</v>
      </c>
      <c r="N1371" s="2">
        <v>1650.06</v>
      </c>
      <c r="O1371" s="2">
        <v>1008.9</v>
      </c>
      <c r="P1371" s="2">
        <v>641.16</v>
      </c>
      <c r="Q1371" t="s">
        <v>26</v>
      </c>
    </row>
    <row r="1372" spans="1:17" x14ac:dyDescent="0.2">
      <c r="A1372" t="s">
        <v>1537</v>
      </c>
      <c r="B1372" s="1">
        <v>45817</v>
      </c>
      <c r="C1372" t="s">
        <v>36</v>
      </c>
      <c r="D1372" t="s">
        <v>73</v>
      </c>
      <c r="E1372" t="s">
        <v>247</v>
      </c>
      <c r="F1372" t="s">
        <v>53</v>
      </c>
      <c r="G1372" t="s">
        <v>22</v>
      </c>
      <c r="H1372" t="s">
        <v>31</v>
      </c>
      <c r="I1372" t="s">
        <v>40</v>
      </c>
      <c r="J1372" t="s">
        <v>41</v>
      </c>
      <c r="K1372">
        <v>6</v>
      </c>
      <c r="L1372" s="2">
        <v>214.74</v>
      </c>
      <c r="M1372" s="3">
        <v>0</v>
      </c>
      <c r="N1372" s="2">
        <v>1288.44</v>
      </c>
      <c r="O1372" s="2">
        <v>718.68</v>
      </c>
      <c r="P1372" s="2">
        <v>569.76</v>
      </c>
      <c r="Q1372" t="s">
        <v>61</v>
      </c>
    </row>
    <row r="1373" spans="1:17" x14ac:dyDescent="0.2">
      <c r="A1373" t="s">
        <v>1538</v>
      </c>
      <c r="B1373" s="1">
        <v>45818</v>
      </c>
      <c r="C1373" t="s">
        <v>77</v>
      </c>
      <c r="D1373" t="s">
        <v>78</v>
      </c>
      <c r="E1373" t="s">
        <v>261</v>
      </c>
      <c r="F1373" t="s">
        <v>53</v>
      </c>
      <c r="G1373" t="s">
        <v>75</v>
      </c>
      <c r="H1373" t="s">
        <v>23</v>
      </c>
      <c r="I1373" t="s">
        <v>55</v>
      </c>
      <c r="J1373" t="s">
        <v>56</v>
      </c>
      <c r="K1373">
        <v>4</v>
      </c>
      <c r="L1373" s="2">
        <v>14.79</v>
      </c>
      <c r="M1373" s="3">
        <v>0.05</v>
      </c>
      <c r="N1373" s="2">
        <v>56.2</v>
      </c>
      <c r="O1373" s="2">
        <v>32.99</v>
      </c>
      <c r="P1373" s="2">
        <v>23.21</v>
      </c>
      <c r="Q1373" t="s">
        <v>61</v>
      </c>
    </row>
    <row r="1374" spans="1:17" x14ac:dyDescent="0.2">
      <c r="A1374" t="s">
        <v>1539</v>
      </c>
      <c r="B1374" s="1">
        <v>45818</v>
      </c>
      <c r="C1374" t="s">
        <v>36</v>
      </c>
      <c r="D1374" t="s">
        <v>37</v>
      </c>
      <c r="E1374" t="s">
        <v>38</v>
      </c>
      <c r="F1374" t="s">
        <v>46</v>
      </c>
      <c r="G1374" t="s">
        <v>54</v>
      </c>
      <c r="H1374" t="s">
        <v>31</v>
      </c>
      <c r="I1374" t="s">
        <v>32</v>
      </c>
      <c r="J1374" t="s">
        <v>33</v>
      </c>
      <c r="K1374">
        <v>3</v>
      </c>
      <c r="L1374" s="2">
        <v>1435.47</v>
      </c>
      <c r="M1374" s="3">
        <v>0</v>
      </c>
      <c r="N1374" s="2">
        <v>4306.41</v>
      </c>
      <c r="O1374" s="2">
        <v>2731.45</v>
      </c>
      <c r="P1374" s="2">
        <v>1574.96</v>
      </c>
      <c r="Q1374" t="s">
        <v>34</v>
      </c>
    </row>
    <row r="1375" spans="1:17" x14ac:dyDescent="0.2">
      <c r="A1375" t="s">
        <v>1540</v>
      </c>
      <c r="B1375" s="1">
        <v>45818</v>
      </c>
      <c r="C1375" t="s">
        <v>77</v>
      </c>
      <c r="D1375" t="s">
        <v>149</v>
      </c>
      <c r="E1375" t="s">
        <v>309</v>
      </c>
      <c r="F1375" t="s">
        <v>30</v>
      </c>
      <c r="G1375" t="s">
        <v>54</v>
      </c>
      <c r="H1375" t="s">
        <v>31</v>
      </c>
      <c r="I1375" t="s">
        <v>40</v>
      </c>
      <c r="J1375" t="s">
        <v>216</v>
      </c>
      <c r="K1375">
        <v>2</v>
      </c>
      <c r="L1375" s="2">
        <v>245.94</v>
      </c>
      <c r="M1375" s="3">
        <v>0.2</v>
      </c>
      <c r="N1375" s="2">
        <v>393.5</v>
      </c>
      <c r="O1375" s="2">
        <v>244.17</v>
      </c>
      <c r="P1375" s="2">
        <v>149.33000000000001</v>
      </c>
      <c r="Q1375" t="s">
        <v>61</v>
      </c>
    </row>
    <row r="1376" spans="1:17" x14ac:dyDescent="0.2">
      <c r="A1376" t="s">
        <v>1541</v>
      </c>
      <c r="B1376" s="1">
        <v>45818</v>
      </c>
      <c r="C1376" t="s">
        <v>43</v>
      </c>
      <c r="D1376" t="s">
        <v>51</v>
      </c>
      <c r="E1376" t="s">
        <v>59</v>
      </c>
      <c r="F1376" t="s">
        <v>130</v>
      </c>
      <c r="G1376" t="s">
        <v>75</v>
      </c>
      <c r="H1376" t="s">
        <v>23</v>
      </c>
      <c r="I1376" t="s">
        <v>55</v>
      </c>
      <c r="J1376" t="s">
        <v>56</v>
      </c>
      <c r="K1376">
        <v>9</v>
      </c>
      <c r="L1376" s="2">
        <v>24.31</v>
      </c>
      <c r="M1376" s="3">
        <v>0</v>
      </c>
      <c r="N1376" s="2">
        <v>218.79</v>
      </c>
      <c r="O1376" s="2">
        <v>145.30000000000001</v>
      </c>
      <c r="P1376" s="2">
        <v>73.489999999999995</v>
      </c>
      <c r="Q1376" t="s">
        <v>57</v>
      </c>
    </row>
    <row r="1377" spans="1:17" x14ac:dyDescent="0.2">
      <c r="A1377" t="s">
        <v>1542</v>
      </c>
      <c r="B1377" s="1">
        <v>45818</v>
      </c>
      <c r="C1377" t="s">
        <v>77</v>
      </c>
      <c r="D1377" t="s">
        <v>128</v>
      </c>
      <c r="E1377" t="s">
        <v>155</v>
      </c>
      <c r="F1377" t="s">
        <v>138</v>
      </c>
      <c r="G1377" t="s">
        <v>75</v>
      </c>
      <c r="H1377" t="s">
        <v>47</v>
      </c>
      <c r="I1377" t="s">
        <v>89</v>
      </c>
      <c r="J1377" t="s">
        <v>90</v>
      </c>
      <c r="K1377">
        <v>1</v>
      </c>
      <c r="L1377" s="2">
        <v>127.38</v>
      </c>
      <c r="M1377" s="3">
        <v>0.15</v>
      </c>
      <c r="N1377" s="2">
        <v>108.27</v>
      </c>
      <c r="O1377" s="2">
        <v>65.400000000000006</v>
      </c>
      <c r="P1377" s="2">
        <v>42.87</v>
      </c>
      <c r="Q1377" t="s">
        <v>57</v>
      </c>
    </row>
    <row r="1378" spans="1:17" x14ac:dyDescent="0.2">
      <c r="A1378" t="s">
        <v>1543</v>
      </c>
      <c r="B1378" s="1">
        <v>45818</v>
      </c>
      <c r="C1378" t="s">
        <v>43</v>
      </c>
      <c r="D1378" t="s">
        <v>161</v>
      </c>
      <c r="E1378" t="s">
        <v>418</v>
      </c>
      <c r="F1378" t="s">
        <v>138</v>
      </c>
      <c r="G1378" t="s">
        <v>75</v>
      </c>
      <c r="H1378" t="s">
        <v>23</v>
      </c>
      <c r="I1378" t="s">
        <v>79</v>
      </c>
      <c r="J1378" t="s">
        <v>233</v>
      </c>
      <c r="K1378">
        <v>5</v>
      </c>
      <c r="L1378" s="2">
        <v>382.22</v>
      </c>
      <c r="M1378" s="3">
        <v>0</v>
      </c>
      <c r="N1378" s="2">
        <v>1911.1</v>
      </c>
      <c r="O1378" s="2">
        <v>1503.48</v>
      </c>
      <c r="P1378" s="2">
        <v>407.62</v>
      </c>
      <c r="Q1378" t="s">
        <v>34</v>
      </c>
    </row>
    <row r="1379" spans="1:17" x14ac:dyDescent="0.2">
      <c r="A1379" t="s">
        <v>1544</v>
      </c>
      <c r="B1379" s="1">
        <v>45818</v>
      </c>
      <c r="C1379" t="s">
        <v>18</v>
      </c>
      <c r="D1379" t="s">
        <v>133</v>
      </c>
      <c r="E1379" t="s">
        <v>134</v>
      </c>
      <c r="F1379" t="s">
        <v>30</v>
      </c>
      <c r="G1379" t="s">
        <v>54</v>
      </c>
      <c r="H1379" t="s">
        <v>31</v>
      </c>
      <c r="I1379" t="s">
        <v>112</v>
      </c>
      <c r="J1379" t="s">
        <v>176</v>
      </c>
      <c r="K1379">
        <v>9</v>
      </c>
      <c r="L1379" s="2">
        <v>490.51</v>
      </c>
      <c r="M1379" s="3">
        <v>0</v>
      </c>
      <c r="N1379" s="2">
        <v>4414.59</v>
      </c>
      <c r="O1379" s="2">
        <v>3466.19</v>
      </c>
      <c r="P1379" s="2">
        <v>948.4</v>
      </c>
      <c r="Q1379" t="s">
        <v>34</v>
      </c>
    </row>
    <row r="1380" spans="1:17" x14ac:dyDescent="0.2">
      <c r="A1380" t="s">
        <v>1545</v>
      </c>
      <c r="B1380" s="1">
        <v>45819</v>
      </c>
      <c r="C1380" t="s">
        <v>18</v>
      </c>
      <c r="D1380" t="s">
        <v>152</v>
      </c>
      <c r="E1380" t="s">
        <v>185</v>
      </c>
      <c r="F1380" t="s">
        <v>130</v>
      </c>
      <c r="G1380" t="s">
        <v>54</v>
      </c>
      <c r="H1380" t="s">
        <v>23</v>
      </c>
      <c r="I1380" t="s">
        <v>79</v>
      </c>
      <c r="J1380" t="s">
        <v>179</v>
      </c>
      <c r="K1380">
        <v>8</v>
      </c>
      <c r="L1380" s="2">
        <v>120.82</v>
      </c>
      <c r="M1380" s="3">
        <v>0.2</v>
      </c>
      <c r="N1380" s="2">
        <v>773.25</v>
      </c>
      <c r="O1380" s="2">
        <v>615.36</v>
      </c>
      <c r="P1380" s="2">
        <v>157.88999999999999</v>
      </c>
      <c r="Q1380" t="s">
        <v>57</v>
      </c>
    </row>
    <row r="1381" spans="1:17" x14ac:dyDescent="0.2">
      <c r="A1381" t="s">
        <v>1546</v>
      </c>
      <c r="B1381" s="1">
        <v>45819</v>
      </c>
      <c r="C1381" t="s">
        <v>43</v>
      </c>
      <c r="D1381" t="s">
        <v>51</v>
      </c>
      <c r="E1381" t="s">
        <v>52</v>
      </c>
      <c r="F1381" t="s">
        <v>69</v>
      </c>
      <c r="G1381" t="s">
        <v>22</v>
      </c>
      <c r="H1381" t="s">
        <v>23</v>
      </c>
      <c r="I1381" t="s">
        <v>79</v>
      </c>
      <c r="J1381" t="s">
        <v>80</v>
      </c>
      <c r="K1381">
        <v>4</v>
      </c>
      <c r="L1381" s="2">
        <v>167.94</v>
      </c>
      <c r="M1381" s="3">
        <v>0.05</v>
      </c>
      <c r="N1381" s="2">
        <v>638.16999999999996</v>
      </c>
      <c r="O1381" s="2">
        <v>522.89</v>
      </c>
      <c r="P1381" s="2">
        <v>115.28</v>
      </c>
      <c r="Q1381" t="s">
        <v>61</v>
      </c>
    </row>
    <row r="1382" spans="1:17" x14ac:dyDescent="0.2">
      <c r="A1382" t="s">
        <v>1547</v>
      </c>
      <c r="B1382" s="1">
        <v>45819</v>
      </c>
      <c r="C1382" t="s">
        <v>77</v>
      </c>
      <c r="D1382" t="s">
        <v>95</v>
      </c>
      <c r="E1382" t="s">
        <v>300</v>
      </c>
      <c r="F1382" t="s">
        <v>21</v>
      </c>
      <c r="G1382" t="s">
        <v>54</v>
      </c>
      <c r="H1382" t="s">
        <v>31</v>
      </c>
      <c r="I1382" t="s">
        <v>40</v>
      </c>
      <c r="J1382" t="s">
        <v>41</v>
      </c>
      <c r="K1382">
        <v>9</v>
      </c>
      <c r="L1382" s="2">
        <v>99.02</v>
      </c>
      <c r="M1382" s="3">
        <v>0</v>
      </c>
      <c r="N1382" s="2">
        <v>891.18</v>
      </c>
      <c r="O1382" s="2">
        <v>557.42999999999995</v>
      </c>
      <c r="P1382" s="2">
        <v>333.75</v>
      </c>
      <c r="Q1382" t="s">
        <v>61</v>
      </c>
    </row>
    <row r="1383" spans="1:17" x14ac:dyDescent="0.2">
      <c r="A1383" t="s">
        <v>1548</v>
      </c>
      <c r="B1383" s="1">
        <v>45819</v>
      </c>
      <c r="C1383" t="s">
        <v>18</v>
      </c>
      <c r="D1383" t="s">
        <v>86</v>
      </c>
      <c r="E1383" t="s">
        <v>92</v>
      </c>
      <c r="F1383" t="s">
        <v>71</v>
      </c>
      <c r="G1383" t="s">
        <v>22</v>
      </c>
      <c r="H1383" t="s">
        <v>31</v>
      </c>
      <c r="I1383" t="s">
        <v>40</v>
      </c>
      <c r="J1383" t="s">
        <v>122</v>
      </c>
      <c r="K1383">
        <v>4</v>
      </c>
      <c r="L1383" s="2">
        <v>139.63</v>
      </c>
      <c r="M1383" s="3">
        <v>0.05</v>
      </c>
      <c r="N1383" s="2">
        <v>530.59</v>
      </c>
      <c r="O1383" s="2">
        <v>304.14999999999998</v>
      </c>
      <c r="P1383" s="2">
        <v>226.44</v>
      </c>
      <c r="Q1383" t="s">
        <v>57</v>
      </c>
    </row>
    <row r="1384" spans="1:17" x14ac:dyDescent="0.2">
      <c r="A1384" t="s">
        <v>1549</v>
      </c>
      <c r="B1384" s="1">
        <v>45819</v>
      </c>
      <c r="C1384" t="s">
        <v>18</v>
      </c>
      <c r="D1384" t="s">
        <v>19</v>
      </c>
      <c r="E1384" t="s">
        <v>118</v>
      </c>
      <c r="F1384" t="s">
        <v>21</v>
      </c>
      <c r="G1384" t="s">
        <v>75</v>
      </c>
      <c r="H1384" t="s">
        <v>31</v>
      </c>
      <c r="I1384" t="s">
        <v>112</v>
      </c>
      <c r="J1384" t="s">
        <v>176</v>
      </c>
      <c r="K1384">
        <v>4</v>
      </c>
      <c r="L1384" s="2">
        <v>658.62</v>
      </c>
      <c r="M1384" s="3">
        <v>0.15</v>
      </c>
      <c r="N1384" s="2">
        <v>2239.31</v>
      </c>
      <c r="O1384" s="2">
        <v>1376.26</v>
      </c>
      <c r="P1384" s="2">
        <v>863.05</v>
      </c>
      <c r="Q1384" t="s">
        <v>26</v>
      </c>
    </row>
    <row r="1385" spans="1:17" x14ac:dyDescent="0.2">
      <c r="A1385" t="s">
        <v>1550</v>
      </c>
      <c r="B1385" s="1">
        <v>45819</v>
      </c>
      <c r="C1385" t="s">
        <v>18</v>
      </c>
      <c r="D1385" t="s">
        <v>152</v>
      </c>
      <c r="E1385" t="s">
        <v>166</v>
      </c>
      <c r="F1385" t="s">
        <v>21</v>
      </c>
      <c r="G1385" t="s">
        <v>22</v>
      </c>
      <c r="H1385" t="s">
        <v>31</v>
      </c>
      <c r="I1385" t="s">
        <v>40</v>
      </c>
      <c r="J1385" t="s">
        <v>216</v>
      </c>
      <c r="K1385">
        <v>3</v>
      </c>
      <c r="L1385" s="2">
        <v>172.31</v>
      </c>
      <c r="M1385" s="3">
        <v>0.1</v>
      </c>
      <c r="N1385" s="2">
        <v>465.24</v>
      </c>
      <c r="O1385" s="2">
        <v>317.70999999999998</v>
      </c>
      <c r="P1385" s="2">
        <v>147.53</v>
      </c>
      <c r="Q1385" t="s">
        <v>34</v>
      </c>
    </row>
    <row r="1386" spans="1:17" x14ac:dyDescent="0.2">
      <c r="A1386" t="s">
        <v>1551</v>
      </c>
      <c r="B1386" s="1">
        <v>45819</v>
      </c>
      <c r="C1386" t="s">
        <v>43</v>
      </c>
      <c r="D1386" t="s">
        <v>244</v>
      </c>
      <c r="E1386" t="s">
        <v>245</v>
      </c>
      <c r="F1386" t="s">
        <v>60</v>
      </c>
      <c r="G1386" t="s">
        <v>54</v>
      </c>
      <c r="H1386" t="s">
        <v>23</v>
      </c>
      <c r="I1386" t="s">
        <v>83</v>
      </c>
      <c r="J1386" t="s">
        <v>120</v>
      </c>
      <c r="K1386">
        <v>4</v>
      </c>
      <c r="L1386" s="2">
        <v>18.920000000000002</v>
      </c>
      <c r="M1386" s="3">
        <v>0.2</v>
      </c>
      <c r="N1386" s="2">
        <v>60.54</v>
      </c>
      <c r="O1386" s="2">
        <v>43.98</v>
      </c>
      <c r="P1386" s="2">
        <v>16.559999999999999</v>
      </c>
      <c r="Q1386" t="s">
        <v>34</v>
      </c>
    </row>
    <row r="1387" spans="1:17" x14ac:dyDescent="0.2">
      <c r="A1387" t="s">
        <v>1552</v>
      </c>
      <c r="B1387" s="1">
        <v>45819</v>
      </c>
      <c r="C1387" t="s">
        <v>18</v>
      </c>
      <c r="D1387" t="s">
        <v>86</v>
      </c>
      <c r="E1387" t="s">
        <v>92</v>
      </c>
      <c r="F1387" t="s">
        <v>21</v>
      </c>
      <c r="G1387" t="s">
        <v>22</v>
      </c>
      <c r="H1387" t="s">
        <v>47</v>
      </c>
      <c r="I1387" t="s">
        <v>97</v>
      </c>
      <c r="J1387" t="s">
        <v>98</v>
      </c>
      <c r="K1387">
        <v>8</v>
      </c>
      <c r="L1387" s="2">
        <v>607.44000000000005</v>
      </c>
      <c r="M1387" s="3">
        <v>0</v>
      </c>
      <c r="N1387" s="2">
        <v>4859.5200000000004</v>
      </c>
      <c r="O1387" s="2">
        <v>2894.95</v>
      </c>
      <c r="P1387" s="2">
        <v>1964.57</v>
      </c>
      <c r="Q1387" t="s">
        <v>57</v>
      </c>
    </row>
    <row r="1388" spans="1:17" x14ac:dyDescent="0.2">
      <c r="A1388" t="s">
        <v>1553</v>
      </c>
      <c r="B1388" s="1">
        <v>45819</v>
      </c>
      <c r="C1388" t="s">
        <v>43</v>
      </c>
      <c r="D1388" t="s">
        <v>44</v>
      </c>
      <c r="E1388" t="s">
        <v>45</v>
      </c>
      <c r="F1388" t="s">
        <v>53</v>
      </c>
      <c r="G1388" t="s">
        <v>54</v>
      </c>
      <c r="H1388" t="s">
        <v>23</v>
      </c>
      <c r="I1388" t="s">
        <v>55</v>
      </c>
      <c r="J1388" t="s">
        <v>56</v>
      </c>
      <c r="K1388">
        <v>1</v>
      </c>
      <c r="L1388" s="2">
        <v>12.09</v>
      </c>
      <c r="M1388" s="3">
        <v>0.15</v>
      </c>
      <c r="N1388" s="2">
        <v>10.28</v>
      </c>
      <c r="O1388" s="2">
        <v>5.82</v>
      </c>
      <c r="P1388" s="2">
        <v>4.46</v>
      </c>
      <c r="Q1388" t="s">
        <v>61</v>
      </c>
    </row>
    <row r="1389" spans="1:17" x14ac:dyDescent="0.2">
      <c r="A1389" t="s">
        <v>1554</v>
      </c>
      <c r="B1389" s="1">
        <v>45819</v>
      </c>
      <c r="C1389" t="s">
        <v>43</v>
      </c>
      <c r="D1389" t="s">
        <v>51</v>
      </c>
      <c r="E1389" t="s">
        <v>59</v>
      </c>
      <c r="F1389" t="s">
        <v>30</v>
      </c>
      <c r="G1389" t="s">
        <v>22</v>
      </c>
      <c r="H1389" t="s">
        <v>23</v>
      </c>
      <c r="I1389" t="s">
        <v>83</v>
      </c>
      <c r="J1389" t="s">
        <v>84</v>
      </c>
      <c r="K1389">
        <v>4</v>
      </c>
      <c r="L1389" s="2">
        <v>13.21</v>
      </c>
      <c r="M1389" s="3">
        <v>0.1</v>
      </c>
      <c r="N1389" s="2">
        <v>47.56</v>
      </c>
      <c r="O1389" s="2">
        <v>38.83</v>
      </c>
      <c r="P1389" s="2">
        <v>8.73</v>
      </c>
      <c r="Q1389" t="s">
        <v>26</v>
      </c>
    </row>
    <row r="1390" spans="1:17" x14ac:dyDescent="0.2">
      <c r="A1390" t="s">
        <v>1555</v>
      </c>
      <c r="B1390" s="1">
        <v>45819</v>
      </c>
      <c r="C1390" t="s">
        <v>36</v>
      </c>
      <c r="D1390" t="s">
        <v>144</v>
      </c>
      <c r="E1390" t="s">
        <v>145</v>
      </c>
      <c r="F1390" t="s">
        <v>30</v>
      </c>
      <c r="G1390" t="s">
        <v>22</v>
      </c>
      <c r="H1390" t="s">
        <v>47</v>
      </c>
      <c r="I1390" t="s">
        <v>141</v>
      </c>
      <c r="J1390" t="s">
        <v>372</v>
      </c>
      <c r="K1390">
        <v>9</v>
      </c>
      <c r="L1390" s="2">
        <v>303.89999999999998</v>
      </c>
      <c r="M1390" s="3">
        <v>0.15</v>
      </c>
      <c r="N1390" s="2">
        <v>2324.84</v>
      </c>
      <c r="O1390" s="2">
        <v>1696.58</v>
      </c>
      <c r="P1390" s="2">
        <v>628.26</v>
      </c>
      <c r="Q1390" t="s">
        <v>57</v>
      </c>
    </row>
    <row r="1391" spans="1:17" x14ac:dyDescent="0.2">
      <c r="A1391" t="s">
        <v>1556</v>
      </c>
      <c r="B1391" s="1">
        <v>45819</v>
      </c>
      <c r="C1391" t="s">
        <v>77</v>
      </c>
      <c r="D1391" t="s">
        <v>78</v>
      </c>
      <c r="E1391" t="s">
        <v>52</v>
      </c>
      <c r="F1391" t="s">
        <v>130</v>
      </c>
      <c r="G1391" t="s">
        <v>54</v>
      </c>
      <c r="H1391" t="s">
        <v>31</v>
      </c>
      <c r="I1391" t="s">
        <v>112</v>
      </c>
      <c r="J1391" t="s">
        <v>136</v>
      </c>
      <c r="K1391">
        <v>2</v>
      </c>
      <c r="L1391" s="2">
        <v>665.78</v>
      </c>
      <c r="M1391" s="3">
        <v>0.05</v>
      </c>
      <c r="N1391" s="2">
        <v>1264.98</v>
      </c>
      <c r="O1391" s="2">
        <v>922.18</v>
      </c>
      <c r="P1391" s="2">
        <v>342.8</v>
      </c>
      <c r="Q1391" t="s">
        <v>57</v>
      </c>
    </row>
    <row r="1392" spans="1:17" x14ac:dyDescent="0.2">
      <c r="A1392" t="s">
        <v>1557</v>
      </c>
      <c r="B1392" s="1">
        <v>45820</v>
      </c>
      <c r="C1392" t="s">
        <v>77</v>
      </c>
      <c r="D1392" t="s">
        <v>128</v>
      </c>
      <c r="E1392" t="s">
        <v>129</v>
      </c>
      <c r="F1392" t="s">
        <v>138</v>
      </c>
      <c r="G1392" t="s">
        <v>22</v>
      </c>
      <c r="H1392" t="s">
        <v>23</v>
      </c>
      <c r="I1392" t="s">
        <v>79</v>
      </c>
      <c r="J1392" t="s">
        <v>179</v>
      </c>
      <c r="K1392">
        <v>5</v>
      </c>
      <c r="L1392" s="2">
        <v>325.02999999999997</v>
      </c>
      <c r="M1392" s="3">
        <v>0</v>
      </c>
      <c r="N1392" s="2">
        <v>1625.15</v>
      </c>
      <c r="O1392" s="2">
        <v>1183.3699999999999</v>
      </c>
      <c r="P1392" s="2">
        <v>441.78</v>
      </c>
      <c r="Q1392" t="s">
        <v>34</v>
      </c>
    </row>
    <row r="1393" spans="1:17" x14ac:dyDescent="0.2">
      <c r="A1393" t="s">
        <v>1558</v>
      </c>
      <c r="B1393" s="1">
        <v>45820</v>
      </c>
      <c r="C1393" t="s">
        <v>18</v>
      </c>
      <c r="D1393" t="s">
        <v>28</v>
      </c>
      <c r="E1393" t="s">
        <v>157</v>
      </c>
      <c r="F1393" t="s">
        <v>46</v>
      </c>
      <c r="G1393" t="s">
        <v>54</v>
      </c>
      <c r="H1393" t="s">
        <v>31</v>
      </c>
      <c r="I1393" t="s">
        <v>32</v>
      </c>
      <c r="J1393" t="s">
        <v>104</v>
      </c>
      <c r="K1393">
        <v>9</v>
      </c>
      <c r="L1393" s="2">
        <v>951.3</v>
      </c>
      <c r="M1393" s="3">
        <v>0</v>
      </c>
      <c r="N1393" s="2">
        <v>8561.7000000000007</v>
      </c>
      <c r="O1393" s="2">
        <v>6121.8</v>
      </c>
      <c r="P1393" s="2">
        <v>2439.9</v>
      </c>
      <c r="Q1393" t="s">
        <v>26</v>
      </c>
    </row>
    <row r="1394" spans="1:17" x14ac:dyDescent="0.2">
      <c r="A1394" t="s">
        <v>1559</v>
      </c>
      <c r="B1394" s="1">
        <v>45820</v>
      </c>
      <c r="C1394" t="s">
        <v>77</v>
      </c>
      <c r="D1394" t="s">
        <v>149</v>
      </c>
      <c r="E1394" t="s">
        <v>309</v>
      </c>
      <c r="F1394" t="s">
        <v>30</v>
      </c>
      <c r="G1394" t="s">
        <v>75</v>
      </c>
      <c r="H1394" t="s">
        <v>31</v>
      </c>
      <c r="I1394" t="s">
        <v>112</v>
      </c>
      <c r="J1394" t="s">
        <v>176</v>
      </c>
      <c r="K1394">
        <v>2</v>
      </c>
      <c r="L1394" s="2">
        <v>420.2</v>
      </c>
      <c r="M1394" s="3">
        <v>0.1</v>
      </c>
      <c r="N1394" s="2">
        <v>756.36</v>
      </c>
      <c r="O1394" s="2">
        <v>477.46</v>
      </c>
      <c r="P1394" s="2">
        <v>278.89999999999998</v>
      </c>
      <c r="Q1394" t="s">
        <v>34</v>
      </c>
    </row>
    <row r="1395" spans="1:17" x14ac:dyDescent="0.2">
      <c r="A1395" t="s">
        <v>1560</v>
      </c>
      <c r="B1395" s="1">
        <v>45820</v>
      </c>
      <c r="C1395" t="s">
        <v>36</v>
      </c>
      <c r="D1395" t="s">
        <v>67</v>
      </c>
      <c r="E1395" t="s">
        <v>68</v>
      </c>
      <c r="F1395" t="s">
        <v>60</v>
      </c>
      <c r="G1395" t="s">
        <v>54</v>
      </c>
      <c r="H1395" t="s">
        <v>31</v>
      </c>
      <c r="I1395" t="s">
        <v>32</v>
      </c>
      <c r="J1395" t="s">
        <v>104</v>
      </c>
      <c r="K1395">
        <v>5</v>
      </c>
      <c r="L1395" s="2">
        <v>882.32</v>
      </c>
      <c r="M1395" s="3">
        <v>0.05</v>
      </c>
      <c r="N1395" s="2">
        <v>4191.0200000000004</v>
      </c>
      <c r="O1395" s="2">
        <v>2920.42</v>
      </c>
      <c r="P1395" s="2">
        <v>1270.5999999999999</v>
      </c>
      <c r="Q1395" t="s">
        <v>57</v>
      </c>
    </row>
    <row r="1396" spans="1:17" x14ac:dyDescent="0.2">
      <c r="A1396" t="s">
        <v>1561</v>
      </c>
      <c r="B1396" s="1">
        <v>45820</v>
      </c>
      <c r="C1396" t="s">
        <v>36</v>
      </c>
      <c r="D1396" t="s">
        <v>67</v>
      </c>
      <c r="E1396" t="s">
        <v>270</v>
      </c>
      <c r="F1396" t="s">
        <v>138</v>
      </c>
      <c r="G1396" t="s">
        <v>22</v>
      </c>
      <c r="H1396" t="s">
        <v>31</v>
      </c>
      <c r="I1396" t="s">
        <v>40</v>
      </c>
      <c r="J1396" t="s">
        <v>216</v>
      </c>
      <c r="K1396">
        <v>5</v>
      </c>
      <c r="L1396" s="2">
        <v>168.38</v>
      </c>
      <c r="M1396" s="3">
        <v>0.1</v>
      </c>
      <c r="N1396" s="2">
        <v>757.71</v>
      </c>
      <c r="O1396" s="2">
        <v>600.63</v>
      </c>
      <c r="P1396" s="2">
        <v>157.08000000000001</v>
      </c>
      <c r="Q1396" t="s">
        <v>26</v>
      </c>
    </row>
    <row r="1397" spans="1:17" x14ac:dyDescent="0.2">
      <c r="A1397" t="s">
        <v>1562</v>
      </c>
      <c r="B1397" s="1">
        <v>45820</v>
      </c>
      <c r="C1397" t="s">
        <v>18</v>
      </c>
      <c r="D1397" t="s">
        <v>28</v>
      </c>
      <c r="E1397" t="s">
        <v>29</v>
      </c>
      <c r="F1397" t="s">
        <v>53</v>
      </c>
      <c r="G1397" t="s">
        <v>22</v>
      </c>
      <c r="H1397" t="s">
        <v>23</v>
      </c>
      <c r="I1397" t="s">
        <v>79</v>
      </c>
      <c r="J1397" t="s">
        <v>233</v>
      </c>
      <c r="K1397">
        <v>1</v>
      </c>
      <c r="L1397" s="2">
        <v>431.35</v>
      </c>
      <c r="M1397" s="3">
        <v>0.1</v>
      </c>
      <c r="N1397" s="2">
        <v>388.22</v>
      </c>
      <c r="O1397" s="2">
        <v>265.52</v>
      </c>
      <c r="P1397" s="2">
        <v>122.7</v>
      </c>
      <c r="Q1397" t="s">
        <v>34</v>
      </c>
    </row>
    <row r="1398" spans="1:17" x14ac:dyDescent="0.2">
      <c r="A1398" t="s">
        <v>1563</v>
      </c>
      <c r="B1398" s="1">
        <v>45821</v>
      </c>
      <c r="C1398" t="s">
        <v>36</v>
      </c>
      <c r="D1398" t="s">
        <v>67</v>
      </c>
      <c r="E1398" t="s">
        <v>323</v>
      </c>
      <c r="F1398" t="s">
        <v>46</v>
      </c>
      <c r="G1398" t="s">
        <v>75</v>
      </c>
      <c r="H1398" t="s">
        <v>31</v>
      </c>
      <c r="I1398" t="s">
        <v>112</v>
      </c>
      <c r="J1398" t="s">
        <v>176</v>
      </c>
      <c r="K1398">
        <v>2</v>
      </c>
      <c r="L1398" s="2">
        <v>442.58</v>
      </c>
      <c r="M1398" s="3">
        <v>0.1</v>
      </c>
      <c r="N1398" s="2">
        <v>796.64</v>
      </c>
      <c r="O1398" s="2">
        <v>613.52</v>
      </c>
      <c r="P1398" s="2">
        <v>183.12</v>
      </c>
      <c r="Q1398" t="s">
        <v>26</v>
      </c>
    </row>
    <row r="1399" spans="1:17" x14ac:dyDescent="0.2">
      <c r="A1399" t="s">
        <v>1564</v>
      </c>
      <c r="B1399" s="1">
        <v>45821</v>
      </c>
      <c r="C1399" t="s">
        <v>36</v>
      </c>
      <c r="D1399" t="s">
        <v>144</v>
      </c>
      <c r="E1399" t="s">
        <v>214</v>
      </c>
      <c r="F1399" t="s">
        <v>60</v>
      </c>
      <c r="G1399" t="s">
        <v>22</v>
      </c>
      <c r="H1399" t="s">
        <v>23</v>
      </c>
      <c r="I1399" t="s">
        <v>83</v>
      </c>
      <c r="J1399" t="s">
        <v>120</v>
      </c>
      <c r="K1399">
        <v>6</v>
      </c>
      <c r="L1399" s="2">
        <v>19.809999999999999</v>
      </c>
      <c r="M1399" s="3">
        <v>0.1</v>
      </c>
      <c r="N1399" s="2">
        <v>106.97</v>
      </c>
      <c r="O1399" s="2">
        <v>62.19</v>
      </c>
      <c r="P1399" s="2">
        <v>44.78</v>
      </c>
      <c r="Q1399" t="s">
        <v>57</v>
      </c>
    </row>
    <row r="1400" spans="1:17" x14ac:dyDescent="0.2">
      <c r="A1400" t="s">
        <v>1565</v>
      </c>
      <c r="B1400" s="1">
        <v>45821</v>
      </c>
      <c r="C1400" t="s">
        <v>43</v>
      </c>
      <c r="D1400" t="s">
        <v>208</v>
      </c>
      <c r="E1400" t="s">
        <v>230</v>
      </c>
      <c r="F1400" t="s">
        <v>46</v>
      </c>
      <c r="G1400" t="s">
        <v>75</v>
      </c>
      <c r="H1400" t="s">
        <v>47</v>
      </c>
      <c r="I1400" t="s">
        <v>97</v>
      </c>
      <c r="J1400" t="s">
        <v>98</v>
      </c>
      <c r="K1400">
        <v>7</v>
      </c>
      <c r="L1400" s="2">
        <v>387.16</v>
      </c>
      <c r="M1400" s="3">
        <v>0.15</v>
      </c>
      <c r="N1400" s="2">
        <v>2303.6</v>
      </c>
      <c r="O1400" s="2">
        <v>1780.98</v>
      </c>
      <c r="P1400" s="2">
        <v>522.62</v>
      </c>
      <c r="Q1400" t="s">
        <v>61</v>
      </c>
    </row>
    <row r="1401" spans="1:17" x14ac:dyDescent="0.2">
      <c r="A1401" t="s">
        <v>1566</v>
      </c>
      <c r="B1401" s="1">
        <v>45821</v>
      </c>
      <c r="C1401" t="s">
        <v>77</v>
      </c>
      <c r="D1401" t="s">
        <v>128</v>
      </c>
      <c r="E1401" t="s">
        <v>155</v>
      </c>
      <c r="F1401" t="s">
        <v>46</v>
      </c>
      <c r="G1401" t="s">
        <v>75</v>
      </c>
      <c r="H1401" t="s">
        <v>47</v>
      </c>
      <c r="I1401" t="s">
        <v>141</v>
      </c>
      <c r="J1401" t="s">
        <v>372</v>
      </c>
      <c r="K1401">
        <v>5</v>
      </c>
      <c r="L1401" s="2">
        <v>292.41000000000003</v>
      </c>
      <c r="M1401" s="3">
        <v>0</v>
      </c>
      <c r="N1401" s="2">
        <v>1462.05</v>
      </c>
      <c r="O1401" s="2">
        <v>1035.1099999999999</v>
      </c>
      <c r="P1401" s="2">
        <v>426.94</v>
      </c>
      <c r="Q1401" t="s">
        <v>34</v>
      </c>
    </row>
    <row r="1402" spans="1:17" x14ac:dyDescent="0.2">
      <c r="A1402" t="s">
        <v>1567</v>
      </c>
      <c r="B1402" s="1">
        <v>45821</v>
      </c>
      <c r="C1402" t="s">
        <v>36</v>
      </c>
      <c r="D1402" t="s">
        <v>144</v>
      </c>
      <c r="E1402" t="s">
        <v>232</v>
      </c>
      <c r="F1402" t="s">
        <v>53</v>
      </c>
      <c r="G1402" t="s">
        <v>54</v>
      </c>
      <c r="H1402" t="s">
        <v>31</v>
      </c>
      <c r="I1402" t="s">
        <v>64</v>
      </c>
      <c r="J1402" t="s">
        <v>65</v>
      </c>
      <c r="K1402">
        <v>1</v>
      </c>
      <c r="L1402" s="2">
        <v>64</v>
      </c>
      <c r="M1402" s="3">
        <v>0</v>
      </c>
      <c r="N1402" s="2">
        <v>64</v>
      </c>
      <c r="O1402" s="2">
        <v>46.6</v>
      </c>
      <c r="P1402" s="2">
        <v>17.399999999999999</v>
      </c>
      <c r="Q1402" t="s">
        <v>34</v>
      </c>
    </row>
    <row r="1403" spans="1:17" x14ac:dyDescent="0.2">
      <c r="A1403" t="s">
        <v>1568</v>
      </c>
      <c r="B1403" s="1">
        <v>45821</v>
      </c>
      <c r="C1403" t="s">
        <v>43</v>
      </c>
      <c r="D1403" t="s">
        <v>208</v>
      </c>
      <c r="E1403" t="s">
        <v>209</v>
      </c>
      <c r="F1403" t="s">
        <v>60</v>
      </c>
      <c r="G1403" t="s">
        <v>54</v>
      </c>
      <c r="H1403" t="s">
        <v>47</v>
      </c>
      <c r="I1403" t="s">
        <v>141</v>
      </c>
      <c r="J1403" t="s">
        <v>372</v>
      </c>
      <c r="K1403">
        <v>2</v>
      </c>
      <c r="L1403" s="2">
        <v>621.9</v>
      </c>
      <c r="M1403" s="3">
        <v>0.05</v>
      </c>
      <c r="N1403" s="2">
        <v>1181.6099999999999</v>
      </c>
      <c r="O1403" s="2">
        <v>742.87</v>
      </c>
      <c r="P1403" s="2">
        <v>438.74</v>
      </c>
      <c r="Q1403" t="s">
        <v>34</v>
      </c>
    </row>
    <row r="1404" spans="1:17" x14ac:dyDescent="0.2">
      <c r="A1404" t="s">
        <v>1569</v>
      </c>
      <c r="B1404" s="1">
        <v>45821</v>
      </c>
      <c r="C1404" t="s">
        <v>18</v>
      </c>
      <c r="D1404" t="s">
        <v>28</v>
      </c>
      <c r="E1404" t="s">
        <v>170</v>
      </c>
      <c r="F1404" t="s">
        <v>60</v>
      </c>
      <c r="G1404" t="s">
        <v>54</v>
      </c>
      <c r="H1404" t="s">
        <v>47</v>
      </c>
      <c r="I1404" t="s">
        <v>48</v>
      </c>
      <c r="J1404" t="s">
        <v>164</v>
      </c>
      <c r="K1404">
        <v>6</v>
      </c>
      <c r="L1404" s="2">
        <v>872.53</v>
      </c>
      <c r="M1404" s="3">
        <v>0.05</v>
      </c>
      <c r="N1404" s="2">
        <v>4973.42</v>
      </c>
      <c r="O1404" s="2">
        <v>3602.73</v>
      </c>
      <c r="P1404" s="2">
        <v>1370.69</v>
      </c>
      <c r="Q1404" t="s">
        <v>26</v>
      </c>
    </row>
    <row r="1405" spans="1:17" x14ac:dyDescent="0.2">
      <c r="A1405" t="s">
        <v>1570</v>
      </c>
      <c r="B1405" s="1">
        <v>45822</v>
      </c>
      <c r="C1405" t="s">
        <v>36</v>
      </c>
      <c r="D1405" t="s">
        <v>110</v>
      </c>
      <c r="E1405" t="s">
        <v>203</v>
      </c>
      <c r="F1405" t="s">
        <v>60</v>
      </c>
      <c r="G1405" t="s">
        <v>22</v>
      </c>
      <c r="H1405" t="s">
        <v>31</v>
      </c>
      <c r="I1405" t="s">
        <v>40</v>
      </c>
      <c r="J1405" t="s">
        <v>122</v>
      </c>
      <c r="K1405">
        <v>4</v>
      </c>
      <c r="L1405" s="2">
        <v>108.49</v>
      </c>
      <c r="M1405" s="3">
        <v>0.1</v>
      </c>
      <c r="N1405" s="2">
        <v>390.56</v>
      </c>
      <c r="O1405" s="2">
        <v>218.94</v>
      </c>
      <c r="P1405" s="2">
        <v>171.62</v>
      </c>
      <c r="Q1405" t="s">
        <v>57</v>
      </c>
    </row>
    <row r="1406" spans="1:17" x14ac:dyDescent="0.2">
      <c r="A1406" t="s">
        <v>1571</v>
      </c>
      <c r="B1406" s="1">
        <v>45822</v>
      </c>
      <c r="C1406" t="s">
        <v>77</v>
      </c>
      <c r="D1406" t="s">
        <v>149</v>
      </c>
      <c r="E1406" t="s">
        <v>150</v>
      </c>
      <c r="F1406" t="s">
        <v>60</v>
      </c>
      <c r="G1406" t="s">
        <v>75</v>
      </c>
      <c r="H1406" t="s">
        <v>31</v>
      </c>
      <c r="I1406" t="s">
        <v>112</v>
      </c>
      <c r="J1406" t="s">
        <v>136</v>
      </c>
      <c r="K1406">
        <v>7</v>
      </c>
      <c r="L1406" s="2">
        <v>160.09</v>
      </c>
      <c r="M1406" s="3">
        <v>0.15</v>
      </c>
      <c r="N1406" s="2">
        <v>952.54</v>
      </c>
      <c r="O1406" s="2">
        <v>667.84</v>
      </c>
      <c r="P1406" s="2">
        <v>284.7</v>
      </c>
      <c r="Q1406" t="s">
        <v>57</v>
      </c>
    </row>
    <row r="1407" spans="1:17" x14ac:dyDescent="0.2">
      <c r="A1407" t="s">
        <v>1572</v>
      </c>
      <c r="B1407" s="1">
        <v>45822</v>
      </c>
      <c r="C1407" t="s">
        <v>36</v>
      </c>
      <c r="D1407" t="s">
        <v>37</v>
      </c>
      <c r="E1407" t="s">
        <v>187</v>
      </c>
      <c r="F1407" t="s">
        <v>138</v>
      </c>
      <c r="G1407" t="s">
        <v>75</v>
      </c>
      <c r="H1407" t="s">
        <v>23</v>
      </c>
      <c r="I1407" t="s">
        <v>83</v>
      </c>
      <c r="J1407" t="s">
        <v>120</v>
      </c>
      <c r="K1407">
        <v>7</v>
      </c>
      <c r="L1407" s="2">
        <v>24.91</v>
      </c>
      <c r="M1407" s="3">
        <v>0</v>
      </c>
      <c r="N1407" s="2">
        <v>174.37</v>
      </c>
      <c r="O1407" s="2">
        <v>115.07</v>
      </c>
      <c r="P1407" s="2">
        <v>59.3</v>
      </c>
      <c r="Q1407" t="s">
        <v>57</v>
      </c>
    </row>
    <row r="1408" spans="1:17" x14ac:dyDescent="0.2">
      <c r="A1408" t="s">
        <v>1573</v>
      </c>
      <c r="B1408" s="1">
        <v>45822</v>
      </c>
      <c r="C1408" t="s">
        <v>43</v>
      </c>
      <c r="D1408" t="s">
        <v>208</v>
      </c>
      <c r="E1408" t="s">
        <v>230</v>
      </c>
      <c r="F1408" t="s">
        <v>71</v>
      </c>
      <c r="G1408" t="s">
        <v>22</v>
      </c>
      <c r="H1408" t="s">
        <v>23</v>
      </c>
      <c r="I1408" t="s">
        <v>79</v>
      </c>
      <c r="J1408" t="s">
        <v>179</v>
      </c>
      <c r="K1408">
        <v>4</v>
      </c>
      <c r="L1408" s="2">
        <v>268.02</v>
      </c>
      <c r="M1408" s="3">
        <v>0.05</v>
      </c>
      <c r="N1408" s="2">
        <v>1018.48</v>
      </c>
      <c r="O1408" s="2">
        <v>812.55</v>
      </c>
      <c r="P1408" s="2">
        <v>205.93</v>
      </c>
      <c r="Q1408" t="s">
        <v>26</v>
      </c>
    </row>
    <row r="1409" spans="1:17" x14ac:dyDescent="0.2">
      <c r="A1409" t="s">
        <v>1574</v>
      </c>
      <c r="B1409" s="1">
        <v>45822</v>
      </c>
      <c r="C1409" t="s">
        <v>36</v>
      </c>
      <c r="D1409" t="s">
        <v>67</v>
      </c>
      <c r="E1409" t="s">
        <v>270</v>
      </c>
      <c r="F1409" t="s">
        <v>30</v>
      </c>
      <c r="G1409" t="s">
        <v>22</v>
      </c>
      <c r="H1409" t="s">
        <v>31</v>
      </c>
      <c r="I1409" t="s">
        <v>32</v>
      </c>
      <c r="J1409" t="s">
        <v>258</v>
      </c>
      <c r="K1409">
        <v>1</v>
      </c>
      <c r="L1409" s="2">
        <v>1579.75</v>
      </c>
      <c r="M1409" s="3">
        <v>0.1</v>
      </c>
      <c r="N1409" s="2">
        <v>1421.78</v>
      </c>
      <c r="O1409" s="2">
        <v>1073.69</v>
      </c>
      <c r="P1409" s="2">
        <v>348.09</v>
      </c>
      <c r="Q1409" t="s">
        <v>26</v>
      </c>
    </row>
    <row r="1410" spans="1:17" x14ac:dyDescent="0.2">
      <c r="A1410" t="s">
        <v>1575</v>
      </c>
      <c r="B1410" s="1">
        <v>45822</v>
      </c>
      <c r="C1410" t="s">
        <v>18</v>
      </c>
      <c r="D1410" t="s">
        <v>152</v>
      </c>
      <c r="E1410" t="s">
        <v>153</v>
      </c>
      <c r="F1410" t="s">
        <v>71</v>
      </c>
      <c r="G1410" t="s">
        <v>22</v>
      </c>
      <c r="H1410" t="s">
        <v>31</v>
      </c>
      <c r="I1410" t="s">
        <v>64</v>
      </c>
      <c r="J1410" t="s">
        <v>65</v>
      </c>
      <c r="K1410">
        <v>2</v>
      </c>
      <c r="L1410" s="2">
        <v>87.68</v>
      </c>
      <c r="M1410" s="3">
        <v>0.1</v>
      </c>
      <c r="N1410" s="2">
        <v>157.82</v>
      </c>
      <c r="O1410" s="2">
        <v>105.25</v>
      </c>
      <c r="P1410" s="2">
        <v>52.57</v>
      </c>
      <c r="Q1410" t="s">
        <v>34</v>
      </c>
    </row>
    <row r="1411" spans="1:17" x14ac:dyDescent="0.2">
      <c r="A1411" t="s">
        <v>1576</v>
      </c>
      <c r="B1411" s="1">
        <v>45822</v>
      </c>
      <c r="C1411" t="s">
        <v>36</v>
      </c>
      <c r="D1411" t="s">
        <v>67</v>
      </c>
      <c r="E1411" t="s">
        <v>323</v>
      </c>
      <c r="F1411" t="s">
        <v>138</v>
      </c>
      <c r="G1411" t="s">
        <v>22</v>
      </c>
      <c r="H1411" t="s">
        <v>47</v>
      </c>
      <c r="I1411" t="s">
        <v>89</v>
      </c>
      <c r="J1411" t="s">
        <v>90</v>
      </c>
      <c r="K1411">
        <v>6</v>
      </c>
      <c r="L1411" s="2">
        <v>240.61</v>
      </c>
      <c r="M1411" s="3">
        <v>0.05</v>
      </c>
      <c r="N1411" s="2">
        <v>1371.48</v>
      </c>
      <c r="O1411" s="2">
        <v>897.94</v>
      </c>
      <c r="P1411" s="2">
        <v>473.54</v>
      </c>
      <c r="Q1411" t="s">
        <v>57</v>
      </c>
    </row>
    <row r="1412" spans="1:17" x14ac:dyDescent="0.2">
      <c r="A1412" t="s">
        <v>1577</v>
      </c>
      <c r="B1412" s="1">
        <v>45822</v>
      </c>
      <c r="C1412" t="s">
        <v>18</v>
      </c>
      <c r="D1412" t="s">
        <v>28</v>
      </c>
      <c r="E1412" t="s">
        <v>157</v>
      </c>
      <c r="F1412" t="s">
        <v>71</v>
      </c>
      <c r="G1412" t="s">
        <v>22</v>
      </c>
      <c r="H1412" t="s">
        <v>31</v>
      </c>
      <c r="I1412" t="s">
        <v>40</v>
      </c>
      <c r="J1412" t="s">
        <v>41</v>
      </c>
      <c r="K1412">
        <v>4</v>
      </c>
      <c r="L1412" s="2">
        <v>233.07</v>
      </c>
      <c r="M1412" s="3">
        <v>0.2</v>
      </c>
      <c r="N1412" s="2">
        <v>745.82</v>
      </c>
      <c r="O1412" s="2">
        <v>514.77</v>
      </c>
      <c r="P1412" s="2">
        <v>231.05</v>
      </c>
      <c r="Q1412" t="s">
        <v>61</v>
      </c>
    </row>
    <row r="1413" spans="1:17" x14ac:dyDescent="0.2">
      <c r="A1413" t="s">
        <v>1578</v>
      </c>
      <c r="B1413" s="1">
        <v>45822</v>
      </c>
      <c r="C1413" t="s">
        <v>43</v>
      </c>
      <c r="D1413" t="s">
        <v>161</v>
      </c>
      <c r="E1413" t="s">
        <v>172</v>
      </c>
      <c r="F1413" t="s">
        <v>21</v>
      </c>
      <c r="G1413" t="s">
        <v>54</v>
      </c>
      <c r="H1413" t="s">
        <v>31</v>
      </c>
      <c r="I1413" t="s">
        <v>32</v>
      </c>
      <c r="J1413" t="s">
        <v>258</v>
      </c>
      <c r="K1413">
        <v>9</v>
      </c>
      <c r="L1413" s="2">
        <v>1221.9000000000001</v>
      </c>
      <c r="M1413" s="3">
        <v>0</v>
      </c>
      <c r="N1413" s="2">
        <v>10997.1</v>
      </c>
      <c r="O1413" s="2">
        <v>6968.69</v>
      </c>
      <c r="P1413" s="2">
        <v>4028.41</v>
      </c>
      <c r="Q1413" t="s">
        <v>61</v>
      </c>
    </row>
    <row r="1414" spans="1:17" x14ac:dyDescent="0.2">
      <c r="A1414" t="s">
        <v>1579</v>
      </c>
      <c r="B1414" s="1">
        <v>45822</v>
      </c>
      <c r="C1414" t="s">
        <v>18</v>
      </c>
      <c r="D1414" t="s">
        <v>152</v>
      </c>
      <c r="E1414" t="s">
        <v>185</v>
      </c>
      <c r="F1414" t="s">
        <v>53</v>
      </c>
      <c r="G1414" t="s">
        <v>22</v>
      </c>
      <c r="H1414" t="s">
        <v>31</v>
      </c>
      <c r="I1414" t="s">
        <v>112</v>
      </c>
      <c r="J1414" t="s">
        <v>113</v>
      </c>
      <c r="K1414">
        <v>9</v>
      </c>
      <c r="L1414" s="2">
        <v>465.28</v>
      </c>
      <c r="M1414" s="3">
        <v>0</v>
      </c>
      <c r="N1414" s="2">
        <v>4187.5200000000004</v>
      </c>
      <c r="O1414" s="2">
        <v>3295.65</v>
      </c>
      <c r="P1414" s="2">
        <v>891.87</v>
      </c>
      <c r="Q1414" t="s">
        <v>61</v>
      </c>
    </row>
    <row r="1415" spans="1:17" x14ac:dyDescent="0.2">
      <c r="A1415" t="s">
        <v>1580</v>
      </c>
      <c r="B1415" s="1">
        <v>45822</v>
      </c>
      <c r="C1415" t="s">
        <v>18</v>
      </c>
      <c r="D1415" t="s">
        <v>133</v>
      </c>
      <c r="E1415" t="s">
        <v>197</v>
      </c>
      <c r="F1415" t="s">
        <v>71</v>
      </c>
      <c r="G1415" t="s">
        <v>75</v>
      </c>
      <c r="H1415" t="s">
        <v>23</v>
      </c>
      <c r="I1415" t="s">
        <v>83</v>
      </c>
      <c r="J1415" t="s">
        <v>120</v>
      </c>
      <c r="K1415">
        <v>10</v>
      </c>
      <c r="L1415" s="2">
        <v>29.41</v>
      </c>
      <c r="M1415" s="3">
        <v>0</v>
      </c>
      <c r="N1415" s="2">
        <v>294.10000000000002</v>
      </c>
      <c r="O1415" s="2">
        <v>221.79</v>
      </c>
      <c r="P1415" s="2">
        <v>72.31</v>
      </c>
      <c r="Q1415" t="s">
        <v>26</v>
      </c>
    </row>
    <row r="1416" spans="1:17" x14ac:dyDescent="0.2">
      <c r="A1416" t="s">
        <v>1581</v>
      </c>
      <c r="B1416" s="1">
        <v>45823</v>
      </c>
      <c r="C1416" t="s">
        <v>77</v>
      </c>
      <c r="D1416" t="s">
        <v>128</v>
      </c>
      <c r="E1416" t="s">
        <v>129</v>
      </c>
      <c r="F1416" t="s">
        <v>53</v>
      </c>
      <c r="G1416" t="s">
        <v>22</v>
      </c>
      <c r="H1416" t="s">
        <v>23</v>
      </c>
      <c r="I1416" t="s">
        <v>83</v>
      </c>
      <c r="J1416" t="s">
        <v>131</v>
      </c>
      <c r="K1416">
        <v>6</v>
      </c>
      <c r="L1416" s="2">
        <v>32.369999999999997</v>
      </c>
      <c r="M1416" s="3">
        <v>0.2</v>
      </c>
      <c r="N1416" s="2">
        <v>155.38</v>
      </c>
      <c r="O1416" s="2">
        <v>111.02</v>
      </c>
      <c r="P1416" s="2">
        <v>44.36</v>
      </c>
      <c r="Q1416" t="s">
        <v>57</v>
      </c>
    </row>
    <row r="1417" spans="1:17" x14ac:dyDescent="0.2">
      <c r="A1417" t="s">
        <v>1582</v>
      </c>
      <c r="B1417" s="1">
        <v>45823</v>
      </c>
      <c r="C1417" t="s">
        <v>77</v>
      </c>
      <c r="D1417" t="s">
        <v>128</v>
      </c>
      <c r="E1417" t="s">
        <v>129</v>
      </c>
      <c r="F1417" t="s">
        <v>138</v>
      </c>
      <c r="G1417" t="s">
        <v>54</v>
      </c>
      <c r="H1417" t="s">
        <v>31</v>
      </c>
      <c r="I1417" t="s">
        <v>64</v>
      </c>
      <c r="J1417" t="s">
        <v>126</v>
      </c>
      <c r="K1417">
        <v>8</v>
      </c>
      <c r="L1417" s="2">
        <v>31.63</v>
      </c>
      <c r="M1417" s="3">
        <v>0.1</v>
      </c>
      <c r="N1417" s="2">
        <v>227.74</v>
      </c>
      <c r="O1417" s="2">
        <v>177.29</v>
      </c>
      <c r="P1417" s="2">
        <v>50.45</v>
      </c>
      <c r="Q1417" t="s">
        <v>26</v>
      </c>
    </row>
    <row r="1418" spans="1:17" x14ac:dyDescent="0.2">
      <c r="A1418" t="s">
        <v>1583</v>
      </c>
      <c r="B1418" s="1">
        <v>45823</v>
      </c>
      <c r="C1418" t="s">
        <v>36</v>
      </c>
      <c r="D1418" t="s">
        <v>37</v>
      </c>
      <c r="E1418" t="s">
        <v>38</v>
      </c>
      <c r="F1418" t="s">
        <v>71</v>
      </c>
      <c r="G1418" t="s">
        <v>75</v>
      </c>
      <c r="H1418" t="s">
        <v>23</v>
      </c>
      <c r="I1418" t="s">
        <v>55</v>
      </c>
      <c r="J1418" t="s">
        <v>173</v>
      </c>
      <c r="K1418">
        <v>6</v>
      </c>
      <c r="L1418" s="2">
        <v>17.079999999999998</v>
      </c>
      <c r="M1418" s="3">
        <v>0.2</v>
      </c>
      <c r="N1418" s="2">
        <v>81.98</v>
      </c>
      <c r="O1418" s="2">
        <v>45.58</v>
      </c>
      <c r="P1418" s="2">
        <v>36.4</v>
      </c>
      <c r="Q1418" t="s">
        <v>57</v>
      </c>
    </row>
    <row r="1419" spans="1:17" x14ac:dyDescent="0.2">
      <c r="A1419" t="s">
        <v>1584</v>
      </c>
      <c r="B1419" s="1">
        <v>45823</v>
      </c>
      <c r="C1419" t="s">
        <v>43</v>
      </c>
      <c r="D1419" t="s">
        <v>161</v>
      </c>
      <c r="E1419" t="s">
        <v>172</v>
      </c>
      <c r="F1419" t="s">
        <v>21</v>
      </c>
      <c r="G1419" t="s">
        <v>75</v>
      </c>
      <c r="H1419" t="s">
        <v>47</v>
      </c>
      <c r="I1419" t="s">
        <v>48</v>
      </c>
      <c r="J1419" t="s">
        <v>49</v>
      </c>
      <c r="K1419">
        <v>5</v>
      </c>
      <c r="L1419" s="2">
        <v>693.74</v>
      </c>
      <c r="M1419" s="3">
        <v>0.2</v>
      </c>
      <c r="N1419" s="2">
        <v>2774.96</v>
      </c>
      <c r="O1419" s="2">
        <v>1699.92</v>
      </c>
      <c r="P1419" s="2">
        <v>1075.04</v>
      </c>
      <c r="Q1419" t="s">
        <v>61</v>
      </c>
    </row>
    <row r="1420" spans="1:17" x14ac:dyDescent="0.2">
      <c r="A1420" t="s">
        <v>1585</v>
      </c>
      <c r="B1420" s="1">
        <v>45823</v>
      </c>
      <c r="C1420" t="s">
        <v>18</v>
      </c>
      <c r="D1420" t="s">
        <v>28</v>
      </c>
      <c r="E1420" t="s">
        <v>157</v>
      </c>
      <c r="F1420" t="s">
        <v>69</v>
      </c>
      <c r="G1420" t="s">
        <v>22</v>
      </c>
      <c r="H1420" t="s">
        <v>47</v>
      </c>
      <c r="I1420" t="s">
        <v>97</v>
      </c>
      <c r="J1420" t="s">
        <v>168</v>
      </c>
      <c r="K1420">
        <v>10</v>
      </c>
      <c r="L1420" s="2">
        <v>461.47</v>
      </c>
      <c r="M1420" s="3">
        <v>0.05</v>
      </c>
      <c r="N1420" s="2">
        <v>4383.96</v>
      </c>
      <c r="O1420" s="2">
        <v>2746.09</v>
      </c>
      <c r="P1420" s="2">
        <v>1637.87</v>
      </c>
      <c r="Q1420" t="s">
        <v>26</v>
      </c>
    </row>
    <row r="1421" spans="1:17" x14ac:dyDescent="0.2">
      <c r="A1421" t="s">
        <v>1586</v>
      </c>
      <c r="B1421" s="1">
        <v>45823</v>
      </c>
      <c r="C1421" t="s">
        <v>18</v>
      </c>
      <c r="D1421" t="s">
        <v>133</v>
      </c>
      <c r="E1421" t="s">
        <v>226</v>
      </c>
      <c r="F1421" t="s">
        <v>21</v>
      </c>
      <c r="G1421" t="s">
        <v>75</v>
      </c>
      <c r="H1421" t="s">
        <v>23</v>
      </c>
      <c r="I1421" t="s">
        <v>79</v>
      </c>
      <c r="J1421" t="s">
        <v>179</v>
      </c>
      <c r="K1421">
        <v>2</v>
      </c>
      <c r="L1421" s="2">
        <v>161.36000000000001</v>
      </c>
      <c r="M1421" s="3">
        <v>0</v>
      </c>
      <c r="N1421" s="2">
        <v>322.72000000000003</v>
      </c>
      <c r="O1421" s="2">
        <v>257.5</v>
      </c>
      <c r="P1421" s="2">
        <v>65.22</v>
      </c>
      <c r="Q1421" t="s">
        <v>57</v>
      </c>
    </row>
    <row r="1422" spans="1:17" x14ac:dyDescent="0.2">
      <c r="A1422" t="s">
        <v>1587</v>
      </c>
      <c r="B1422" s="1">
        <v>45824</v>
      </c>
      <c r="C1422" t="s">
        <v>36</v>
      </c>
      <c r="D1422" t="s">
        <v>37</v>
      </c>
      <c r="E1422" t="s">
        <v>187</v>
      </c>
      <c r="F1422" t="s">
        <v>130</v>
      </c>
      <c r="G1422" t="s">
        <v>22</v>
      </c>
      <c r="H1422" t="s">
        <v>23</v>
      </c>
      <c r="I1422" t="s">
        <v>24</v>
      </c>
      <c r="J1422" t="s">
        <v>220</v>
      </c>
      <c r="K1422">
        <v>8</v>
      </c>
      <c r="L1422" s="2">
        <v>19.559999999999999</v>
      </c>
      <c r="M1422" s="3">
        <v>0</v>
      </c>
      <c r="N1422" s="2">
        <v>156.47999999999999</v>
      </c>
      <c r="O1422" s="2">
        <v>126.44</v>
      </c>
      <c r="P1422" s="2">
        <v>30.04</v>
      </c>
      <c r="Q1422" t="s">
        <v>57</v>
      </c>
    </row>
    <row r="1423" spans="1:17" x14ac:dyDescent="0.2">
      <c r="A1423" t="s">
        <v>1588</v>
      </c>
      <c r="B1423" s="1">
        <v>45824</v>
      </c>
      <c r="C1423" t="s">
        <v>43</v>
      </c>
      <c r="D1423" t="s">
        <v>161</v>
      </c>
      <c r="E1423" t="s">
        <v>418</v>
      </c>
      <c r="F1423" t="s">
        <v>21</v>
      </c>
      <c r="G1423" t="s">
        <v>22</v>
      </c>
      <c r="H1423" t="s">
        <v>31</v>
      </c>
      <c r="I1423" t="s">
        <v>112</v>
      </c>
      <c r="J1423" t="s">
        <v>136</v>
      </c>
      <c r="K1423">
        <v>10</v>
      </c>
      <c r="L1423" s="2">
        <v>628.96</v>
      </c>
      <c r="M1423" s="3">
        <v>0.05</v>
      </c>
      <c r="N1423" s="2">
        <v>5975.12</v>
      </c>
      <c r="O1423" s="2">
        <v>4545.91</v>
      </c>
      <c r="P1423" s="2">
        <v>1429.21</v>
      </c>
      <c r="Q1423" t="s">
        <v>26</v>
      </c>
    </row>
    <row r="1424" spans="1:17" x14ac:dyDescent="0.2">
      <c r="A1424" t="s">
        <v>1589</v>
      </c>
      <c r="B1424" s="1">
        <v>45824</v>
      </c>
      <c r="C1424" t="s">
        <v>77</v>
      </c>
      <c r="D1424" t="s">
        <v>95</v>
      </c>
      <c r="E1424" t="s">
        <v>300</v>
      </c>
      <c r="F1424" t="s">
        <v>30</v>
      </c>
      <c r="G1424" t="s">
        <v>75</v>
      </c>
      <c r="H1424" t="s">
        <v>47</v>
      </c>
      <c r="I1424" t="s">
        <v>141</v>
      </c>
      <c r="J1424" t="s">
        <v>142</v>
      </c>
      <c r="K1424">
        <v>5</v>
      </c>
      <c r="L1424" s="2">
        <v>233.79</v>
      </c>
      <c r="M1424" s="3">
        <v>0.05</v>
      </c>
      <c r="N1424" s="2">
        <v>1110.5</v>
      </c>
      <c r="O1424" s="2">
        <v>878.37</v>
      </c>
      <c r="P1424" s="2">
        <v>232.13</v>
      </c>
      <c r="Q1424" t="s">
        <v>61</v>
      </c>
    </row>
    <row r="1425" spans="1:17" x14ac:dyDescent="0.2">
      <c r="A1425" t="s">
        <v>1590</v>
      </c>
      <c r="B1425" s="1">
        <v>45824</v>
      </c>
      <c r="C1425" t="s">
        <v>43</v>
      </c>
      <c r="D1425" t="s">
        <v>208</v>
      </c>
      <c r="E1425" t="s">
        <v>209</v>
      </c>
      <c r="F1425" t="s">
        <v>130</v>
      </c>
      <c r="G1425" t="s">
        <v>22</v>
      </c>
      <c r="H1425" t="s">
        <v>31</v>
      </c>
      <c r="I1425" t="s">
        <v>32</v>
      </c>
      <c r="J1425" t="s">
        <v>258</v>
      </c>
      <c r="K1425">
        <v>8</v>
      </c>
      <c r="L1425" s="2">
        <v>1395.86</v>
      </c>
      <c r="M1425" s="3">
        <v>0.1</v>
      </c>
      <c r="N1425" s="2">
        <v>10050.19</v>
      </c>
      <c r="O1425" s="2">
        <v>7586.52</v>
      </c>
      <c r="P1425" s="2">
        <v>2463.67</v>
      </c>
      <c r="Q1425" t="s">
        <v>26</v>
      </c>
    </row>
    <row r="1426" spans="1:17" x14ac:dyDescent="0.2">
      <c r="A1426" t="s">
        <v>1591</v>
      </c>
      <c r="B1426" s="1">
        <v>45824</v>
      </c>
      <c r="C1426" t="s">
        <v>43</v>
      </c>
      <c r="D1426" t="s">
        <v>161</v>
      </c>
      <c r="E1426" t="s">
        <v>172</v>
      </c>
      <c r="F1426" t="s">
        <v>21</v>
      </c>
      <c r="G1426" t="s">
        <v>22</v>
      </c>
      <c r="H1426" t="s">
        <v>23</v>
      </c>
      <c r="I1426" t="s">
        <v>79</v>
      </c>
      <c r="J1426" t="s">
        <v>233</v>
      </c>
      <c r="K1426">
        <v>8</v>
      </c>
      <c r="L1426" s="2">
        <v>493.84</v>
      </c>
      <c r="M1426" s="3">
        <v>0.1</v>
      </c>
      <c r="N1426" s="2">
        <v>3555.65</v>
      </c>
      <c r="O1426" s="2">
        <v>2415.89</v>
      </c>
      <c r="P1426" s="2">
        <v>1139.76</v>
      </c>
      <c r="Q1426" t="s">
        <v>57</v>
      </c>
    </row>
    <row r="1427" spans="1:17" x14ac:dyDescent="0.2">
      <c r="A1427" t="s">
        <v>1592</v>
      </c>
      <c r="B1427" s="1">
        <v>45824</v>
      </c>
      <c r="C1427" t="s">
        <v>36</v>
      </c>
      <c r="D1427" t="s">
        <v>37</v>
      </c>
      <c r="E1427" t="s">
        <v>255</v>
      </c>
      <c r="F1427" t="s">
        <v>130</v>
      </c>
      <c r="G1427" t="s">
        <v>22</v>
      </c>
      <c r="H1427" t="s">
        <v>31</v>
      </c>
      <c r="I1427" t="s">
        <v>32</v>
      </c>
      <c r="J1427" t="s">
        <v>104</v>
      </c>
      <c r="K1427">
        <v>10</v>
      </c>
      <c r="L1427" s="2">
        <v>693.34</v>
      </c>
      <c r="M1427" s="3">
        <v>0.05</v>
      </c>
      <c r="N1427" s="2">
        <v>6586.73</v>
      </c>
      <c r="O1427" s="2">
        <v>4658.0600000000004</v>
      </c>
      <c r="P1427" s="2">
        <v>1928.67</v>
      </c>
      <c r="Q1427" t="s">
        <v>57</v>
      </c>
    </row>
    <row r="1428" spans="1:17" x14ac:dyDescent="0.2">
      <c r="A1428" t="s">
        <v>1593</v>
      </c>
      <c r="B1428" s="1">
        <v>45825</v>
      </c>
      <c r="C1428" t="s">
        <v>36</v>
      </c>
      <c r="D1428" t="s">
        <v>37</v>
      </c>
      <c r="E1428" t="s">
        <v>255</v>
      </c>
      <c r="F1428" t="s">
        <v>53</v>
      </c>
      <c r="G1428" t="s">
        <v>22</v>
      </c>
      <c r="H1428" t="s">
        <v>47</v>
      </c>
      <c r="I1428" t="s">
        <v>97</v>
      </c>
      <c r="J1428" t="s">
        <v>116</v>
      </c>
      <c r="K1428">
        <v>6</v>
      </c>
      <c r="L1428" s="2">
        <v>575.80999999999995</v>
      </c>
      <c r="M1428" s="3">
        <v>0.2</v>
      </c>
      <c r="N1428" s="2">
        <v>2763.89</v>
      </c>
      <c r="O1428" s="2">
        <v>2233.81</v>
      </c>
      <c r="P1428" s="2">
        <v>530.08000000000004</v>
      </c>
      <c r="Q1428" t="s">
        <v>61</v>
      </c>
    </row>
    <row r="1429" spans="1:17" x14ac:dyDescent="0.2">
      <c r="A1429" t="s">
        <v>1594</v>
      </c>
      <c r="B1429" s="1">
        <v>45825</v>
      </c>
      <c r="C1429" t="s">
        <v>77</v>
      </c>
      <c r="D1429" t="s">
        <v>78</v>
      </c>
      <c r="E1429" t="s">
        <v>261</v>
      </c>
      <c r="F1429" t="s">
        <v>130</v>
      </c>
      <c r="G1429" t="s">
        <v>75</v>
      </c>
      <c r="H1429" t="s">
        <v>31</v>
      </c>
      <c r="I1429" t="s">
        <v>64</v>
      </c>
      <c r="J1429" t="s">
        <v>252</v>
      </c>
      <c r="K1429">
        <v>6</v>
      </c>
      <c r="L1429" s="2">
        <v>136.63</v>
      </c>
      <c r="M1429" s="3">
        <v>0.1</v>
      </c>
      <c r="N1429" s="2">
        <v>737.8</v>
      </c>
      <c r="O1429" s="2">
        <v>520.45000000000005</v>
      </c>
      <c r="P1429" s="2">
        <v>217.35</v>
      </c>
      <c r="Q1429" t="s">
        <v>34</v>
      </c>
    </row>
    <row r="1430" spans="1:17" x14ac:dyDescent="0.2">
      <c r="A1430" t="s">
        <v>1595</v>
      </c>
      <c r="B1430" s="1">
        <v>45825</v>
      </c>
      <c r="C1430" t="s">
        <v>77</v>
      </c>
      <c r="D1430" t="s">
        <v>106</v>
      </c>
      <c r="E1430" t="s">
        <v>303</v>
      </c>
      <c r="F1430" t="s">
        <v>71</v>
      </c>
      <c r="G1430" t="s">
        <v>54</v>
      </c>
      <c r="H1430" t="s">
        <v>31</v>
      </c>
      <c r="I1430" t="s">
        <v>112</v>
      </c>
      <c r="J1430" t="s">
        <v>113</v>
      </c>
      <c r="K1430">
        <v>10</v>
      </c>
      <c r="L1430" s="2">
        <v>485.17</v>
      </c>
      <c r="M1430" s="3">
        <v>0.1</v>
      </c>
      <c r="N1430" s="2">
        <v>4366.53</v>
      </c>
      <c r="O1430" s="2">
        <v>2874.14</v>
      </c>
      <c r="P1430" s="2">
        <v>1492.39</v>
      </c>
      <c r="Q1430" t="s">
        <v>61</v>
      </c>
    </row>
    <row r="1431" spans="1:17" x14ac:dyDescent="0.2">
      <c r="A1431" t="s">
        <v>1596</v>
      </c>
      <c r="B1431" s="1">
        <v>45825</v>
      </c>
      <c r="C1431" t="s">
        <v>18</v>
      </c>
      <c r="D1431" t="s">
        <v>28</v>
      </c>
      <c r="E1431" t="s">
        <v>170</v>
      </c>
      <c r="F1431" t="s">
        <v>130</v>
      </c>
      <c r="G1431" t="s">
        <v>75</v>
      </c>
      <c r="H1431" t="s">
        <v>47</v>
      </c>
      <c r="I1431" t="s">
        <v>141</v>
      </c>
      <c r="J1431" t="s">
        <v>142</v>
      </c>
      <c r="K1431">
        <v>9</v>
      </c>
      <c r="L1431" s="2">
        <v>371.55</v>
      </c>
      <c r="M1431" s="3">
        <v>0</v>
      </c>
      <c r="N1431" s="2">
        <v>3343.95</v>
      </c>
      <c r="O1431" s="2">
        <v>2661.2</v>
      </c>
      <c r="P1431" s="2">
        <v>682.75</v>
      </c>
      <c r="Q1431" t="s">
        <v>26</v>
      </c>
    </row>
    <row r="1432" spans="1:17" x14ac:dyDescent="0.2">
      <c r="A1432" t="s">
        <v>1597</v>
      </c>
      <c r="B1432" s="1">
        <v>45825</v>
      </c>
      <c r="C1432" t="s">
        <v>36</v>
      </c>
      <c r="D1432" t="s">
        <v>37</v>
      </c>
      <c r="E1432" t="s">
        <v>255</v>
      </c>
      <c r="F1432" t="s">
        <v>71</v>
      </c>
      <c r="G1432" t="s">
        <v>22</v>
      </c>
      <c r="H1432" t="s">
        <v>31</v>
      </c>
      <c r="I1432" t="s">
        <v>112</v>
      </c>
      <c r="J1432" t="s">
        <v>176</v>
      </c>
      <c r="K1432">
        <v>5</v>
      </c>
      <c r="L1432" s="2">
        <v>418.71</v>
      </c>
      <c r="M1432" s="3">
        <v>0.15</v>
      </c>
      <c r="N1432" s="2">
        <v>1779.52</v>
      </c>
      <c r="O1432" s="2">
        <v>1268.47</v>
      </c>
      <c r="P1432" s="2">
        <v>511.05</v>
      </c>
      <c r="Q1432" t="s">
        <v>57</v>
      </c>
    </row>
    <row r="1433" spans="1:17" x14ac:dyDescent="0.2">
      <c r="A1433" t="s">
        <v>1598</v>
      </c>
      <c r="B1433" s="1">
        <v>45825</v>
      </c>
      <c r="C1433" t="s">
        <v>77</v>
      </c>
      <c r="D1433" t="s">
        <v>95</v>
      </c>
      <c r="E1433" t="s">
        <v>367</v>
      </c>
      <c r="F1433" t="s">
        <v>60</v>
      </c>
      <c r="G1433" t="s">
        <v>22</v>
      </c>
      <c r="H1433" t="s">
        <v>31</v>
      </c>
      <c r="I1433" t="s">
        <v>40</v>
      </c>
      <c r="J1433" t="s">
        <v>122</v>
      </c>
      <c r="K1433">
        <v>10</v>
      </c>
      <c r="L1433" s="2">
        <v>191.25</v>
      </c>
      <c r="M1433" s="3">
        <v>0.15</v>
      </c>
      <c r="N1433" s="2">
        <v>1625.62</v>
      </c>
      <c r="O1433" s="2">
        <v>1283.3599999999999</v>
      </c>
      <c r="P1433" s="2">
        <v>342.26</v>
      </c>
      <c r="Q1433" t="s">
        <v>57</v>
      </c>
    </row>
    <row r="1434" spans="1:17" x14ac:dyDescent="0.2">
      <c r="A1434" t="s">
        <v>1599</v>
      </c>
      <c r="B1434" s="1">
        <v>45826</v>
      </c>
      <c r="C1434" t="s">
        <v>43</v>
      </c>
      <c r="D1434" t="s">
        <v>51</v>
      </c>
      <c r="E1434" t="s">
        <v>59</v>
      </c>
      <c r="F1434" t="s">
        <v>30</v>
      </c>
      <c r="G1434" t="s">
        <v>22</v>
      </c>
      <c r="H1434" t="s">
        <v>47</v>
      </c>
      <c r="I1434" t="s">
        <v>97</v>
      </c>
      <c r="J1434" t="s">
        <v>98</v>
      </c>
      <c r="K1434">
        <v>10</v>
      </c>
      <c r="L1434" s="2">
        <v>264.14</v>
      </c>
      <c r="M1434" s="3">
        <v>0.1</v>
      </c>
      <c r="N1434" s="2">
        <v>2377.2600000000002</v>
      </c>
      <c r="O1434" s="2">
        <v>1351.36</v>
      </c>
      <c r="P1434" s="2">
        <v>1025.9000000000001</v>
      </c>
      <c r="Q1434" t="s">
        <v>57</v>
      </c>
    </row>
    <row r="1435" spans="1:17" x14ac:dyDescent="0.2">
      <c r="A1435" t="s">
        <v>1600</v>
      </c>
      <c r="B1435" s="1">
        <v>45826</v>
      </c>
      <c r="C1435" t="s">
        <v>43</v>
      </c>
      <c r="D1435" t="s">
        <v>208</v>
      </c>
      <c r="E1435" t="s">
        <v>230</v>
      </c>
      <c r="F1435" t="s">
        <v>69</v>
      </c>
      <c r="G1435" t="s">
        <v>54</v>
      </c>
      <c r="H1435" t="s">
        <v>47</v>
      </c>
      <c r="I1435" t="s">
        <v>141</v>
      </c>
      <c r="J1435" t="s">
        <v>142</v>
      </c>
      <c r="K1435">
        <v>3</v>
      </c>
      <c r="L1435" s="2">
        <v>216.66</v>
      </c>
      <c r="M1435" s="3">
        <v>0.05</v>
      </c>
      <c r="N1435" s="2">
        <v>617.48</v>
      </c>
      <c r="O1435" s="2">
        <v>414.48</v>
      </c>
      <c r="P1435" s="2">
        <v>203</v>
      </c>
      <c r="Q1435" t="s">
        <v>57</v>
      </c>
    </row>
    <row r="1436" spans="1:17" x14ac:dyDescent="0.2">
      <c r="A1436" t="s">
        <v>1601</v>
      </c>
      <c r="B1436" s="1">
        <v>45826</v>
      </c>
      <c r="C1436" t="s">
        <v>18</v>
      </c>
      <c r="D1436" t="s">
        <v>133</v>
      </c>
      <c r="E1436" t="s">
        <v>226</v>
      </c>
      <c r="F1436" t="s">
        <v>71</v>
      </c>
      <c r="G1436" t="s">
        <v>75</v>
      </c>
      <c r="H1436" t="s">
        <v>31</v>
      </c>
      <c r="I1436" t="s">
        <v>32</v>
      </c>
      <c r="J1436" t="s">
        <v>258</v>
      </c>
      <c r="K1436">
        <v>7</v>
      </c>
      <c r="L1436" s="2">
        <v>949.03</v>
      </c>
      <c r="M1436" s="3">
        <v>0</v>
      </c>
      <c r="N1436" s="2">
        <v>6643.21</v>
      </c>
      <c r="O1436" s="2">
        <v>4645.6499999999996</v>
      </c>
      <c r="P1436" s="2">
        <v>1997.56</v>
      </c>
      <c r="Q1436" t="s">
        <v>57</v>
      </c>
    </row>
    <row r="1437" spans="1:17" x14ac:dyDescent="0.2">
      <c r="A1437" t="s">
        <v>1602</v>
      </c>
      <c r="B1437" s="1">
        <v>45826</v>
      </c>
      <c r="C1437" t="s">
        <v>18</v>
      </c>
      <c r="D1437" t="s">
        <v>133</v>
      </c>
      <c r="E1437" t="s">
        <v>226</v>
      </c>
      <c r="F1437" t="s">
        <v>130</v>
      </c>
      <c r="G1437" t="s">
        <v>22</v>
      </c>
      <c r="H1437" t="s">
        <v>47</v>
      </c>
      <c r="I1437" t="s">
        <v>48</v>
      </c>
      <c r="J1437" t="s">
        <v>49</v>
      </c>
      <c r="K1437">
        <v>6</v>
      </c>
      <c r="L1437" s="2">
        <v>195.09</v>
      </c>
      <c r="M1437" s="3">
        <v>0.1</v>
      </c>
      <c r="N1437" s="2">
        <v>1053.49</v>
      </c>
      <c r="O1437" s="2">
        <v>765.26</v>
      </c>
      <c r="P1437" s="2">
        <v>288.23</v>
      </c>
      <c r="Q1437" t="s">
        <v>57</v>
      </c>
    </row>
    <row r="1438" spans="1:17" x14ac:dyDescent="0.2">
      <c r="A1438" t="s">
        <v>1603</v>
      </c>
      <c r="B1438" s="1">
        <v>45826</v>
      </c>
      <c r="C1438" t="s">
        <v>18</v>
      </c>
      <c r="D1438" t="s">
        <v>133</v>
      </c>
      <c r="E1438" t="s">
        <v>134</v>
      </c>
      <c r="F1438" t="s">
        <v>30</v>
      </c>
      <c r="G1438" t="s">
        <v>75</v>
      </c>
      <c r="H1438" t="s">
        <v>23</v>
      </c>
      <c r="I1438" t="s">
        <v>83</v>
      </c>
      <c r="J1438" t="s">
        <v>120</v>
      </c>
      <c r="K1438">
        <v>2</v>
      </c>
      <c r="L1438" s="2">
        <v>30.07</v>
      </c>
      <c r="M1438" s="3">
        <v>0.1</v>
      </c>
      <c r="N1438" s="2">
        <v>54.13</v>
      </c>
      <c r="O1438" s="2">
        <v>39.47</v>
      </c>
      <c r="P1438" s="2">
        <v>14.66</v>
      </c>
      <c r="Q1438" t="s">
        <v>34</v>
      </c>
    </row>
    <row r="1439" spans="1:17" x14ac:dyDescent="0.2">
      <c r="A1439" t="s">
        <v>1604</v>
      </c>
      <c r="B1439" s="1">
        <v>45826</v>
      </c>
      <c r="C1439" t="s">
        <v>36</v>
      </c>
      <c r="D1439" t="s">
        <v>73</v>
      </c>
      <c r="E1439" t="s">
        <v>247</v>
      </c>
      <c r="F1439" t="s">
        <v>71</v>
      </c>
      <c r="G1439" t="s">
        <v>75</v>
      </c>
      <c r="H1439" t="s">
        <v>23</v>
      </c>
      <c r="I1439" t="s">
        <v>79</v>
      </c>
      <c r="J1439" t="s">
        <v>233</v>
      </c>
      <c r="K1439">
        <v>5</v>
      </c>
      <c r="L1439" s="2">
        <v>236.39</v>
      </c>
      <c r="M1439" s="3">
        <v>0</v>
      </c>
      <c r="N1439" s="2">
        <v>1181.95</v>
      </c>
      <c r="O1439" s="2">
        <v>692.77</v>
      </c>
      <c r="P1439" s="2">
        <v>489.18</v>
      </c>
      <c r="Q1439" t="s">
        <v>57</v>
      </c>
    </row>
    <row r="1440" spans="1:17" x14ac:dyDescent="0.2">
      <c r="A1440" t="s">
        <v>1605</v>
      </c>
      <c r="B1440" s="1">
        <v>45826</v>
      </c>
      <c r="C1440" t="s">
        <v>77</v>
      </c>
      <c r="D1440" t="s">
        <v>78</v>
      </c>
      <c r="E1440" t="s">
        <v>261</v>
      </c>
      <c r="F1440" t="s">
        <v>53</v>
      </c>
      <c r="G1440" t="s">
        <v>75</v>
      </c>
      <c r="H1440" t="s">
        <v>47</v>
      </c>
      <c r="I1440" t="s">
        <v>141</v>
      </c>
      <c r="J1440" t="s">
        <v>372</v>
      </c>
      <c r="K1440">
        <v>3</v>
      </c>
      <c r="L1440" s="2">
        <v>702.73</v>
      </c>
      <c r="M1440" s="3">
        <v>0.15</v>
      </c>
      <c r="N1440" s="2">
        <v>1791.96</v>
      </c>
      <c r="O1440" s="2">
        <v>1312.53</v>
      </c>
      <c r="P1440" s="2">
        <v>479.43</v>
      </c>
      <c r="Q1440" t="s">
        <v>57</v>
      </c>
    </row>
    <row r="1441" spans="1:17" x14ac:dyDescent="0.2">
      <c r="A1441" t="s">
        <v>1606</v>
      </c>
      <c r="B1441" s="1">
        <v>45826</v>
      </c>
      <c r="C1441" t="s">
        <v>43</v>
      </c>
      <c r="D1441" t="s">
        <v>161</v>
      </c>
      <c r="E1441" t="s">
        <v>162</v>
      </c>
      <c r="F1441" t="s">
        <v>30</v>
      </c>
      <c r="G1441" t="s">
        <v>75</v>
      </c>
      <c r="H1441" t="s">
        <v>47</v>
      </c>
      <c r="I1441" t="s">
        <v>141</v>
      </c>
      <c r="J1441" t="s">
        <v>372</v>
      </c>
      <c r="K1441">
        <v>8</v>
      </c>
      <c r="L1441" s="2">
        <v>588.75</v>
      </c>
      <c r="M1441" s="3">
        <v>0.1</v>
      </c>
      <c r="N1441" s="2">
        <v>4239</v>
      </c>
      <c r="O1441" s="2">
        <v>2821.64</v>
      </c>
      <c r="P1441" s="2">
        <v>1417.36</v>
      </c>
      <c r="Q1441" t="s">
        <v>26</v>
      </c>
    </row>
    <row r="1442" spans="1:17" x14ac:dyDescent="0.2">
      <c r="A1442" t="s">
        <v>1607</v>
      </c>
      <c r="B1442" s="1">
        <v>45826</v>
      </c>
      <c r="C1442" t="s">
        <v>77</v>
      </c>
      <c r="D1442" t="s">
        <v>149</v>
      </c>
      <c r="E1442" t="s">
        <v>206</v>
      </c>
      <c r="F1442" t="s">
        <v>39</v>
      </c>
      <c r="G1442" t="s">
        <v>75</v>
      </c>
      <c r="H1442" t="s">
        <v>23</v>
      </c>
      <c r="I1442" t="s">
        <v>55</v>
      </c>
      <c r="J1442" t="s">
        <v>102</v>
      </c>
      <c r="K1442">
        <v>6</v>
      </c>
      <c r="L1442" s="2">
        <v>9.27</v>
      </c>
      <c r="M1442" s="3">
        <v>0</v>
      </c>
      <c r="N1442" s="2">
        <v>55.62</v>
      </c>
      <c r="O1442" s="2">
        <v>45.08</v>
      </c>
      <c r="P1442" s="2">
        <v>10.54</v>
      </c>
      <c r="Q1442" t="s">
        <v>34</v>
      </c>
    </row>
    <row r="1443" spans="1:17" x14ac:dyDescent="0.2">
      <c r="A1443" t="s">
        <v>1608</v>
      </c>
      <c r="B1443" s="1">
        <v>45826</v>
      </c>
      <c r="C1443" t="s">
        <v>36</v>
      </c>
      <c r="D1443" t="s">
        <v>110</v>
      </c>
      <c r="E1443" t="s">
        <v>115</v>
      </c>
      <c r="F1443" t="s">
        <v>53</v>
      </c>
      <c r="G1443" t="s">
        <v>22</v>
      </c>
      <c r="H1443" t="s">
        <v>31</v>
      </c>
      <c r="I1443" t="s">
        <v>32</v>
      </c>
      <c r="J1443" t="s">
        <v>258</v>
      </c>
      <c r="K1443">
        <v>3</v>
      </c>
      <c r="L1443" s="2">
        <v>1662.75</v>
      </c>
      <c r="M1443" s="3">
        <v>0</v>
      </c>
      <c r="N1443" s="2">
        <v>4988.25</v>
      </c>
      <c r="O1443" s="2">
        <v>3333.52</v>
      </c>
      <c r="P1443" s="2">
        <v>1654.73</v>
      </c>
      <c r="Q1443" t="s">
        <v>61</v>
      </c>
    </row>
    <row r="1444" spans="1:17" x14ac:dyDescent="0.2">
      <c r="A1444" t="s">
        <v>1609</v>
      </c>
      <c r="B1444" s="1">
        <v>45826</v>
      </c>
      <c r="C1444" t="s">
        <v>18</v>
      </c>
      <c r="D1444" t="s">
        <v>133</v>
      </c>
      <c r="E1444" t="s">
        <v>197</v>
      </c>
      <c r="F1444" t="s">
        <v>46</v>
      </c>
      <c r="G1444" t="s">
        <v>75</v>
      </c>
      <c r="H1444" t="s">
        <v>31</v>
      </c>
      <c r="I1444" t="s">
        <v>112</v>
      </c>
      <c r="J1444" t="s">
        <v>113</v>
      </c>
      <c r="K1444">
        <v>1</v>
      </c>
      <c r="L1444" s="2">
        <v>488.42</v>
      </c>
      <c r="M1444" s="3">
        <v>0</v>
      </c>
      <c r="N1444" s="2">
        <v>488.42</v>
      </c>
      <c r="O1444" s="2">
        <v>271.06</v>
      </c>
      <c r="P1444" s="2">
        <v>217.36</v>
      </c>
      <c r="Q1444" t="s">
        <v>57</v>
      </c>
    </row>
    <row r="1445" spans="1:17" x14ac:dyDescent="0.2">
      <c r="A1445" t="s">
        <v>1610</v>
      </c>
      <c r="B1445" s="1">
        <v>45826</v>
      </c>
      <c r="C1445" t="s">
        <v>36</v>
      </c>
      <c r="D1445" t="s">
        <v>37</v>
      </c>
      <c r="E1445" t="s">
        <v>255</v>
      </c>
      <c r="F1445" t="s">
        <v>39</v>
      </c>
      <c r="G1445" t="s">
        <v>22</v>
      </c>
      <c r="H1445" t="s">
        <v>23</v>
      </c>
      <c r="I1445" t="s">
        <v>55</v>
      </c>
      <c r="J1445" t="s">
        <v>56</v>
      </c>
      <c r="K1445">
        <v>8</v>
      </c>
      <c r="L1445" s="2">
        <v>15.31</v>
      </c>
      <c r="M1445" s="3">
        <v>0</v>
      </c>
      <c r="N1445" s="2">
        <v>122.48</v>
      </c>
      <c r="O1445" s="2">
        <v>92.9</v>
      </c>
      <c r="P1445" s="2">
        <v>29.58</v>
      </c>
      <c r="Q1445" t="s">
        <v>57</v>
      </c>
    </row>
    <row r="1446" spans="1:17" x14ac:dyDescent="0.2">
      <c r="A1446" t="s">
        <v>1611</v>
      </c>
      <c r="B1446" s="1">
        <v>45826</v>
      </c>
      <c r="C1446" t="s">
        <v>43</v>
      </c>
      <c r="D1446" t="s">
        <v>208</v>
      </c>
      <c r="E1446" t="s">
        <v>287</v>
      </c>
      <c r="F1446" t="s">
        <v>21</v>
      </c>
      <c r="G1446" t="s">
        <v>75</v>
      </c>
      <c r="H1446" t="s">
        <v>23</v>
      </c>
      <c r="I1446" t="s">
        <v>24</v>
      </c>
      <c r="J1446" t="s">
        <v>108</v>
      </c>
      <c r="K1446">
        <v>4</v>
      </c>
      <c r="L1446" s="2">
        <v>24.28</v>
      </c>
      <c r="M1446" s="3">
        <v>0.15</v>
      </c>
      <c r="N1446" s="2">
        <v>82.55</v>
      </c>
      <c r="O1446" s="2">
        <v>58.66</v>
      </c>
      <c r="P1446" s="2">
        <v>23.89</v>
      </c>
      <c r="Q1446" t="s">
        <v>26</v>
      </c>
    </row>
    <row r="1447" spans="1:17" x14ac:dyDescent="0.2">
      <c r="A1447" t="s">
        <v>1612</v>
      </c>
      <c r="B1447" s="1">
        <v>45827</v>
      </c>
      <c r="C1447" t="s">
        <v>18</v>
      </c>
      <c r="D1447" t="s">
        <v>152</v>
      </c>
      <c r="E1447" t="s">
        <v>185</v>
      </c>
      <c r="F1447" t="s">
        <v>60</v>
      </c>
      <c r="G1447" t="s">
        <v>54</v>
      </c>
      <c r="H1447" t="s">
        <v>47</v>
      </c>
      <c r="I1447" t="s">
        <v>141</v>
      </c>
      <c r="J1447" t="s">
        <v>201</v>
      </c>
      <c r="K1447">
        <v>1</v>
      </c>
      <c r="L1447" s="2">
        <v>533.95000000000005</v>
      </c>
      <c r="M1447" s="3">
        <v>0.1</v>
      </c>
      <c r="N1447" s="2">
        <v>480.56</v>
      </c>
      <c r="O1447" s="2">
        <v>317.76</v>
      </c>
      <c r="P1447" s="2">
        <v>162.80000000000001</v>
      </c>
      <c r="Q1447" t="s">
        <v>34</v>
      </c>
    </row>
    <row r="1448" spans="1:17" x14ac:dyDescent="0.2">
      <c r="A1448" t="s">
        <v>1613</v>
      </c>
      <c r="B1448" s="1">
        <v>45827</v>
      </c>
      <c r="C1448" t="s">
        <v>18</v>
      </c>
      <c r="D1448" t="s">
        <v>152</v>
      </c>
      <c r="E1448" t="s">
        <v>153</v>
      </c>
      <c r="F1448" t="s">
        <v>130</v>
      </c>
      <c r="G1448" t="s">
        <v>75</v>
      </c>
      <c r="H1448" t="s">
        <v>31</v>
      </c>
      <c r="I1448" t="s">
        <v>32</v>
      </c>
      <c r="J1448" t="s">
        <v>104</v>
      </c>
      <c r="K1448">
        <v>1</v>
      </c>
      <c r="L1448" s="2">
        <v>921.08</v>
      </c>
      <c r="M1448" s="3">
        <v>0.05</v>
      </c>
      <c r="N1448" s="2">
        <v>875.03</v>
      </c>
      <c r="O1448" s="2">
        <v>575.97</v>
      </c>
      <c r="P1448" s="2">
        <v>299.06</v>
      </c>
      <c r="Q1448" t="s">
        <v>26</v>
      </c>
    </row>
    <row r="1449" spans="1:17" x14ac:dyDescent="0.2">
      <c r="A1449" t="s">
        <v>1614</v>
      </c>
      <c r="B1449" s="1">
        <v>45827</v>
      </c>
      <c r="C1449" t="s">
        <v>43</v>
      </c>
      <c r="D1449" t="s">
        <v>208</v>
      </c>
      <c r="E1449" t="s">
        <v>230</v>
      </c>
      <c r="F1449" t="s">
        <v>21</v>
      </c>
      <c r="G1449" t="s">
        <v>75</v>
      </c>
      <c r="H1449" t="s">
        <v>31</v>
      </c>
      <c r="I1449" t="s">
        <v>40</v>
      </c>
      <c r="J1449" t="s">
        <v>122</v>
      </c>
      <c r="K1449">
        <v>7</v>
      </c>
      <c r="L1449" s="2">
        <v>122.12</v>
      </c>
      <c r="M1449" s="3">
        <v>0.15</v>
      </c>
      <c r="N1449" s="2">
        <v>726.61</v>
      </c>
      <c r="O1449" s="2">
        <v>458.04</v>
      </c>
      <c r="P1449" s="2">
        <v>268.57</v>
      </c>
      <c r="Q1449" t="s">
        <v>57</v>
      </c>
    </row>
    <row r="1450" spans="1:17" x14ac:dyDescent="0.2">
      <c r="A1450" t="s">
        <v>1615</v>
      </c>
      <c r="B1450" s="1">
        <v>45827</v>
      </c>
      <c r="C1450" t="s">
        <v>18</v>
      </c>
      <c r="D1450" t="s">
        <v>133</v>
      </c>
      <c r="E1450" t="s">
        <v>226</v>
      </c>
      <c r="F1450" t="s">
        <v>53</v>
      </c>
      <c r="G1450" t="s">
        <v>22</v>
      </c>
      <c r="H1450" t="s">
        <v>31</v>
      </c>
      <c r="I1450" t="s">
        <v>112</v>
      </c>
      <c r="J1450" t="s">
        <v>176</v>
      </c>
      <c r="K1450">
        <v>8</v>
      </c>
      <c r="L1450" s="2">
        <v>360.43</v>
      </c>
      <c r="M1450" s="3">
        <v>0.15</v>
      </c>
      <c r="N1450" s="2">
        <v>2450.92</v>
      </c>
      <c r="O1450" s="2">
        <v>1487.53</v>
      </c>
      <c r="P1450" s="2">
        <v>963.39</v>
      </c>
      <c r="Q1450" t="s">
        <v>26</v>
      </c>
    </row>
    <row r="1451" spans="1:17" x14ac:dyDescent="0.2">
      <c r="A1451" t="s">
        <v>1616</v>
      </c>
      <c r="B1451" s="1">
        <v>45827</v>
      </c>
      <c r="C1451" t="s">
        <v>18</v>
      </c>
      <c r="D1451" t="s">
        <v>152</v>
      </c>
      <c r="E1451" t="s">
        <v>153</v>
      </c>
      <c r="F1451" t="s">
        <v>30</v>
      </c>
      <c r="G1451" t="s">
        <v>54</v>
      </c>
      <c r="H1451" t="s">
        <v>23</v>
      </c>
      <c r="I1451" t="s">
        <v>24</v>
      </c>
      <c r="J1451" t="s">
        <v>108</v>
      </c>
      <c r="K1451">
        <v>8</v>
      </c>
      <c r="L1451" s="2">
        <v>25.46</v>
      </c>
      <c r="M1451" s="3">
        <v>0</v>
      </c>
      <c r="N1451" s="2">
        <v>203.68</v>
      </c>
      <c r="O1451" s="2">
        <v>141.76</v>
      </c>
      <c r="P1451" s="2">
        <v>61.92</v>
      </c>
      <c r="Q1451" t="s">
        <v>26</v>
      </c>
    </row>
    <row r="1452" spans="1:17" x14ac:dyDescent="0.2">
      <c r="A1452" t="s">
        <v>1617</v>
      </c>
      <c r="B1452" s="1">
        <v>45828</v>
      </c>
      <c r="C1452" t="s">
        <v>36</v>
      </c>
      <c r="D1452" t="s">
        <v>37</v>
      </c>
      <c r="E1452" t="s">
        <v>255</v>
      </c>
      <c r="F1452" t="s">
        <v>60</v>
      </c>
      <c r="G1452" t="s">
        <v>22</v>
      </c>
      <c r="H1452" t="s">
        <v>31</v>
      </c>
      <c r="I1452" t="s">
        <v>32</v>
      </c>
      <c r="J1452" t="s">
        <v>33</v>
      </c>
      <c r="K1452">
        <v>10</v>
      </c>
      <c r="L1452" s="2">
        <v>1770.76</v>
      </c>
      <c r="M1452" s="3">
        <v>0</v>
      </c>
      <c r="N1452" s="2">
        <v>17707.599999999999</v>
      </c>
      <c r="O1452" s="2">
        <v>10235.39</v>
      </c>
      <c r="P1452" s="2">
        <v>7472.21</v>
      </c>
      <c r="Q1452" t="s">
        <v>26</v>
      </c>
    </row>
    <row r="1453" spans="1:17" x14ac:dyDescent="0.2">
      <c r="A1453" t="s">
        <v>1618</v>
      </c>
      <c r="B1453" s="1">
        <v>45828</v>
      </c>
      <c r="C1453" t="s">
        <v>77</v>
      </c>
      <c r="D1453" t="s">
        <v>128</v>
      </c>
      <c r="E1453" t="s">
        <v>129</v>
      </c>
      <c r="F1453" t="s">
        <v>39</v>
      </c>
      <c r="G1453" t="s">
        <v>54</v>
      </c>
      <c r="H1453" t="s">
        <v>31</v>
      </c>
      <c r="I1453" t="s">
        <v>112</v>
      </c>
      <c r="J1453" t="s">
        <v>136</v>
      </c>
      <c r="K1453">
        <v>5</v>
      </c>
      <c r="L1453" s="2">
        <v>674.83</v>
      </c>
      <c r="M1453" s="3">
        <v>0.05</v>
      </c>
      <c r="N1453" s="2">
        <v>3205.44</v>
      </c>
      <c r="O1453" s="2">
        <v>2009.86</v>
      </c>
      <c r="P1453" s="2">
        <v>1195.58</v>
      </c>
      <c r="Q1453" t="s">
        <v>26</v>
      </c>
    </row>
    <row r="1454" spans="1:17" x14ac:dyDescent="0.2">
      <c r="A1454" t="s">
        <v>1619</v>
      </c>
      <c r="B1454" s="1">
        <v>45828</v>
      </c>
      <c r="C1454" t="s">
        <v>18</v>
      </c>
      <c r="D1454" t="s">
        <v>86</v>
      </c>
      <c r="E1454" t="s">
        <v>92</v>
      </c>
      <c r="F1454" t="s">
        <v>46</v>
      </c>
      <c r="G1454" t="s">
        <v>22</v>
      </c>
      <c r="H1454" t="s">
        <v>47</v>
      </c>
      <c r="I1454" t="s">
        <v>89</v>
      </c>
      <c r="J1454" t="s">
        <v>240</v>
      </c>
      <c r="K1454">
        <v>1</v>
      </c>
      <c r="L1454" s="2">
        <v>180.88</v>
      </c>
      <c r="M1454" s="3">
        <v>0.05</v>
      </c>
      <c r="N1454" s="2">
        <v>171.84</v>
      </c>
      <c r="O1454" s="2">
        <v>128.71</v>
      </c>
      <c r="P1454" s="2">
        <v>43.13</v>
      </c>
      <c r="Q1454" t="s">
        <v>57</v>
      </c>
    </row>
    <row r="1455" spans="1:17" x14ac:dyDescent="0.2">
      <c r="A1455" t="s">
        <v>1620</v>
      </c>
      <c r="B1455" s="1">
        <v>45828</v>
      </c>
      <c r="C1455" t="s">
        <v>36</v>
      </c>
      <c r="D1455" t="s">
        <v>110</v>
      </c>
      <c r="E1455" t="s">
        <v>203</v>
      </c>
      <c r="F1455" t="s">
        <v>71</v>
      </c>
      <c r="G1455" t="s">
        <v>54</v>
      </c>
      <c r="H1455" t="s">
        <v>23</v>
      </c>
      <c r="I1455" t="s">
        <v>79</v>
      </c>
      <c r="J1455" t="s">
        <v>179</v>
      </c>
      <c r="K1455">
        <v>4</v>
      </c>
      <c r="L1455" s="2">
        <v>151.68</v>
      </c>
      <c r="M1455" s="3">
        <v>0.1</v>
      </c>
      <c r="N1455" s="2">
        <v>546.04999999999995</v>
      </c>
      <c r="O1455" s="2">
        <v>335.86</v>
      </c>
      <c r="P1455" s="2">
        <v>210.19</v>
      </c>
      <c r="Q1455" t="s">
        <v>61</v>
      </c>
    </row>
    <row r="1456" spans="1:17" x14ac:dyDescent="0.2">
      <c r="A1456" t="s">
        <v>1621</v>
      </c>
      <c r="B1456" s="1">
        <v>45828</v>
      </c>
      <c r="C1456" t="s">
        <v>77</v>
      </c>
      <c r="D1456" t="s">
        <v>128</v>
      </c>
      <c r="E1456" t="s">
        <v>155</v>
      </c>
      <c r="F1456" t="s">
        <v>30</v>
      </c>
      <c r="G1456" t="s">
        <v>75</v>
      </c>
      <c r="H1456" t="s">
        <v>31</v>
      </c>
      <c r="I1456" t="s">
        <v>32</v>
      </c>
      <c r="J1456" t="s">
        <v>258</v>
      </c>
      <c r="K1456">
        <v>7</v>
      </c>
      <c r="L1456" s="2">
        <v>661.76</v>
      </c>
      <c r="M1456" s="3">
        <v>0.1</v>
      </c>
      <c r="N1456" s="2">
        <v>4169.09</v>
      </c>
      <c r="O1456" s="2">
        <v>3230.99</v>
      </c>
      <c r="P1456" s="2">
        <v>938.1</v>
      </c>
      <c r="Q1456" t="s">
        <v>61</v>
      </c>
    </row>
    <row r="1457" spans="1:17" x14ac:dyDescent="0.2">
      <c r="A1457" t="s">
        <v>1622</v>
      </c>
      <c r="B1457" s="1">
        <v>45828</v>
      </c>
      <c r="C1457" t="s">
        <v>18</v>
      </c>
      <c r="D1457" t="s">
        <v>28</v>
      </c>
      <c r="E1457" t="s">
        <v>157</v>
      </c>
      <c r="F1457" t="s">
        <v>71</v>
      </c>
      <c r="G1457" t="s">
        <v>75</v>
      </c>
      <c r="H1457" t="s">
        <v>23</v>
      </c>
      <c r="I1457" t="s">
        <v>79</v>
      </c>
      <c r="J1457" t="s">
        <v>80</v>
      </c>
      <c r="K1457">
        <v>1</v>
      </c>
      <c r="L1457" s="2">
        <v>269.16000000000003</v>
      </c>
      <c r="M1457" s="3">
        <v>0</v>
      </c>
      <c r="N1457" s="2">
        <v>269.16000000000003</v>
      </c>
      <c r="O1457" s="2">
        <v>172.48</v>
      </c>
      <c r="P1457" s="2">
        <v>96.68</v>
      </c>
      <c r="Q1457" t="s">
        <v>61</v>
      </c>
    </row>
    <row r="1458" spans="1:17" x14ac:dyDescent="0.2">
      <c r="A1458" t="s">
        <v>1623</v>
      </c>
      <c r="B1458" s="1">
        <v>45828</v>
      </c>
      <c r="C1458" t="s">
        <v>18</v>
      </c>
      <c r="D1458" t="s">
        <v>19</v>
      </c>
      <c r="E1458" t="s">
        <v>118</v>
      </c>
      <c r="F1458" t="s">
        <v>60</v>
      </c>
      <c r="G1458" t="s">
        <v>22</v>
      </c>
      <c r="H1458" t="s">
        <v>23</v>
      </c>
      <c r="I1458" t="s">
        <v>79</v>
      </c>
      <c r="J1458" t="s">
        <v>80</v>
      </c>
      <c r="K1458">
        <v>4</v>
      </c>
      <c r="L1458" s="2">
        <v>579.99</v>
      </c>
      <c r="M1458" s="3">
        <v>0.15</v>
      </c>
      <c r="N1458" s="2">
        <v>1971.97</v>
      </c>
      <c r="O1458" s="2">
        <v>1310.82</v>
      </c>
      <c r="P1458" s="2">
        <v>661.15</v>
      </c>
      <c r="Q1458" t="s">
        <v>34</v>
      </c>
    </row>
    <row r="1459" spans="1:17" x14ac:dyDescent="0.2">
      <c r="A1459" t="s">
        <v>1624</v>
      </c>
      <c r="B1459" s="1">
        <v>45829</v>
      </c>
      <c r="C1459" t="s">
        <v>77</v>
      </c>
      <c r="D1459" t="s">
        <v>95</v>
      </c>
      <c r="E1459" t="s">
        <v>367</v>
      </c>
      <c r="F1459" t="s">
        <v>130</v>
      </c>
      <c r="G1459" t="s">
        <v>22</v>
      </c>
      <c r="H1459" t="s">
        <v>23</v>
      </c>
      <c r="I1459" t="s">
        <v>79</v>
      </c>
      <c r="J1459" t="s">
        <v>179</v>
      </c>
      <c r="K1459">
        <v>9</v>
      </c>
      <c r="L1459" s="2">
        <v>494.11</v>
      </c>
      <c r="M1459" s="3">
        <v>0</v>
      </c>
      <c r="N1459" s="2">
        <v>4446.99</v>
      </c>
      <c r="O1459" s="2">
        <v>3396.18</v>
      </c>
      <c r="P1459" s="2">
        <v>1050.81</v>
      </c>
      <c r="Q1459" t="s">
        <v>26</v>
      </c>
    </row>
    <row r="1460" spans="1:17" x14ac:dyDescent="0.2">
      <c r="A1460" t="s">
        <v>1625</v>
      </c>
      <c r="B1460" s="1">
        <v>45829</v>
      </c>
      <c r="C1460" t="s">
        <v>18</v>
      </c>
      <c r="D1460" t="s">
        <v>86</v>
      </c>
      <c r="E1460" t="s">
        <v>92</v>
      </c>
      <c r="F1460" t="s">
        <v>130</v>
      </c>
      <c r="G1460" t="s">
        <v>54</v>
      </c>
      <c r="H1460" t="s">
        <v>23</v>
      </c>
      <c r="I1460" t="s">
        <v>83</v>
      </c>
      <c r="J1460" t="s">
        <v>84</v>
      </c>
      <c r="K1460">
        <v>7</v>
      </c>
      <c r="L1460" s="2">
        <v>25.45</v>
      </c>
      <c r="M1460" s="3">
        <v>0</v>
      </c>
      <c r="N1460" s="2">
        <v>178.15</v>
      </c>
      <c r="O1460" s="2">
        <v>105.86</v>
      </c>
      <c r="P1460" s="2">
        <v>72.290000000000006</v>
      </c>
      <c r="Q1460" t="s">
        <v>26</v>
      </c>
    </row>
    <row r="1461" spans="1:17" x14ac:dyDescent="0.2">
      <c r="A1461" t="s">
        <v>1626</v>
      </c>
      <c r="B1461" s="1">
        <v>45829</v>
      </c>
      <c r="C1461" t="s">
        <v>36</v>
      </c>
      <c r="D1461" t="s">
        <v>144</v>
      </c>
      <c r="E1461" t="s">
        <v>145</v>
      </c>
      <c r="F1461" t="s">
        <v>30</v>
      </c>
      <c r="G1461" t="s">
        <v>22</v>
      </c>
      <c r="H1461" t="s">
        <v>23</v>
      </c>
      <c r="I1461" t="s">
        <v>55</v>
      </c>
      <c r="J1461" t="s">
        <v>173</v>
      </c>
      <c r="K1461">
        <v>7</v>
      </c>
      <c r="L1461" s="2">
        <v>12.82</v>
      </c>
      <c r="M1461" s="3">
        <v>0.1</v>
      </c>
      <c r="N1461" s="2">
        <v>80.77</v>
      </c>
      <c r="O1461" s="2">
        <v>52.86</v>
      </c>
      <c r="P1461" s="2">
        <v>27.91</v>
      </c>
      <c r="Q1461" t="s">
        <v>26</v>
      </c>
    </row>
    <row r="1462" spans="1:17" x14ac:dyDescent="0.2">
      <c r="A1462" t="s">
        <v>1627</v>
      </c>
      <c r="B1462" s="1">
        <v>45829</v>
      </c>
      <c r="C1462" t="s">
        <v>77</v>
      </c>
      <c r="D1462" t="s">
        <v>106</v>
      </c>
      <c r="E1462" t="s">
        <v>236</v>
      </c>
      <c r="F1462" t="s">
        <v>130</v>
      </c>
      <c r="G1462" t="s">
        <v>22</v>
      </c>
      <c r="H1462" t="s">
        <v>23</v>
      </c>
      <c r="I1462" t="s">
        <v>24</v>
      </c>
      <c r="J1462" t="s">
        <v>108</v>
      </c>
      <c r="K1462">
        <v>5</v>
      </c>
      <c r="L1462" s="2">
        <v>16.5</v>
      </c>
      <c r="M1462" s="3">
        <v>0.15</v>
      </c>
      <c r="N1462" s="2">
        <v>70.12</v>
      </c>
      <c r="O1462" s="2">
        <v>46.49</v>
      </c>
      <c r="P1462" s="2">
        <v>23.63</v>
      </c>
      <c r="Q1462" t="s">
        <v>34</v>
      </c>
    </row>
    <row r="1463" spans="1:17" x14ac:dyDescent="0.2">
      <c r="A1463" t="s">
        <v>1628</v>
      </c>
      <c r="B1463" s="1">
        <v>45829</v>
      </c>
      <c r="C1463" t="s">
        <v>77</v>
      </c>
      <c r="D1463" t="s">
        <v>95</v>
      </c>
      <c r="E1463" t="s">
        <v>96</v>
      </c>
      <c r="F1463" t="s">
        <v>21</v>
      </c>
      <c r="G1463" t="s">
        <v>22</v>
      </c>
      <c r="H1463" t="s">
        <v>31</v>
      </c>
      <c r="I1463" t="s">
        <v>112</v>
      </c>
      <c r="J1463" t="s">
        <v>113</v>
      </c>
      <c r="K1463">
        <v>1</v>
      </c>
      <c r="L1463" s="2">
        <v>357.19</v>
      </c>
      <c r="M1463" s="3">
        <v>0.05</v>
      </c>
      <c r="N1463" s="2">
        <v>339.33</v>
      </c>
      <c r="O1463" s="2">
        <v>234.28</v>
      </c>
      <c r="P1463" s="2">
        <v>105.05</v>
      </c>
      <c r="Q1463" t="s">
        <v>57</v>
      </c>
    </row>
    <row r="1464" spans="1:17" x14ac:dyDescent="0.2">
      <c r="A1464" t="s">
        <v>1629</v>
      </c>
      <c r="B1464" s="1">
        <v>45829</v>
      </c>
      <c r="C1464" t="s">
        <v>77</v>
      </c>
      <c r="D1464" t="s">
        <v>149</v>
      </c>
      <c r="E1464" t="s">
        <v>206</v>
      </c>
      <c r="F1464" t="s">
        <v>138</v>
      </c>
      <c r="G1464" t="s">
        <v>75</v>
      </c>
      <c r="H1464" t="s">
        <v>47</v>
      </c>
      <c r="I1464" t="s">
        <v>48</v>
      </c>
      <c r="J1464" t="s">
        <v>164</v>
      </c>
      <c r="K1464">
        <v>6</v>
      </c>
      <c r="L1464" s="2">
        <v>467.98</v>
      </c>
      <c r="M1464" s="3">
        <v>0</v>
      </c>
      <c r="N1464" s="2">
        <v>2807.88</v>
      </c>
      <c r="O1464" s="2">
        <v>1981.31</v>
      </c>
      <c r="P1464" s="2">
        <v>826.57</v>
      </c>
      <c r="Q1464" t="s">
        <v>34</v>
      </c>
    </row>
    <row r="1465" spans="1:17" x14ac:dyDescent="0.2">
      <c r="A1465" t="s">
        <v>1630</v>
      </c>
      <c r="B1465" s="1">
        <v>45829</v>
      </c>
      <c r="C1465" t="s">
        <v>36</v>
      </c>
      <c r="D1465" t="s">
        <v>144</v>
      </c>
      <c r="E1465" t="s">
        <v>232</v>
      </c>
      <c r="F1465" t="s">
        <v>39</v>
      </c>
      <c r="G1465" t="s">
        <v>54</v>
      </c>
      <c r="H1465" t="s">
        <v>23</v>
      </c>
      <c r="I1465" t="s">
        <v>79</v>
      </c>
      <c r="J1465" t="s">
        <v>179</v>
      </c>
      <c r="K1465">
        <v>7</v>
      </c>
      <c r="L1465" s="2">
        <v>141.82</v>
      </c>
      <c r="M1465" s="3">
        <v>0</v>
      </c>
      <c r="N1465" s="2">
        <v>992.74</v>
      </c>
      <c r="O1465" s="2">
        <v>747</v>
      </c>
      <c r="P1465" s="2">
        <v>245.74</v>
      </c>
      <c r="Q1465" t="s">
        <v>26</v>
      </c>
    </row>
    <row r="1466" spans="1:17" x14ac:dyDescent="0.2">
      <c r="A1466" t="s">
        <v>1631</v>
      </c>
      <c r="B1466" s="1">
        <v>45829</v>
      </c>
      <c r="C1466" t="s">
        <v>77</v>
      </c>
      <c r="D1466" t="s">
        <v>128</v>
      </c>
      <c r="E1466" t="s">
        <v>129</v>
      </c>
      <c r="F1466" t="s">
        <v>130</v>
      </c>
      <c r="G1466" t="s">
        <v>54</v>
      </c>
      <c r="H1466" t="s">
        <v>23</v>
      </c>
      <c r="I1466" t="s">
        <v>55</v>
      </c>
      <c r="J1466" t="s">
        <v>102</v>
      </c>
      <c r="K1466">
        <v>1</v>
      </c>
      <c r="L1466" s="2">
        <v>20.57</v>
      </c>
      <c r="M1466" s="3">
        <v>0.1</v>
      </c>
      <c r="N1466" s="2">
        <v>18.510000000000002</v>
      </c>
      <c r="O1466" s="2">
        <v>11.93</v>
      </c>
      <c r="P1466" s="2">
        <v>6.58</v>
      </c>
      <c r="Q1466" t="s">
        <v>61</v>
      </c>
    </row>
    <row r="1467" spans="1:17" x14ac:dyDescent="0.2">
      <c r="A1467" t="s">
        <v>1632</v>
      </c>
      <c r="B1467" s="1">
        <v>45830</v>
      </c>
      <c r="C1467" t="s">
        <v>77</v>
      </c>
      <c r="D1467" t="s">
        <v>78</v>
      </c>
      <c r="E1467" t="s">
        <v>52</v>
      </c>
      <c r="F1467" t="s">
        <v>46</v>
      </c>
      <c r="G1467" t="s">
        <v>54</v>
      </c>
      <c r="H1467" t="s">
        <v>31</v>
      </c>
      <c r="I1467" t="s">
        <v>40</v>
      </c>
      <c r="J1467" t="s">
        <v>122</v>
      </c>
      <c r="K1467">
        <v>1</v>
      </c>
      <c r="L1467" s="2">
        <v>76.58</v>
      </c>
      <c r="M1467" s="3">
        <v>0.1</v>
      </c>
      <c r="N1467" s="2">
        <v>68.92</v>
      </c>
      <c r="O1467" s="2">
        <v>43.95</v>
      </c>
      <c r="P1467" s="2">
        <v>24.97</v>
      </c>
      <c r="Q1467" t="s">
        <v>26</v>
      </c>
    </row>
    <row r="1468" spans="1:17" x14ac:dyDescent="0.2">
      <c r="A1468" t="s">
        <v>1633</v>
      </c>
      <c r="B1468" s="1">
        <v>45830</v>
      </c>
      <c r="C1468" t="s">
        <v>43</v>
      </c>
      <c r="D1468" t="s">
        <v>244</v>
      </c>
      <c r="E1468" t="s">
        <v>326</v>
      </c>
      <c r="F1468" t="s">
        <v>60</v>
      </c>
      <c r="G1468" t="s">
        <v>22</v>
      </c>
      <c r="H1468" t="s">
        <v>23</v>
      </c>
      <c r="I1468" t="s">
        <v>83</v>
      </c>
      <c r="J1468" t="s">
        <v>120</v>
      </c>
      <c r="K1468">
        <v>9</v>
      </c>
      <c r="L1468" s="2">
        <v>16.61</v>
      </c>
      <c r="M1468" s="3">
        <v>0.15</v>
      </c>
      <c r="N1468" s="2">
        <v>127.07</v>
      </c>
      <c r="O1468" s="2">
        <v>93.2</v>
      </c>
      <c r="P1468" s="2">
        <v>33.869999999999997</v>
      </c>
      <c r="Q1468" t="s">
        <v>34</v>
      </c>
    </row>
    <row r="1469" spans="1:17" x14ac:dyDescent="0.2">
      <c r="A1469" t="s">
        <v>1634</v>
      </c>
      <c r="B1469" s="1">
        <v>45830</v>
      </c>
      <c r="C1469" t="s">
        <v>18</v>
      </c>
      <c r="D1469" t="s">
        <v>133</v>
      </c>
      <c r="E1469" t="s">
        <v>197</v>
      </c>
      <c r="F1469" t="s">
        <v>71</v>
      </c>
      <c r="G1469" t="s">
        <v>22</v>
      </c>
      <c r="H1469" t="s">
        <v>31</v>
      </c>
      <c r="I1469" t="s">
        <v>40</v>
      </c>
      <c r="J1469" t="s">
        <v>41</v>
      </c>
      <c r="K1469">
        <v>1</v>
      </c>
      <c r="L1469" s="2">
        <v>247.49</v>
      </c>
      <c r="M1469" s="3">
        <v>0.1</v>
      </c>
      <c r="N1469" s="2">
        <v>222.74</v>
      </c>
      <c r="O1469" s="2">
        <v>135.22999999999999</v>
      </c>
      <c r="P1469" s="2">
        <v>87.51</v>
      </c>
      <c r="Q1469" t="s">
        <v>61</v>
      </c>
    </row>
    <row r="1470" spans="1:17" x14ac:dyDescent="0.2">
      <c r="A1470" t="s">
        <v>1635</v>
      </c>
      <c r="B1470" s="1">
        <v>45830</v>
      </c>
      <c r="C1470" t="s">
        <v>18</v>
      </c>
      <c r="D1470" t="s">
        <v>133</v>
      </c>
      <c r="E1470" t="s">
        <v>197</v>
      </c>
      <c r="F1470" t="s">
        <v>71</v>
      </c>
      <c r="G1470" t="s">
        <v>22</v>
      </c>
      <c r="H1470" t="s">
        <v>31</v>
      </c>
      <c r="I1470" t="s">
        <v>40</v>
      </c>
      <c r="J1470" t="s">
        <v>216</v>
      </c>
      <c r="K1470">
        <v>5</v>
      </c>
      <c r="L1470" s="2">
        <v>90.92</v>
      </c>
      <c r="M1470" s="3">
        <v>0</v>
      </c>
      <c r="N1470" s="2">
        <v>454.6</v>
      </c>
      <c r="O1470" s="2">
        <v>260.10000000000002</v>
      </c>
      <c r="P1470" s="2">
        <v>194.5</v>
      </c>
      <c r="Q1470" t="s">
        <v>34</v>
      </c>
    </row>
    <row r="1471" spans="1:17" x14ac:dyDescent="0.2">
      <c r="A1471" t="s">
        <v>1636</v>
      </c>
      <c r="B1471" s="1">
        <v>45830</v>
      </c>
      <c r="C1471" t="s">
        <v>77</v>
      </c>
      <c r="D1471" t="s">
        <v>128</v>
      </c>
      <c r="E1471" t="s">
        <v>159</v>
      </c>
      <c r="F1471" t="s">
        <v>30</v>
      </c>
      <c r="G1471" t="s">
        <v>75</v>
      </c>
      <c r="H1471" t="s">
        <v>47</v>
      </c>
      <c r="I1471" t="s">
        <v>48</v>
      </c>
      <c r="J1471" t="s">
        <v>49</v>
      </c>
      <c r="K1471">
        <v>10</v>
      </c>
      <c r="L1471" s="2">
        <v>212.67</v>
      </c>
      <c r="M1471" s="3">
        <v>0.2</v>
      </c>
      <c r="N1471" s="2">
        <v>1701.36</v>
      </c>
      <c r="O1471" s="2">
        <v>1073.42</v>
      </c>
      <c r="P1471" s="2">
        <v>627.94000000000005</v>
      </c>
      <c r="Q1471" t="s">
        <v>61</v>
      </c>
    </row>
    <row r="1472" spans="1:17" x14ac:dyDescent="0.2">
      <c r="A1472" t="s">
        <v>1637</v>
      </c>
      <c r="B1472" s="1">
        <v>45830</v>
      </c>
      <c r="C1472" t="s">
        <v>43</v>
      </c>
      <c r="D1472" t="s">
        <v>161</v>
      </c>
      <c r="E1472" t="s">
        <v>418</v>
      </c>
      <c r="F1472" t="s">
        <v>138</v>
      </c>
      <c r="G1472" t="s">
        <v>22</v>
      </c>
      <c r="H1472" t="s">
        <v>23</v>
      </c>
      <c r="I1472" t="s">
        <v>55</v>
      </c>
      <c r="J1472" t="s">
        <v>56</v>
      </c>
      <c r="K1472">
        <v>3</v>
      </c>
      <c r="L1472" s="2">
        <v>19.420000000000002</v>
      </c>
      <c r="M1472" s="3">
        <v>0.1</v>
      </c>
      <c r="N1472" s="2">
        <v>52.43</v>
      </c>
      <c r="O1472" s="2">
        <v>29.79</v>
      </c>
      <c r="P1472" s="2">
        <v>22.64</v>
      </c>
      <c r="Q1472" t="s">
        <v>34</v>
      </c>
    </row>
    <row r="1473" spans="1:17" x14ac:dyDescent="0.2">
      <c r="A1473" t="s">
        <v>1638</v>
      </c>
      <c r="B1473" s="1">
        <v>45830</v>
      </c>
      <c r="C1473" t="s">
        <v>18</v>
      </c>
      <c r="D1473" t="s">
        <v>133</v>
      </c>
      <c r="E1473" t="s">
        <v>226</v>
      </c>
      <c r="F1473" t="s">
        <v>69</v>
      </c>
      <c r="G1473" t="s">
        <v>75</v>
      </c>
      <c r="H1473" t="s">
        <v>31</v>
      </c>
      <c r="I1473" t="s">
        <v>40</v>
      </c>
      <c r="J1473" t="s">
        <v>122</v>
      </c>
      <c r="K1473">
        <v>9</v>
      </c>
      <c r="L1473" s="2">
        <v>56.78</v>
      </c>
      <c r="M1473" s="3">
        <v>0.05</v>
      </c>
      <c r="N1473" s="2">
        <v>485.47</v>
      </c>
      <c r="O1473" s="2">
        <v>331.93</v>
      </c>
      <c r="P1473" s="2">
        <v>153.54</v>
      </c>
      <c r="Q1473" t="s">
        <v>26</v>
      </c>
    </row>
    <row r="1474" spans="1:17" x14ac:dyDescent="0.2">
      <c r="A1474" t="s">
        <v>1639</v>
      </c>
      <c r="B1474" s="1">
        <v>45830</v>
      </c>
      <c r="C1474" t="s">
        <v>77</v>
      </c>
      <c r="D1474" t="s">
        <v>106</v>
      </c>
      <c r="E1474" t="s">
        <v>236</v>
      </c>
      <c r="F1474" t="s">
        <v>21</v>
      </c>
      <c r="G1474" t="s">
        <v>22</v>
      </c>
      <c r="H1474" t="s">
        <v>47</v>
      </c>
      <c r="I1474" t="s">
        <v>89</v>
      </c>
      <c r="J1474" t="s">
        <v>240</v>
      </c>
      <c r="K1474">
        <v>6</v>
      </c>
      <c r="L1474" s="2">
        <v>142.68</v>
      </c>
      <c r="M1474" s="3">
        <v>0.15</v>
      </c>
      <c r="N1474" s="2">
        <v>727.67</v>
      </c>
      <c r="O1474" s="2">
        <v>481.49</v>
      </c>
      <c r="P1474" s="2">
        <v>246.18</v>
      </c>
      <c r="Q1474" t="s">
        <v>26</v>
      </c>
    </row>
    <row r="1475" spans="1:17" x14ac:dyDescent="0.2">
      <c r="A1475" t="s">
        <v>1640</v>
      </c>
      <c r="B1475" s="1">
        <v>45831</v>
      </c>
      <c r="C1475" t="s">
        <v>43</v>
      </c>
      <c r="D1475" t="s">
        <v>44</v>
      </c>
      <c r="E1475" t="s">
        <v>147</v>
      </c>
      <c r="F1475" t="s">
        <v>138</v>
      </c>
      <c r="G1475" t="s">
        <v>75</v>
      </c>
      <c r="H1475" t="s">
        <v>47</v>
      </c>
      <c r="I1475" t="s">
        <v>141</v>
      </c>
      <c r="J1475" t="s">
        <v>201</v>
      </c>
      <c r="K1475">
        <v>8</v>
      </c>
      <c r="L1475" s="2">
        <v>414.77</v>
      </c>
      <c r="M1475" s="3">
        <v>0.15</v>
      </c>
      <c r="N1475" s="2">
        <v>2820.44</v>
      </c>
      <c r="O1475" s="2">
        <v>1899.97</v>
      </c>
      <c r="P1475" s="2">
        <v>920.47</v>
      </c>
      <c r="Q1475" t="s">
        <v>57</v>
      </c>
    </row>
    <row r="1476" spans="1:17" x14ac:dyDescent="0.2">
      <c r="A1476" t="s">
        <v>1641</v>
      </c>
      <c r="B1476" s="1">
        <v>45831</v>
      </c>
      <c r="C1476" t="s">
        <v>36</v>
      </c>
      <c r="D1476" t="s">
        <v>67</v>
      </c>
      <c r="E1476" t="s">
        <v>68</v>
      </c>
      <c r="F1476" t="s">
        <v>46</v>
      </c>
      <c r="G1476" t="s">
        <v>22</v>
      </c>
      <c r="H1476" t="s">
        <v>47</v>
      </c>
      <c r="I1476" t="s">
        <v>141</v>
      </c>
      <c r="J1476" t="s">
        <v>372</v>
      </c>
      <c r="K1476">
        <v>3</v>
      </c>
      <c r="L1476" s="2">
        <v>650.28</v>
      </c>
      <c r="M1476" s="3">
        <v>0.05</v>
      </c>
      <c r="N1476" s="2">
        <v>1853.3</v>
      </c>
      <c r="O1476" s="2">
        <v>1464.94</v>
      </c>
      <c r="P1476" s="2">
        <v>388.36</v>
      </c>
      <c r="Q1476" t="s">
        <v>57</v>
      </c>
    </row>
    <row r="1477" spans="1:17" x14ac:dyDescent="0.2">
      <c r="A1477" t="s">
        <v>1642</v>
      </c>
      <c r="B1477" s="1">
        <v>45831</v>
      </c>
      <c r="C1477" t="s">
        <v>43</v>
      </c>
      <c r="D1477" t="s">
        <v>51</v>
      </c>
      <c r="E1477" t="s">
        <v>63</v>
      </c>
      <c r="F1477" t="s">
        <v>21</v>
      </c>
      <c r="G1477" t="s">
        <v>22</v>
      </c>
      <c r="H1477" t="s">
        <v>23</v>
      </c>
      <c r="I1477" t="s">
        <v>55</v>
      </c>
      <c r="J1477" t="s">
        <v>56</v>
      </c>
      <c r="K1477">
        <v>4</v>
      </c>
      <c r="L1477" s="2">
        <v>8.06</v>
      </c>
      <c r="M1477" s="3">
        <v>0.1</v>
      </c>
      <c r="N1477" s="2">
        <v>29.02</v>
      </c>
      <c r="O1477" s="2">
        <v>16.82</v>
      </c>
      <c r="P1477" s="2">
        <v>12.2</v>
      </c>
      <c r="Q1477" t="s">
        <v>26</v>
      </c>
    </row>
    <row r="1478" spans="1:17" x14ac:dyDescent="0.2">
      <c r="A1478" t="s">
        <v>1643</v>
      </c>
      <c r="B1478" s="1">
        <v>45831</v>
      </c>
      <c r="C1478" t="s">
        <v>77</v>
      </c>
      <c r="D1478" t="s">
        <v>106</v>
      </c>
      <c r="E1478" t="s">
        <v>236</v>
      </c>
      <c r="F1478" t="s">
        <v>138</v>
      </c>
      <c r="G1478" t="s">
        <v>22</v>
      </c>
      <c r="H1478" t="s">
        <v>23</v>
      </c>
      <c r="I1478" t="s">
        <v>24</v>
      </c>
      <c r="J1478" t="s">
        <v>108</v>
      </c>
      <c r="K1478">
        <v>5</v>
      </c>
      <c r="L1478" s="2">
        <v>28.17</v>
      </c>
      <c r="M1478" s="3">
        <v>0.1</v>
      </c>
      <c r="N1478" s="2">
        <v>126.77</v>
      </c>
      <c r="O1478" s="2">
        <v>70.47</v>
      </c>
      <c r="P1478" s="2">
        <v>56.3</v>
      </c>
      <c r="Q1478" t="s">
        <v>57</v>
      </c>
    </row>
    <row r="1479" spans="1:17" x14ac:dyDescent="0.2">
      <c r="A1479" t="s">
        <v>1644</v>
      </c>
      <c r="B1479" s="1">
        <v>45831</v>
      </c>
      <c r="C1479" t="s">
        <v>43</v>
      </c>
      <c r="D1479" t="s">
        <v>44</v>
      </c>
      <c r="E1479" t="s">
        <v>82</v>
      </c>
      <c r="F1479" t="s">
        <v>46</v>
      </c>
      <c r="G1479" t="s">
        <v>22</v>
      </c>
      <c r="H1479" t="s">
        <v>23</v>
      </c>
      <c r="I1479" t="s">
        <v>79</v>
      </c>
      <c r="J1479" t="s">
        <v>80</v>
      </c>
      <c r="K1479">
        <v>5</v>
      </c>
      <c r="L1479" s="2">
        <v>266.43</v>
      </c>
      <c r="M1479" s="3">
        <v>0.15</v>
      </c>
      <c r="N1479" s="2">
        <v>1132.33</v>
      </c>
      <c r="O1479" s="2">
        <v>889.04</v>
      </c>
      <c r="P1479" s="2">
        <v>243.29</v>
      </c>
      <c r="Q1479" t="s">
        <v>26</v>
      </c>
    </row>
    <row r="1480" spans="1:17" x14ac:dyDescent="0.2">
      <c r="A1480" t="s">
        <v>1645</v>
      </c>
      <c r="B1480" s="1">
        <v>45831</v>
      </c>
      <c r="C1480" t="s">
        <v>36</v>
      </c>
      <c r="D1480" t="s">
        <v>110</v>
      </c>
      <c r="E1480" t="s">
        <v>111</v>
      </c>
      <c r="F1480" t="s">
        <v>39</v>
      </c>
      <c r="G1480" t="s">
        <v>75</v>
      </c>
      <c r="H1480" t="s">
        <v>47</v>
      </c>
      <c r="I1480" t="s">
        <v>97</v>
      </c>
      <c r="J1480" t="s">
        <v>116</v>
      </c>
      <c r="K1480">
        <v>9</v>
      </c>
      <c r="L1480" s="2">
        <v>577.33000000000004</v>
      </c>
      <c r="M1480" s="3">
        <v>0.05</v>
      </c>
      <c r="N1480" s="2">
        <v>4936.17</v>
      </c>
      <c r="O1480" s="2">
        <v>2994.2</v>
      </c>
      <c r="P1480" s="2">
        <v>1941.97</v>
      </c>
      <c r="Q1480" t="s">
        <v>57</v>
      </c>
    </row>
    <row r="1481" spans="1:17" x14ac:dyDescent="0.2">
      <c r="A1481" t="s">
        <v>1646</v>
      </c>
      <c r="B1481" s="1">
        <v>45832</v>
      </c>
      <c r="C1481" t="s">
        <v>36</v>
      </c>
      <c r="D1481" t="s">
        <v>144</v>
      </c>
      <c r="E1481" t="s">
        <v>145</v>
      </c>
      <c r="F1481" t="s">
        <v>21</v>
      </c>
      <c r="G1481" t="s">
        <v>75</v>
      </c>
      <c r="H1481" t="s">
        <v>47</v>
      </c>
      <c r="I1481" t="s">
        <v>141</v>
      </c>
      <c r="J1481" t="s">
        <v>142</v>
      </c>
      <c r="K1481">
        <v>4</v>
      </c>
      <c r="L1481" s="2">
        <v>555.64</v>
      </c>
      <c r="M1481" s="3">
        <v>0.1</v>
      </c>
      <c r="N1481" s="2">
        <v>2000.3</v>
      </c>
      <c r="O1481" s="2">
        <v>1133.57</v>
      </c>
      <c r="P1481" s="2">
        <v>866.73</v>
      </c>
      <c r="Q1481" t="s">
        <v>26</v>
      </c>
    </row>
    <row r="1482" spans="1:17" x14ac:dyDescent="0.2">
      <c r="A1482" t="s">
        <v>1647</v>
      </c>
      <c r="B1482" s="1">
        <v>45832</v>
      </c>
      <c r="C1482" t="s">
        <v>43</v>
      </c>
      <c r="D1482" t="s">
        <v>51</v>
      </c>
      <c r="E1482" t="s">
        <v>59</v>
      </c>
      <c r="F1482" t="s">
        <v>21</v>
      </c>
      <c r="G1482" t="s">
        <v>75</v>
      </c>
      <c r="H1482" t="s">
        <v>23</v>
      </c>
      <c r="I1482" t="s">
        <v>79</v>
      </c>
      <c r="J1482" t="s">
        <v>233</v>
      </c>
      <c r="K1482">
        <v>10</v>
      </c>
      <c r="L1482" s="2">
        <v>127.56</v>
      </c>
      <c r="M1482" s="3">
        <v>0.2</v>
      </c>
      <c r="N1482" s="2">
        <v>1020.48</v>
      </c>
      <c r="O1482" s="2">
        <v>787.42</v>
      </c>
      <c r="P1482" s="2">
        <v>233.06</v>
      </c>
      <c r="Q1482" t="s">
        <v>57</v>
      </c>
    </row>
    <row r="1483" spans="1:17" x14ac:dyDescent="0.2">
      <c r="A1483" t="s">
        <v>1648</v>
      </c>
      <c r="B1483" s="1">
        <v>45832</v>
      </c>
      <c r="C1483" t="s">
        <v>36</v>
      </c>
      <c r="D1483" t="s">
        <v>110</v>
      </c>
      <c r="E1483" t="s">
        <v>203</v>
      </c>
      <c r="F1483" t="s">
        <v>30</v>
      </c>
      <c r="G1483" t="s">
        <v>75</v>
      </c>
      <c r="H1483" t="s">
        <v>47</v>
      </c>
      <c r="I1483" t="s">
        <v>141</v>
      </c>
      <c r="J1483" t="s">
        <v>201</v>
      </c>
      <c r="K1483">
        <v>8</v>
      </c>
      <c r="L1483" s="2">
        <v>578.71</v>
      </c>
      <c r="M1483" s="3">
        <v>0.05</v>
      </c>
      <c r="N1483" s="2">
        <v>4398.2</v>
      </c>
      <c r="O1483" s="2">
        <v>2916.18</v>
      </c>
      <c r="P1483" s="2">
        <v>1482.02</v>
      </c>
      <c r="Q1483" t="s">
        <v>61</v>
      </c>
    </row>
    <row r="1484" spans="1:17" x14ac:dyDescent="0.2">
      <c r="A1484" t="s">
        <v>1649</v>
      </c>
      <c r="B1484" s="1">
        <v>45832</v>
      </c>
      <c r="C1484" t="s">
        <v>18</v>
      </c>
      <c r="D1484" t="s">
        <v>152</v>
      </c>
      <c r="E1484" t="s">
        <v>166</v>
      </c>
      <c r="F1484" t="s">
        <v>69</v>
      </c>
      <c r="G1484" t="s">
        <v>75</v>
      </c>
      <c r="H1484" t="s">
        <v>31</v>
      </c>
      <c r="I1484" t="s">
        <v>112</v>
      </c>
      <c r="J1484" t="s">
        <v>113</v>
      </c>
      <c r="K1484">
        <v>2</v>
      </c>
      <c r="L1484" s="2">
        <v>422.42</v>
      </c>
      <c r="M1484" s="3">
        <v>0.1</v>
      </c>
      <c r="N1484" s="2">
        <v>760.36</v>
      </c>
      <c r="O1484" s="2">
        <v>425.03</v>
      </c>
      <c r="P1484" s="2">
        <v>335.33</v>
      </c>
      <c r="Q1484" t="s">
        <v>57</v>
      </c>
    </row>
    <row r="1485" spans="1:17" x14ac:dyDescent="0.2">
      <c r="A1485" t="s">
        <v>1650</v>
      </c>
      <c r="B1485" s="1">
        <v>45832</v>
      </c>
      <c r="C1485" t="s">
        <v>77</v>
      </c>
      <c r="D1485" t="s">
        <v>78</v>
      </c>
      <c r="E1485" t="s">
        <v>295</v>
      </c>
      <c r="F1485" t="s">
        <v>71</v>
      </c>
      <c r="G1485" t="s">
        <v>75</v>
      </c>
      <c r="H1485" t="s">
        <v>23</v>
      </c>
      <c r="I1485" t="s">
        <v>79</v>
      </c>
      <c r="J1485" t="s">
        <v>233</v>
      </c>
      <c r="K1485">
        <v>10</v>
      </c>
      <c r="L1485" s="2">
        <v>326.77999999999997</v>
      </c>
      <c r="M1485" s="3">
        <v>0.05</v>
      </c>
      <c r="N1485" s="2">
        <v>3104.41</v>
      </c>
      <c r="O1485" s="2">
        <v>1727.69</v>
      </c>
      <c r="P1485" s="2">
        <v>1376.72</v>
      </c>
      <c r="Q1485" t="s">
        <v>34</v>
      </c>
    </row>
    <row r="1486" spans="1:17" x14ac:dyDescent="0.2">
      <c r="A1486" t="s">
        <v>1651</v>
      </c>
      <c r="B1486" s="1">
        <v>45832</v>
      </c>
      <c r="C1486" t="s">
        <v>43</v>
      </c>
      <c r="D1486" t="s">
        <v>44</v>
      </c>
      <c r="E1486" t="s">
        <v>82</v>
      </c>
      <c r="F1486" t="s">
        <v>53</v>
      </c>
      <c r="G1486" t="s">
        <v>75</v>
      </c>
      <c r="H1486" t="s">
        <v>23</v>
      </c>
      <c r="I1486" t="s">
        <v>55</v>
      </c>
      <c r="J1486" t="s">
        <v>102</v>
      </c>
      <c r="K1486">
        <v>3</v>
      </c>
      <c r="L1486" s="2">
        <v>11.25</v>
      </c>
      <c r="M1486" s="3">
        <v>0</v>
      </c>
      <c r="N1486" s="2">
        <v>33.75</v>
      </c>
      <c r="O1486" s="2">
        <v>19.16</v>
      </c>
      <c r="P1486" s="2">
        <v>14.59</v>
      </c>
      <c r="Q1486" t="s">
        <v>34</v>
      </c>
    </row>
    <row r="1487" spans="1:17" x14ac:dyDescent="0.2">
      <c r="A1487" t="s">
        <v>1652</v>
      </c>
      <c r="B1487" s="1">
        <v>45832</v>
      </c>
      <c r="C1487" t="s">
        <v>43</v>
      </c>
      <c r="D1487" t="s">
        <v>44</v>
      </c>
      <c r="E1487" t="s">
        <v>147</v>
      </c>
      <c r="F1487" t="s">
        <v>138</v>
      </c>
      <c r="G1487" t="s">
        <v>22</v>
      </c>
      <c r="H1487" t="s">
        <v>31</v>
      </c>
      <c r="I1487" t="s">
        <v>32</v>
      </c>
      <c r="J1487" t="s">
        <v>104</v>
      </c>
      <c r="K1487">
        <v>9</v>
      </c>
      <c r="L1487" s="2">
        <v>652.27</v>
      </c>
      <c r="M1487" s="3">
        <v>0</v>
      </c>
      <c r="N1487" s="2">
        <v>5870.43</v>
      </c>
      <c r="O1487" s="2">
        <v>3844.57</v>
      </c>
      <c r="P1487" s="2">
        <v>2025.86</v>
      </c>
      <c r="Q1487" t="s">
        <v>34</v>
      </c>
    </row>
    <row r="1488" spans="1:17" x14ac:dyDescent="0.2">
      <c r="A1488" t="s">
        <v>1653</v>
      </c>
      <c r="B1488" s="1">
        <v>45832</v>
      </c>
      <c r="C1488" t="s">
        <v>77</v>
      </c>
      <c r="D1488" t="s">
        <v>95</v>
      </c>
      <c r="E1488" t="s">
        <v>96</v>
      </c>
      <c r="F1488" t="s">
        <v>69</v>
      </c>
      <c r="G1488" t="s">
        <v>54</v>
      </c>
      <c r="H1488" t="s">
        <v>47</v>
      </c>
      <c r="I1488" t="s">
        <v>141</v>
      </c>
      <c r="J1488" t="s">
        <v>372</v>
      </c>
      <c r="K1488">
        <v>4</v>
      </c>
      <c r="L1488" s="2">
        <v>201.63</v>
      </c>
      <c r="M1488" s="3">
        <v>0.15</v>
      </c>
      <c r="N1488" s="2">
        <v>685.54</v>
      </c>
      <c r="O1488" s="2">
        <v>425.75</v>
      </c>
      <c r="P1488" s="2">
        <v>259.79000000000002</v>
      </c>
      <c r="Q1488" t="s">
        <v>26</v>
      </c>
    </row>
    <row r="1489" spans="1:17" x14ac:dyDescent="0.2">
      <c r="A1489" t="s">
        <v>1654</v>
      </c>
      <c r="B1489" s="1">
        <v>45833</v>
      </c>
      <c r="C1489" t="s">
        <v>18</v>
      </c>
      <c r="D1489" t="s">
        <v>133</v>
      </c>
      <c r="E1489" t="s">
        <v>134</v>
      </c>
      <c r="F1489" t="s">
        <v>60</v>
      </c>
      <c r="G1489" t="s">
        <v>75</v>
      </c>
      <c r="H1489" t="s">
        <v>31</v>
      </c>
      <c r="I1489" t="s">
        <v>40</v>
      </c>
      <c r="J1489" t="s">
        <v>41</v>
      </c>
      <c r="K1489">
        <v>5</v>
      </c>
      <c r="L1489" s="2">
        <v>94.35</v>
      </c>
      <c r="M1489" s="3">
        <v>0</v>
      </c>
      <c r="N1489" s="2">
        <v>471.75</v>
      </c>
      <c r="O1489" s="2">
        <v>343.89</v>
      </c>
      <c r="P1489" s="2">
        <v>127.86</v>
      </c>
      <c r="Q1489" t="s">
        <v>61</v>
      </c>
    </row>
    <row r="1490" spans="1:17" x14ac:dyDescent="0.2">
      <c r="A1490" t="s">
        <v>1655</v>
      </c>
      <c r="B1490" s="1">
        <v>45833</v>
      </c>
      <c r="C1490" t="s">
        <v>43</v>
      </c>
      <c r="D1490" t="s">
        <v>244</v>
      </c>
      <c r="E1490" t="s">
        <v>245</v>
      </c>
      <c r="F1490" t="s">
        <v>60</v>
      </c>
      <c r="G1490" t="s">
        <v>54</v>
      </c>
      <c r="H1490" t="s">
        <v>23</v>
      </c>
      <c r="I1490" t="s">
        <v>83</v>
      </c>
      <c r="J1490" t="s">
        <v>120</v>
      </c>
      <c r="K1490">
        <v>4</v>
      </c>
      <c r="L1490" s="2">
        <v>21.6</v>
      </c>
      <c r="M1490" s="3">
        <v>0.15</v>
      </c>
      <c r="N1490" s="2">
        <v>73.44</v>
      </c>
      <c r="O1490" s="2">
        <v>54.34</v>
      </c>
      <c r="P1490" s="2">
        <v>19.100000000000001</v>
      </c>
      <c r="Q1490" t="s">
        <v>34</v>
      </c>
    </row>
    <row r="1491" spans="1:17" x14ac:dyDescent="0.2">
      <c r="A1491" t="s">
        <v>1656</v>
      </c>
      <c r="B1491" s="1">
        <v>45833</v>
      </c>
      <c r="C1491" t="s">
        <v>18</v>
      </c>
      <c r="D1491" t="s">
        <v>19</v>
      </c>
      <c r="E1491" t="s">
        <v>118</v>
      </c>
      <c r="F1491" t="s">
        <v>46</v>
      </c>
      <c r="G1491" t="s">
        <v>75</v>
      </c>
      <c r="H1491" t="s">
        <v>31</v>
      </c>
      <c r="I1491" t="s">
        <v>64</v>
      </c>
      <c r="J1491" t="s">
        <v>65</v>
      </c>
      <c r="K1491">
        <v>3</v>
      </c>
      <c r="L1491" s="2">
        <v>41.85</v>
      </c>
      <c r="M1491" s="3">
        <v>0.15</v>
      </c>
      <c r="N1491" s="2">
        <v>106.72</v>
      </c>
      <c r="O1491" s="2">
        <v>76.23</v>
      </c>
      <c r="P1491" s="2">
        <v>30.49</v>
      </c>
      <c r="Q1491" t="s">
        <v>57</v>
      </c>
    </row>
    <row r="1492" spans="1:17" x14ac:dyDescent="0.2">
      <c r="A1492" t="s">
        <v>1657</v>
      </c>
      <c r="B1492" s="1">
        <v>45833</v>
      </c>
      <c r="C1492" t="s">
        <v>77</v>
      </c>
      <c r="D1492" t="s">
        <v>128</v>
      </c>
      <c r="E1492" t="s">
        <v>159</v>
      </c>
      <c r="F1492" t="s">
        <v>60</v>
      </c>
      <c r="G1492" t="s">
        <v>75</v>
      </c>
      <c r="H1492" t="s">
        <v>31</v>
      </c>
      <c r="I1492" t="s">
        <v>40</v>
      </c>
      <c r="J1492" t="s">
        <v>122</v>
      </c>
      <c r="K1492">
        <v>9</v>
      </c>
      <c r="L1492" s="2">
        <v>60.33</v>
      </c>
      <c r="M1492" s="3">
        <v>0.1</v>
      </c>
      <c r="N1492" s="2">
        <v>488.67</v>
      </c>
      <c r="O1492" s="2">
        <v>363.13</v>
      </c>
      <c r="P1492" s="2">
        <v>125.54</v>
      </c>
      <c r="Q1492" t="s">
        <v>57</v>
      </c>
    </row>
    <row r="1493" spans="1:17" x14ac:dyDescent="0.2">
      <c r="A1493" t="s">
        <v>1658</v>
      </c>
      <c r="B1493" s="1">
        <v>45834</v>
      </c>
      <c r="C1493" t="s">
        <v>77</v>
      </c>
      <c r="D1493" t="s">
        <v>95</v>
      </c>
      <c r="E1493" t="s">
        <v>96</v>
      </c>
      <c r="F1493" t="s">
        <v>69</v>
      </c>
      <c r="G1493" t="s">
        <v>75</v>
      </c>
      <c r="H1493" t="s">
        <v>31</v>
      </c>
      <c r="I1493" t="s">
        <v>112</v>
      </c>
      <c r="J1493" t="s">
        <v>113</v>
      </c>
      <c r="K1493">
        <v>3</v>
      </c>
      <c r="L1493" s="2">
        <v>680.75</v>
      </c>
      <c r="M1493" s="3">
        <v>0.1</v>
      </c>
      <c r="N1493" s="2">
        <v>1838.02</v>
      </c>
      <c r="O1493" s="2">
        <v>1068.27</v>
      </c>
      <c r="P1493" s="2">
        <v>769.75</v>
      </c>
      <c r="Q1493" t="s">
        <v>26</v>
      </c>
    </row>
    <row r="1494" spans="1:17" x14ac:dyDescent="0.2">
      <c r="A1494" t="s">
        <v>1659</v>
      </c>
      <c r="B1494" s="1">
        <v>45834</v>
      </c>
      <c r="C1494" t="s">
        <v>18</v>
      </c>
      <c r="D1494" t="s">
        <v>152</v>
      </c>
      <c r="E1494" t="s">
        <v>185</v>
      </c>
      <c r="F1494" t="s">
        <v>30</v>
      </c>
      <c r="G1494" t="s">
        <v>22</v>
      </c>
      <c r="H1494" t="s">
        <v>47</v>
      </c>
      <c r="I1494" t="s">
        <v>48</v>
      </c>
      <c r="J1494" t="s">
        <v>93</v>
      </c>
      <c r="K1494">
        <v>6</v>
      </c>
      <c r="L1494" s="2">
        <v>195.91</v>
      </c>
      <c r="M1494" s="3">
        <v>0.05</v>
      </c>
      <c r="N1494" s="2">
        <v>1116.69</v>
      </c>
      <c r="O1494" s="2">
        <v>750.43</v>
      </c>
      <c r="P1494" s="2">
        <v>366.26</v>
      </c>
      <c r="Q1494" t="s">
        <v>34</v>
      </c>
    </row>
    <row r="1495" spans="1:17" x14ac:dyDescent="0.2">
      <c r="A1495" t="s">
        <v>1660</v>
      </c>
      <c r="B1495" s="1">
        <v>45834</v>
      </c>
      <c r="C1495" t="s">
        <v>77</v>
      </c>
      <c r="D1495" t="s">
        <v>95</v>
      </c>
      <c r="E1495" t="s">
        <v>367</v>
      </c>
      <c r="F1495" t="s">
        <v>60</v>
      </c>
      <c r="G1495" t="s">
        <v>54</v>
      </c>
      <c r="H1495" t="s">
        <v>23</v>
      </c>
      <c r="I1495" t="s">
        <v>55</v>
      </c>
      <c r="J1495" t="s">
        <v>173</v>
      </c>
      <c r="K1495">
        <v>7</v>
      </c>
      <c r="L1495" s="2">
        <v>18.100000000000001</v>
      </c>
      <c r="M1495" s="3">
        <v>0.05</v>
      </c>
      <c r="N1495" s="2">
        <v>120.36</v>
      </c>
      <c r="O1495" s="2">
        <v>84.99</v>
      </c>
      <c r="P1495" s="2">
        <v>35.369999999999997</v>
      </c>
      <c r="Q1495" t="s">
        <v>34</v>
      </c>
    </row>
    <row r="1496" spans="1:17" x14ac:dyDescent="0.2">
      <c r="A1496" t="s">
        <v>1661</v>
      </c>
      <c r="B1496" s="1">
        <v>45834</v>
      </c>
      <c r="C1496" t="s">
        <v>18</v>
      </c>
      <c r="D1496" t="s">
        <v>152</v>
      </c>
      <c r="E1496" t="s">
        <v>185</v>
      </c>
      <c r="F1496" t="s">
        <v>21</v>
      </c>
      <c r="G1496" t="s">
        <v>75</v>
      </c>
      <c r="H1496" t="s">
        <v>47</v>
      </c>
      <c r="I1496" t="s">
        <v>97</v>
      </c>
      <c r="J1496" t="s">
        <v>116</v>
      </c>
      <c r="K1496">
        <v>6</v>
      </c>
      <c r="L1496" s="2">
        <v>690.82</v>
      </c>
      <c r="M1496" s="3">
        <v>0</v>
      </c>
      <c r="N1496" s="2">
        <v>4144.92</v>
      </c>
      <c r="O1496" s="2">
        <v>3364.88</v>
      </c>
      <c r="P1496" s="2">
        <v>780.04</v>
      </c>
      <c r="Q1496" t="s">
        <v>34</v>
      </c>
    </row>
    <row r="1497" spans="1:17" x14ac:dyDescent="0.2">
      <c r="A1497" t="s">
        <v>1662</v>
      </c>
      <c r="B1497" s="1">
        <v>45834</v>
      </c>
      <c r="C1497" t="s">
        <v>36</v>
      </c>
      <c r="D1497" t="s">
        <v>144</v>
      </c>
      <c r="E1497" t="s">
        <v>214</v>
      </c>
      <c r="F1497" t="s">
        <v>53</v>
      </c>
      <c r="G1497" t="s">
        <v>75</v>
      </c>
      <c r="H1497" t="s">
        <v>47</v>
      </c>
      <c r="I1497" t="s">
        <v>89</v>
      </c>
      <c r="J1497" t="s">
        <v>240</v>
      </c>
      <c r="K1497">
        <v>6</v>
      </c>
      <c r="L1497" s="2">
        <v>272.14999999999998</v>
      </c>
      <c r="M1497" s="3">
        <v>0</v>
      </c>
      <c r="N1497" s="2">
        <v>1632.9</v>
      </c>
      <c r="O1497" s="2">
        <v>1109.43</v>
      </c>
      <c r="P1497" s="2">
        <v>523.47</v>
      </c>
      <c r="Q1497" t="s">
        <v>61</v>
      </c>
    </row>
    <row r="1498" spans="1:17" x14ac:dyDescent="0.2">
      <c r="A1498" t="s">
        <v>1663</v>
      </c>
      <c r="B1498" s="1">
        <v>45834</v>
      </c>
      <c r="C1498" t="s">
        <v>36</v>
      </c>
      <c r="D1498" t="s">
        <v>37</v>
      </c>
      <c r="E1498" t="s">
        <v>187</v>
      </c>
      <c r="F1498" t="s">
        <v>53</v>
      </c>
      <c r="G1498" t="s">
        <v>75</v>
      </c>
      <c r="H1498" t="s">
        <v>31</v>
      </c>
      <c r="I1498" t="s">
        <v>112</v>
      </c>
      <c r="J1498" t="s">
        <v>136</v>
      </c>
      <c r="K1498">
        <v>4</v>
      </c>
      <c r="L1498" s="2">
        <v>455.52</v>
      </c>
      <c r="M1498" s="3">
        <v>0.2</v>
      </c>
      <c r="N1498" s="2">
        <v>1457.66</v>
      </c>
      <c r="O1498" s="2">
        <v>1104.3699999999999</v>
      </c>
      <c r="P1498" s="2">
        <v>353.29</v>
      </c>
      <c r="Q1498" t="s">
        <v>61</v>
      </c>
    </row>
    <row r="1499" spans="1:17" x14ac:dyDescent="0.2">
      <c r="A1499" t="s">
        <v>1664</v>
      </c>
      <c r="B1499" s="1">
        <v>45834</v>
      </c>
      <c r="C1499" t="s">
        <v>77</v>
      </c>
      <c r="D1499" t="s">
        <v>106</v>
      </c>
      <c r="E1499" t="s">
        <v>303</v>
      </c>
      <c r="F1499" t="s">
        <v>60</v>
      </c>
      <c r="G1499" t="s">
        <v>22</v>
      </c>
      <c r="H1499" t="s">
        <v>31</v>
      </c>
      <c r="I1499" t="s">
        <v>64</v>
      </c>
      <c r="J1499" t="s">
        <v>65</v>
      </c>
      <c r="K1499">
        <v>10</v>
      </c>
      <c r="L1499" s="2">
        <v>163.51</v>
      </c>
      <c r="M1499" s="3">
        <v>0</v>
      </c>
      <c r="N1499" s="2">
        <v>1635.1</v>
      </c>
      <c r="O1499" s="2">
        <v>915.11</v>
      </c>
      <c r="P1499" s="2">
        <v>719.99</v>
      </c>
      <c r="Q1499" t="s">
        <v>57</v>
      </c>
    </row>
    <row r="1500" spans="1:17" x14ac:dyDescent="0.2">
      <c r="A1500" t="s">
        <v>1665</v>
      </c>
      <c r="B1500" s="1">
        <v>45835</v>
      </c>
      <c r="C1500" t="s">
        <v>36</v>
      </c>
      <c r="D1500" t="s">
        <v>37</v>
      </c>
      <c r="E1500" t="s">
        <v>255</v>
      </c>
      <c r="F1500" t="s">
        <v>21</v>
      </c>
      <c r="G1500" t="s">
        <v>22</v>
      </c>
      <c r="H1500" t="s">
        <v>47</v>
      </c>
      <c r="I1500" t="s">
        <v>48</v>
      </c>
      <c r="J1500" t="s">
        <v>93</v>
      </c>
      <c r="K1500">
        <v>8</v>
      </c>
      <c r="L1500" s="2">
        <v>222.15</v>
      </c>
      <c r="M1500" s="3">
        <v>0.1</v>
      </c>
      <c r="N1500" s="2">
        <v>1599.48</v>
      </c>
      <c r="O1500" s="2">
        <v>1257.22</v>
      </c>
      <c r="P1500" s="2">
        <v>342.26</v>
      </c>
      <c r="Q1500" t="s">
        <v>61</v>
      </c>
    </row>
    <row r="1501" spans="1:17" x14ac:dyDescent="0.2">
      <c r="A1501" t="s">
        <v>1666</v>
      </c>
      <c r="B1501" s="1">
        <v>45835</v>
      </c>
      <c r="C1501" t="s">
        <v>77</v>
      </c>
      <c r="D1501" t="s">
        <v>95</v>
      </c>
      <c r="E1501" t="s">
        <v>96</v>
      </c>
      <c r="F1501" t="s">
        <v>138</v>
      </c>
      <c r="G1501" t="s">
        <v>75</v>
      </c>
      <c r="H1501" t="s">
        <v>47</v>
      </c>
      <c r="I1501" t="s">
        <v>48</v>
      </c>
      <c r="J1501" t="s">
        <v>164</v>
      </c>
      <c r="K1501">
        <v>4</v>
      </c>
      <c r="L1501" s="2">
        <v>464.54</v>
      </c>
      <c r="M1501" s="3">
        <v>0.15</v>
      </c>
      <c r="N1501" s="2">
        <v>1579.44</v>
      </c>
      <c r="O1501" s="2">
        <v>933.02</v>
      </c>
      <c r="P1501" s="2">
        <v>646.41999999999996</v>
      </c>
      <c r="Q1501" t="s">
        <v>57</v>
      </c>
    </row>
    <row r="1502" spans="1:17" x14ac:dyDescent="0.2">
      <c r="A1502" t="s">
        <v>1667</v>
      </c>
      <c r="B1502" s="1">
        <v>45835</v>
      </c>
      <c r="C1502" t="s">
        <v>77</v>
      </c>
      <c r="D1502" t="s">
        <v>128</v>
      </c>
      <c r="E1502" t="s">
        <v>159</v>
      </c>
      <c r="F1502" t="s">
        <v>130</v>
      </c>
      <c r="G1502" t="s">
        <v>75</v>
      </c>
      <c r="H1502" t="s">
        <v>23</v>
      </c>
      <c r="I1502" t="s">
        <v>24</v>
      </c>
      <c r="J1502" t="s">
        <v>220</v>
      </c>
      <c r="K1502">
        <v>9</v>
      </c>
      <c r="L1502" s="2">
        <v>23.5</v>
      </c>
      <c r="M1502" s="3">
        <v>0.05</v>
      </c>
      <c r="N1502" s="2">
        <v>200.92</v>
      </c>
      <c r="O1502" s="2">
        <v>154.61000000000001</v>
      </c>
      <c r="P1502" s="2">
        <v>46.31</v>
      </c>
      <c r="Q1502" t="s">
        <v>57</v>
      </c>
    </row>
    <row r="1503" spans="1:17" x14ac:dyDescent="0.2">
      <c r="A1503" t="s">
        <v>1668</v>
      </c>
      <c r="B1503" s="1">
        <v>45835</v>
      </c>
      <c r="C1503" t="s">
        <v>36</v>
      </c>
      <c r="D1503" t="s">
        <v>73</v>
      </c>
      <c r="E1503" t="s">
        <v>212</v>
      </c>
      <c r="F1503" t="s">
        <v>46</v>
      </c>
      <c r="G1503" t="s">
        <v>22</v>
      </c>
      <c r="H1503" t="s">
        <v>31</v>
      </c>
      <c r="I1503" t="s">
        <v>32</v>
      </c>
      <c r="J1503" t="s">
        <v>258</v>
      </c>
      <c r="K1503">
        <v>3</v>
      </c>
      <c r="L1503" s="2">
        <v>1607.53</v>
      </c>
      <c r="M1503" s="3">
        <v>0</v>
      </c>
      <c r="N1503" s="2">
        <v>4822.59</v>
      </c>
      <c r="O1503" s="2">
        <v>3578</v>
      </c>
      <c r="P1503" s="2">
        <v>1244.5899999999999</v>
      </c>
      <c r="Q1503" t="s">
        <v>57</v>
      </c>
    </row>
    <row r="1504" spans="1:17" x14ac:dyDescent="0.2">
      <c r="A1504" t="s">
        <v>1669</v>
      </c>
      <c r="B1504" s="1">
        <v>45835</v>
      </c>
      <c r="C1504" t="s">
        <v>36</v>
      </c>
      <c r="D1504" t="s">
        <v>110</v>
      </c>
      <c r="E1504" t="s">
        <v>111</v>
      </c>
      <c r="F1504" t="s">
        <v>46</v>
      </c>
      <c r="G1504" t="s">
        <v>22</v>
      </c>
      <c r="H1504" t="s">
        <v>23</v>
      </c>
      <c r="I1504" t="s">
        <v>79</v>
      </c>
      <c r="J1504" t="s">
        <v>233</v>
      </c>
      <c r="K1504">
        <v>7</v>
      </c>
      <c r="L1504" s="2">
        <v>238.87</v>
      </c>
      <c r="M1504" s="3">
        <v>0.05</v>
      </c>
      <c r="N1504" s="2">
        <v>1588.49</v>
      </c>
      <c r="O1504" s="2">
        <v>988.37</v>
      </c>
      <c r="P1504" s="2">
        <v>600.12</v>
      </c>
      <c r="Q1504" t="s">
        <v>26</v>
      </c>
    </row>
    <row r="1505" spans="1:17" x14ac:dyDescent="0.2">
      <c r="A1505" t="s">
        <v>1670</v>
      </c>
      <c r="B1505" s="1">
        <v>45835</v>
      </c>
      <c r="C1505" t="s">
        <v>43</v>
      </c>
      <c r="D1505" t="s">
        <v>244</v>
      </c>
      <c r="E1505" t="s">
        <v>245</v>
      </c>
      <c r="F1505" t="s">
        <v>53</v>
      </c>
      <c r="G1505" t="s">
        <v>75</v>
      </c>
      <c r="H1505" t="s">
        <v>47</v>
      </c>
      <c r="I1505" t="s">
        <v>97</v>
      </c>
      <c r="J1505" t="s">
        <v>168</v>
      </c>
      <c r="K1505">
        <v>8</v>
      </c>
      <c r="L1505" s="2">
        <v>500.74</v>
      </c>
      <c r="M1505" s="3">
        <v>0.05</v>
      </c>
      <c r="N1505" s="2">
        <v>3805.62</v>
      </c>
      <c r="O1505" s="2">
        <v>2292.56</v>
      </c>
      <c r="P1505" s="2">
        <v>1513.06</v>
      </c>
      <c r="Q1505" t="s">
        <v>34</v>
      </c>
    </row>
    <row r="1506" spans="1:17" x14ac:dyDescent="0.2">
      <c r="A1506" t="s">
        <v>1671</v>
      </c>
      <c r="B1506" s="1">
        <v>45835</v>
      </c>
      <c r="C1506" t="s">
        <v>77</v>
      </c>
      <c r="D1506" t="s">
        <v>95</v>
      </c>
      <c r="E1506" t="s">
        <v>300</v>
      </c>
      <c r="F1506" t="s">
        <v>60</v>
      </c>
      <c r="G1506" t="s">
        <v>22</v>
      </c>
      <c r="H1506" t="s">
        <v>23</v>
      </c>
      <c r="I1506" t="s">
        <v>55</v>
      </c>
      <c r="J1506" t="s">
        <v>102</v>
      </c>
      <c r="K1506">
        <v>10</v>
      </c>
      <c r="L1506" s="2">
        <v>18.95</v>
      </c>
      <c r="M1506" s="3">
        <v>0</v>
      </c>
      <c r="N1506" s="2">
        <v>189.5</v>
      </c>
      <c r="O1506" s="2">
        <v>133.37</v>
      </c>
      <c r="P1506" s="2">
        <v>56.13</v>
      </c>
      <c r="Q1506" t="s">
        <v>61</v>
      </c>
    </row>
    <row r="1507" spans="1:17" x14ac:dyDescent="0.2">
      <c r="A1507" t="s">
        <v>1672</v>
      </c>
      <c r="B1507" s="1">
        <v>45835</v>
      </c>
      <c r="C1507" t="s">
        <v>43</v>
      </c>
      <c r="D1507" t="s">
        <v>44</v>
      </c>
      <c r="E1507" t="s">
        <v>147</v>
      </c>
      <c r="F1507" t="s">
        <v>46</v>
      </c>
      <c r="G1507" t="s">
        <v>75</v>
      </c>
      <c r="H1507" t="s">
        <v>23</v>
      </c>
      <c r="I1507" t="s">
        <v>55</v>
      </c>
      <c r="J1507" t="s">
        <v>102</v>
      </c>
      <c r="K1507">
        <v>7</v>
      </c>
      <c r="L1507" s="2">
        <v>9.49</v>
      </c>
      <c r="M1507" s="3">
        <v>0.15</v>
      </c>
      <c r="N1507" s="2">
        <v>56.47</v>
      </c>
      <c r="O1507" s="2">
        <v>41.49</v>
      </c>
      <c r="P1507" s="2">
        <v>14.98</v>
      </c>
      <c r="Q1507" t="s">
        <v>26</v>
      </c>
    </row>
    <row r="1508" spans="1:17" x14ac:dyDescent="0.2">
      <c r="A1508" t="s">
        <v>1673</v>
      </c>
      <c r="B1508" s="1">
        <v>45835</v>
      </c>
      <c r="C1508" t="s">
        <v>77</v>
      </c>
      <c r="D1508" t="s">
        <v>95</v>
      </c>
      <c r="E1508" t="s">
        <v>367</v>
      </c>
      <c r="F1508" t="s">
        <v>21</v>
      </c>
      <c r="G1508" t="s">
        <v>75</v>
      </c>
      <c r="H1508" t="s">
        <v>31</v>
      </c>
      <c r="I1508" t="s">
        <v>112</v>
      </c>
      <c r="J1508" t="s">
        <v>136</v>
      </c>
      <c r="K1508">
        <v>1</v>
      </c>
      <c r="L1508" s="2">
        <v>450.8</v>
      </c>
      <c r="M1508" s="3">
        <v>0.05</v>
      </c>
      <c r="N1508" s="2">
        <v>428.26</v>
      </c>
      <c r="O1508" s="2">
        <v>280.45999999999998</v>
      </c>
      <c r="P1508" s="2">
        <v>147.80000000000001</v>
      </c>
      <c r="Q1508" t="s">
        <v>34</v>
      </c>
    </row>
    <row r="1509" spans="1:17" x14ac:dyDescent="0.2">
      <c r="A1509" t="s">
        <v>1674</v>
      </c>
      <c r="B1509" s="1">
        <v>45835</v>
      </c>
      <c r="C1509" t="s">
        <v>18</v>
      </c>
      <c r="D1509" t="s">
        <v>86</v>
      </c>
      <c r="E1509" t="s">
        <v>140</v>
      </c>
      <c r="F1509" t="s">
        <v>39</v>
      </c>
      <c r="G1509" t="s">
        <v>22</v>
      </c>
      <c r="H1509" t="s">
        <v>31</v>
      </c>
      <c r="I1509" t="s">
        <v>112</v>
      </c>
      <c r="J1509" t="s">
        <v>113</v>
      </c>
      <c r="K1509">
        <v>6</v>
      </c>
      <c r="L1509" s="2">
        <v>217.79</v>
      </c>
      <c r="M1509" s="3">
        <v>0.15</v>
      </c>
      <c r="N1509" s="2">
        <v>1110.73</v>
      </c>
      <c r="O1509" s="2">
        <v>663.1</v>
      </c>
      <c r="P1509" s="2">
        <v>447.63</v>
      </c>
      <c r="Q1509" t="s">
        <v>34</v>
      </c>
    </row>
    <row r="1510" spans="1:17" x14ac:dyDescent="0.2">
      <c r="A1510" t="s">
        <v>1675</v>
      </c>
      <c r="B1510" s="1">
        <v>45836</v>
      </c>
      <c r="C1510" t="s">
        <v>36</v>
      </c>
      <c r="D1510" t="s">
        <v>73</v>
      </c>
      <c r="E1510" t="s">
        <v>74</v>
      </c>
      <c r="F1510" t="s">
        <v>69</v>
      </c>
      <c r="G1510" t="s">
        <v>22</v>
      </c>
      <c r="H1510" t="s">
        <v>23</v>
      </c>
      <c r="I1510" t="s">
        <v>55</v>
      </c>
      <c r="J1510" t="s">
        <v>173</v>
      </c>
      <c r="K1510">
        <v>9</v>
      </c>
      <c r="L1510" s="2">
        <v>24.53</v>
      </c>
      <c r="M1510" s="3">
        <v>0</v>
      </c>
      <c r="N1510" s="2">
        <v>220.77</v>
      </c>
      <c r="O1510" s="2">
        <v>180.39</v>
      </c>
      <c r="P1510" s="2">
        <v>40.380000000000003</v>
      </c>
      <c r="Q1510" t="s">
        <v>61</v>
      </c>
    </row>
    <row r="1511" spans="1:17" x14ac:dyDescent="0.2">
      <c r="A1511" t="s">
        <v>1676</v>
      </c>
      <c r="B1511" s="1">
        <v>45836</v>
      </c>
      <c r="C1511" t="s">
        <v>18</v>
      </c>
      <c r="D1511" t="s">
        <v>86</v>
      </c>
      <c r="E1511" t="s">
        <v>140</v>
      </c>
      <c r="F1511" t="s">
        <v>69</v>
      </c>
      <c r="G1511" t="s">
        <v>22</v>
      </c>
      <c r="H1511" t="s">
        <v>31</v>
      </c>
      <c r="I1511" t="s">
        <v>40</v>
      </c>
      <c r="J1511" t="s">
        <v>216</v>
      </c>
      <c r="K1511">
        <v>2</v>
      </c>
      <c r="L1511" s="2">
        <v>245.47</v>
      </c>
      <c r="M1511" s="3">
        <v>0</v>
      </c>
      <c r="N1511" s="2">
        <v>490.94</v>
      </c>
      <c r="O1511" s="2">
        <v>321.83</v>
      </c>
      <c r="P1511" s="2">
        <v>169.11</v>
      </c>
      <c r="Q1511" t="s">
        <v>34</v>
      </c>
    </row>
    <row r="1512" spans="1:17" x14ac:dyDescent="0.2">
      <c r="A1512" t="s">
        <v>1677</v>
      </c>
      <c r="B1512" s="1">
        <v>45836</v>
      </c>
      <c r="C1512" t="s">
        <v>36</v>
      </c>
      <c r="D1512" t="s">
        <v>110</v>
      </c>
      <c r="E1512" t="s">
        <v>111</v>
      </c>
      <c r="F1512" t="s">
        <v>53</v>
      </c>
      <c r="G1512" t="s">
        <v>75</v>
      </c>
      <c r="H1512" t="s">
        <v>23</v>
      </c>
      <c r="I1512" t="s">
        <v>24</v>
      </c>
      <c r="J1512" t="s">
        <v>25</v>
      </c>
      <c r="K1512">
        <v>10</v>
      </c>
      <c r="L1512" s="2">
        <v>13.98</v>
      </c>
      <c r="M1512" s="3">
        <v>0.15</v>
      </c>
      <c r="N1512" s="2">
        <v>118.83</v>
      </c>
      <c r="O1512" s="2">
        <v>84.96</v>
      </c>
      <c r="P1512" s="2">
        <v>33.869999999999997</v>
      </c>
      <c r="Q1512" t="s">
        <v>34</v>
      </c>
    </row>
    <row r="1513" spans="1:17" x14ac:dyDescent="0.2">
      <c r="A1513" t="s">
        <v>1678</v>
      </c>
      <c r="B1513" s="1">
        <v>45836</v>
      </c>
      <c r="C1513" t="s">
        <v>43</v>
      </c>
      <c r="D1513" t="s">
        <v>161</v>
      </c>
      <c r="E1513" t="s">
        <v>162</v>
      </c>
      <c r="F1513" t="s">
        <v>46</v>
      </c>
      <c r="G1513" t="s">
        <v>22</v>
      </c>
      <c r="H1513" t="s">
        <v>31</v>
      </c>
      <c r="I1513" t="s">
        <v>40</v>
      </c>
      <c r="J1513" t="s">
        <v>122</v>
      </c>
      <c r="K1513">
        <v>7</v>
      </c>
      <c r="L1513" s="2">
        <v>186.4</v>
      </c>
      <c r="M1513" s="3">
        <v>0.1</v>
      </c>
      <c r="N1513" s="2">
        <v>1174.32</v>
      </c>
      <c r="O1513" s="2">
        <v>921.69</v>
      </c>
      <c r="P1513" s="2">
        <v>252.63</v>
      </c>
      <c r="Q1513" t="s">
        <v>26</v>
      </c>
    </row>
    <row r="1514" spans="1:17" x14ac:dyDescent="0.2">
      <c r="A1514" t="s">
        <v>1679</v>
      </c>
      <c r="B1514" s="1">
        <v>45836</v>
      </c>
      <c r="C1514" t="s">
        <v>18</v>
      </c>
      <c r="D1514" t="s">
        <v>86</v>
      </c>
      <c r="E1514" t="s">
        <v>140</v>
      </c>
      <c r="F1514" t="s">
        <v>30</v>
      </c>
      <c r="G1514" t="s">
        <v>75</v>
      </c>
      <c r="H1514" t="s">
        <v>47</v>
      </c>
      <c r="I1514" t="s">
        <v>48</v>
      </c>
      <c r="J1514" t="s">
        <v>93</v>
      </c>
      <c r="K1514">
        <v>3</v>
      </c>
      <c r="L1514" s="2">
        <v>663.5</v>
      </c>
      <c r="M1514" s="3">
        <v>0</v>
      </c>
      <c r="N1514" s="2">
        <v>1990.5</v>
      </c>
      <c r="O1514" s="2">
        <v>1117.69</v>
      </c>
      <c r="P1514" s="2">
        <v>872.81</v>
      </c>
      <c r="Q1514" t="s">
        <v>34</v>
      </c>
    </row>
    <row r="1515" spans="1:17" x14ac:dyDescent="0.2">
      <c r="A1515" t="s">
        <v>1680</v>
      </c>
      <c r="B1515" s="1">
        <v>45836</v>
      </c>
      <c r="C1515" t="s">
        <v>36</v>
      </c>
      <c r="D1515" t="s">
        <v>73</v>
      </c>
      <c r="E1515" t="s">
        <v>212</v>
      </c>
      <c r="F1515" t="s">
        <v>138</v>
      </c>
      <c r="G1515" t="s">
        <v>22</v>
      </c>
      <c r="H1515" t="s">
        <v>23</v>
      </c>
      <c r="I1515" t="s">
        <v>79</v>
      </c>
      <c r="J1515" t="s">
        <v>179</v>
      </c>
      <c r="K1515">
        <v>9</v>
      </c>
      <c r="L1515" s="2">
        <v>449.39</v>
      </c>
      <c r="M1515" s="3">
        <v>0</v>
      </c>
      <c r="N1515" s="2">
        <v>4044.51</v>
      </c>
      <c r="O1515" s="2">
        <v>3143.03</v>
      </c>
      <c r="P1515" s="2">
        <v>901.48</v>
      </c>
      <c r="Q1515" t="s">
        <v>57</v>
      </c>
    </row>
    <row r="1516" spans="1:17" x14ac:dyDescent="0.2">
      <c r="A1516" t="s">
        <v>1681</v>
      </c>
      <c r="B1516" s="1">
        <v>45836</v>
      </c>
      <c r="C1516" t="s">
        <v>77</v>
      </c>
      <c r="D1516" t="s">
        <v>128</v>
      </c>
      <c r="E1516" t="s">
        <v>159</v>
      </c>
      <c r="F1516" t="s">
        <v>53</v>
      </c>
      <c r="G1516" t="s">
        <v>75</v>
      </c>
      <c r="H1516" t="s">
        <v>31</v>
      </c>
      <c r="I1516" t="s">
        <v>112</v>
      </c>
      <c r="J1516" t="s">
        <v>136</v>
      </c>
      <c r="K1516">
        <v>4</v>
      </c>
      <c r="L1516" s="2">
        <v>586.27</v>
      </c>
      <c r="M1516" s="3">
        <v>0.05</v>
      </c>
      <c r="N1516" s="2">
        <v>2227.83</v>
      </c>
      <c r="O1516" s="2">
        <v>1369.88</v>
      </c>
      <c r="P1516" s="2">
        <v>857.95</v>
      </c>
      <c r="Q1516" t="s">
        <v>26</v>
      </c>
    </row>
    <row r="1517" spans="1:17" x14ac:dyDescent="0.2">
      <c r="A1517" t="s">
        <v>1682</v>
      </c>
      <c r="B1517" s="1">
        <v>45836</v>
      </c>
      <c r="C1517" t="s">
        <v>18</v>
      </c>
      <c r="D1517" t="s">
        <v>19</v>
      </c>
      <c r="E1517" t="s">
        <v>100</v>
      </c>
      <c r="F1517" t="s">
        <v>71</v>
      </c>
      <c r="G1517" t="s">
        <v>75</v>
      </c>
      <c r="H1517" t="s">
        <v>31</v>
      </c>
      <c r="I1517" t="s">
        <v>64</v>
      </c>
      <c r="J1517" t="s">
        <v>252</v>
      </c>
      <c r="K1517">
        <v>6</v>
      </c>
      <c r="L1517" s="2">
        <v>175.52</v>
      </c>
      <c r="M1517" s="3">
        <v>0.1</v>
      </c>
      <c r="N1517" s="2">
        <v>947.81</v>
      </c>
      <c r="O1517" s="2">
        <v>601.23</v>
      </c>
      <c r="P1517" s="2">
        <v>346.58</v>
      </c>
      <c r="Q1517" t="s">
        <v>61</v>
      </c>
    </row>
    <row r="1518" spans="1:17" x14ac:dyDescent="0.2">
      <c r="A1518" t="s">
        <v>1683</v>
      </c>
      <c r="B1518" s="1">
        <v>45836</v>
      </c>
      <c r="C1518" t="s">
        <v>18</v>
      </c>
      <c r="D1518" t="s">
        <v>86</v>
      </c>
      <c r="E1518" t="s">
        <v>87</v>
      </c>
      <c r="F1518" t="s">
        <v>21</v>
      </c>
      <c r="G1518" t="s">
        <v>22</v>
      </c>
      <c r="H1518" t="s">
        <v>31</v>
      </c>
      <c r="I1518" t="s">
        <v>64</v>
      </c>
      <c r="J1518" t="s">
        <v>65</v>
      </c>
      <c r="K1518">
        <v>4</v>
      </c>
      <c r="L1518" s="2">
        <v>167.15</v>
      </c>
      <c r="M1518" s="3">
        <v>0.1</v>
      </c>
      <c r="N1518" s="2">
        <v>601.74</v>
      </c>
      <c r="O1518" s="2">
        <v>387.16</v>
      </c>
      <c r="P1518" s="2">
        <v>214.58</v>
      </c>
      <c r="Q1518" t="s">
        <v>61</v>
      </c>
    </row>
    <row r="1519" spans="1:17" x14ac:dyDescent="0.2">
      <c r="A1519" t="s">
        <v>1684</v>
      </c>
      <c r="B1519" s="1">
        <v>45836</v>
      </c>
      <c r="C1519" t="s">
        <v>18</v>
      </c>
      <c r="D1519" t="s">
        <v>19</v>
      </c>
      <c r="E1519" t="s">
        <v>20</v>
      </c>
      <c r="F1519" t="s">
        <v>21</v>
      </c>
      <c r="G1519" t="s">
        <v>75</v>
      </c>
      <c r="H1519" t="s">
        <v>23</v>
      </c>
      <c r="I1519" t="s">
        <v>83</v>
      </c>
      <c r="J1519" t="s">
        <v>84</v>
      </c>
      <c r="K1519">
        <v>3</v>
      </c>
      <c r="L1519" s="2">
        <v>15.99</v>
      </c>
      <c r="M1519" s="3">
        <v>0</v>
      </c>
      <c r="N1519" s="2">
        <v>47.97</v>
      </c>
      <c r="O1519" s="2">
        <v>30.09</v>
      </c>
      <c r="P1519" s="2">
        <v>17.88</v>
      </c>
      <c r="Q1519" t="s">
        <v>57</v>
      </c>
    </row>
    <row r="1520" spans="1:17" x14ac:dyDescent="0.2">
      <c r="A1520" t="s">
        <v>1685</v>
      </c>
      <c r="B1520" s="1">
        <v>45836</v>
      </c>
      <c r="C1520" t="s">
        <v>36</v>
      </c>
      <c r="D1520" t="s">
        <v>73</v>
      </c>
      <c r="E1520" t="s">
        <v>247</v>
      </c>
      <c r="F1520" t="s">
        <v>30</v>
      </c>
      <c r="G1520" t="s">
        <v>22</v>
      </c>
      <c r="H1520" t="s">
        <v>31</v>
      </c>
      <c r="I1520" t="s">
        <v>64</v>
      </c>
      <c r="J1520" t="s">
        <v>252</v>
      </c>
      <c r="K1520">
        <v>5</v>
      </c>
      <c r="L1520" s="2">
        <v>86.98</v>
      </c>
      <c r="M1520" s="3">
        <v>0.1</v>
      </c>
      <c r="N1520" s="2">
        <v>391.41</v>
      </c>
      <c r="O1520" s="2">
        <v>312.94</v>
      </c>
      <c r="P1520" s="2">
        <v>78.47</v>
      </c>
      <c r="Q1520" t="s">
        <v>61</v>
      </c>
    </row>
    <row r="1521" spans="1:17" x14ac:dyDescent="0.2">
      <c r="A1521" t="s">
        <v>1686</v>
      </c>
      <c r="B1521" s="1">
        <v>45836</v>
      </c>
      <c r="C1521" t="s">
        <v>18</v>
      </c>
      <c r="D1521" t="s">
        <v>86</v>
      </c>
      <c r="E1521" t="s">
        <v>140</v>
      </c>
      <c r="F1521" t="s">
        <v>53</v>
      </c>
      <c r="G1521" t="s">
        <v>75</v>
      </c>
      <c r="H1521" t="s">
        <v>31</v>
      </c>
      <c r="I1521" t="s">
        <v>40</v>
      </c>
      <c r="J1521" t="s">
        <v>216</v>
      </c>
      <c r="K1521">
        <v>3</v>
      </c>
      <c r="L1521" s="2">
        <v>202.18</v>
      </c>
      <c r="M1521" s="3">
        <v>0.05</v>
      </c>
      <c r="N1521" s="2">
        <v>576.21</v>
      </c>
      <c r="O1521" s="2">
        <v>353.06</v>
      </c>
      <c r="P1521" s="2">
        <v>223.15</v>
      </c>
      <c r="Q1521" t="s">
        <v>34</v>
      </c>
    </row>
    <row r="1522" spans="1:17" x14ac:dyDescent="0.2">
      <c r="A1522" t="s">
        <v>1687</v>
      </c>
      <c r="B1522" s="1">
        <v>45836</v>
      </c>
      <c r="C1522" t="s">
        <v>36</v>
      </c>
      <c r="D1522" t="s">
        <v>73</v>
      </c>
      <c r="E1522" t="s">
        <v>212</v>
      </c>
      <c r="F1522" t="s">
        <v>60</v>
      </c>
      <c r="G1522" t="s">
        <v>22</v>
      </c>
      <c r="H1522" t="s">
        <v>23</v>
      </c>
      <c r="I1522" t="s">
        <v>24</v>
      </c>
      <c r="J1522" t="s">
        <v>220</v>
      </c>
      <c r="K1522">
        <v>10</v>
      </c>
      <c r="L1522" s="2">
        <v>11.52</v>
      </c>
      <c r="M1522" s="3">
        <v>0.05</v>
      </c>
      <c r="N1522" s="2">
        <v>109.44</v>
      </c>
      <c r="O1522" s="2">
        <v>69.22</v>
      </c>
      <c r="P1522" s="2">
        <v>40.22</v>
      </c>
      <c r="Q1522" t="s">
        <v>61</v>
      </c>
    </row>
    <row r="1523" spans="1:17" x14ac:dyDescent="0.2">
      <c r="A1523" t="s">
        <v>1688</v>
      </c>
      <c r="B1523" s="1">
        <v>45836</v>
      </c>
      <c r="C1523" t="s">
        <v>18</v>
      </c>
      <c r="D1523" t="s">
        <v>86</v>
      </c>
      <c r="E1523" t="s">
        <v>87</v>
      </c>
      <c r="F1523" t="s">
        <v>30</v>
      </c>
      <c r="G1523" t="s">
        <v>22</v>
      </c>
      <c r="H1523" t="s">
        <v>23</v>
      </c>
      <c r="I1523" t="s">
        <v>79</v>
      </c>
      <c r="J1523" t="s">
        <v>179</v>
      </c>
      <c r="K1523">
        <v>10</v>
      </c>
      <c r="L1523" s="2">
        <v>295.94</v>
      </c>
      <c r="M1523" s="3">
        <v>0.1</v>
      </c>
      <c r="N1523" s="2">
        <v>2663.46</v>
      </c>
      <c r="O1523" s="2">
        <v>1547.47</v>
      </c>
      <c r="P1523" s="2">
        <v>1115.99</v>
      </c>
      <c r="Q1523" t="s">
        <v>61</v>
      </c>
    </row>
    <row r="1524" spans="1:17" x14ac:dyDescent="0.2">
      <c r="A1524" t="s">
        <v>1689</v>
      </c>
      <c r="B1524" s="1">
        <v>45837</v>
      </c>
      <c r="C1524" t="s">
        <v>18</v>
      </c>
      <c r="D1524" t="s">
        <v>133</v>
      </c>
      <c r="E1524" t="s">
        <v>197</v>
      </c>
      <c r="F1524" t="s">
        <v>53</v>
      </c>
      <c r="G1524" t="s">
        <v>54</v>
      </c>
      <c r="H1524" t="s">
        <v>23</v>
      </c>
      <c r="I1524" t="s">
        <v>24</v>
      </c>
      <c r="J1524" t="s">
        <v>108</v>
      </c>
      <c r="K1524">
        <v>3</v>
      </c>
      <c r="L1524" s="2">
        <v>21.32</v>
      </c>
      <c r="M1524" s="3">
        <v>0.1</v>
      </c>
      <c r="N1524" s="2">
        <v>57.56</v>
      </c>
      <c r="O1524" s="2">
        <v>38.11</v>
      </c>
      <c r="P1524" s="2">
        <v>19.45</v>
      </c>
      <c r="Q1524" t="s">
        <v>34</v>
      </c>
    </row>
    <row r="1525" spans="1:17" x14ac:dyDescent="0.2">
      <c r="A1525" t="s">
        <v>1690</v>
      </c>
      <c r="B1525" s="1">
        <v>45837</v>
      </c>
      <c r="C1525" t="s">
        <v>43</v>
      </c>
      <c r="D1525" t="s">
        <v>44</v>
      </c>
      <c r="E1525" t="s">
        <v>82</v>
      </c>
      <c r="F1525" t="s">
        <v>138</v>
      </c>
      <c r="G1525" t="s">
        <v>22</v>
      </c>
      <c r="H1525" t="s">
        <v>31</v>
      </c>
      <c r="I1525" t="s">
        <v>64</v>
      </c>
      <c r="J1525" t="s">
        <v>65</v>
      </c>
      <c r="K1525">
        <v>10</v>
      </c>
      <c r="L1525" s="2">
        <v>145.27000000000001</v>
      </c>
      <c r="M1525" s="3">
        <v>0.05</v>
      </c>
      <c r="N1525" s="2">
        <v>1380.06</v>
      </c>
      <c r="O1525" s="2">
        <v>1108.3499999999999</v>
      </c>
      <c r="P1525" s="2">
        <v>271.70999999999998</v>
      </c>
      <c r="Q1525" t="s">
        <v>61</v>
      </c>
    </row>
    <row r="1526" spans="1:17" x14ac:dyDescent="0.2">
      <c r="A1526" t="s">
        <v>1691</v>
      </c>
      <c r="B1526" s="1">
        <v>45837</v>
      </c>
      <c r="C1526" t="s">
        <v>36</v>
      </c>
      <c r="D1526" t="s">
        <v>110</v>
      </c>
      <c r="E1526" t="s">
        <v>115</v>
      </c>
      <c r="F1526" t="s">
        <v>30</v>
      </c>
      <c r="G1526" t="s">
        <v>75</v>
      </c>
      <c r="H1526" t="s">
        <v>31</v>
      </c>
      <c r="I1526" t="s">
        <v>112</v>
      </c>
      <c r="J1526" t="s">
        <v>176</v>
      </c>
      <c r="K1526">
        <v>8</v>
      </c>
      <c r="L1526" s="2">
        <v>374.79</v>
      </c>
      <c r="M1526" s="3">
        <v>0.05</v>
      </c>
      <c r="N1526" s="2">
        <v>2848.4</v>
      </c>
      <c r="O1526" s="2">
        <v>2055.0300000000002</v>
      </c>
      <c r="P1526" s="2">
        <v>793.37</v>
      </c>
      <c r="Q1526" t="s">
        <v>57</v>
      </c>
    </row>
    <row r="1527" spans="1:17" x14ac:dyDescent="0.2">
      <c r="A1527" t="s">
        <v>1692</v>
      </c>
      <c r="B1527" s="1">
        <v>45837</v>
      </c>
      <c r="C1527" t="s">
        <v>18</v>
      </c>
      <c r="D1527" t="s">
        <v>152</v>
      </c>
      <c r="E1527" t="s">
        <v>153</v>
      </c>
      <c r="F1527" t="s">
        <v>69</v>
      </c>
      <c r="G1527" t="s">
        <v>22</v>
      </c>
      <c r="H1527" t="s">
        <v>23</v>
      </c>
      <c r="I1527" t="s">
        <v>55</v>
      </c>
      <c r="J1527" t="s">
        <v>102</v>
      </c>
      <c r="K1527">
        <v>6</v>
      </c>
      <c r="L1527" s="2">
        <v>20.09</v>
      </c>
      <c r="M1527" s="3">
        <v>0.15</v>
      </c>
      <c r="N1527" s="2">
        <v>102.46</v>
      </c>
      <c r="O1527" s="2">
        <v>81.58</v>
      </c>
      <c r="P1527" s="2">
        <v>20.88</v>
      </c>
      <c r="Q1527" t="s">
        <v>34</v>
      </c>
    </row>
    <row r="1528" spans="1:17" x14ac:dyDescent="0.2">
      <c r="A1528" t="s">
        <v>1693</v>
      </c>
      <c r="B1528" s="1">
        <v>45837</v>
      </c>
      <c r="C1528" t="s">
        <v>43</v>
      </c>
      <c r="D1528" t="s">
        <v>51</v>
      </c>
      <c r="E1528" t="s">
        <v>59</v>
      </c>
      <c r="F1528" t="s">
        <v>39</v>
      </c>
      <c r="G1528" t="s">
        <v>22</v>
      </c>
      <c r="H1528" t="s">
        <v>31</v>
      </c>
      <c r="I1528" t="s">
        <v>112</v>
      </c>
      <c r="J1528" t="s">
        <v>136</v>
      </c>
      <c r="K1528">
        <v>3</v>
      </c>
      <c r="L1528" s="2">
        <v>198.91</v>
      </c>
      <c r="M1528" s="3">
        <v>0.15</v>
      </c>
      <c r="N1528" s="2">
        <v>507.22</v>
      </c>
      <c r="O1528" s="2">
        <v>393.34</v>
      </c>
      <c r="P1528" s="2">
        <v>113.88</v>
      </c>
      <c r="Q1528" t="s">
        <v>26</v>
      </c>
    </row>
    <row r="1529" spans="1:17" x14ac:dyDescent="0.2">
      <c r="A1529" t="s">
        <v>1694</v>
      </c>
      <c r="B1529" s="1">
        <v>45837</v>
      </c>
      <c r="C1529" t="s">
        <v>43</v>
      </c>
      <c r="D1529" t="s">
        <v>244</v>
      </c>
      <c r="E1529" t="s">
        <v>300</v>
      </c>
      <c r="F1529" t="s">
        <v>69</v>
      </c>
      <c r="G1529" t="s">
        <v>75</v>
      </c>
      <c r="H1529" t="s">
        <v>31</v>
      </c>
      <c r="I1529" t="s">
        <v>40</v>
      </c>
      <c r="J1529" t="s">
        <v>122</v>
      </c>
      <c r="K1529">
        <v>5</v>
      </c>
      <c r="L1529" s="2">
        <v>248.66</v>
      </c>
      <c r="M1529" s="3">
        <v>0</v>
      </c>
      <c r="N1529" s="2">
        <v>1243.3</v>
      </c>
      <c r="O1529" s="2">
        <v>718</v>
      </c>
      <c r="P1529" s="2">
        <v>525.29999999999995</v>
      </c>
      <c r="Q1529" t="s">
        <v>34</v>
      </c>
    </row>
    <row r="1530" spans="1:17" x14ac:dyDescent="0.2">
      <c r="A1530" t="s">
        <v>1695</v>
      </c>
      <c r="B1530" s="1">
        <v>45837</v>
      </c>
      <c r="C1530" t="s">
        <v>77</v>
      </c>
      <c r="D1530" t="s">
        <v>95</v>
      </c>
      <c r="E1530" t="s">
        <v>300</v>
      </c>
      <c r="F1530" t="s">
        <v>130</v>
      </c>
      <c r="G1530" t="s">
        <v>54</v>
      </c>
      <c r="H1530" t="s">
        <v>31</v>
      </c>
      <c r="I1530" t="s">
        <v>64</v>
      </c>
      <c r="J1530" t="s">
        <v>252</v>
      </c>
      <c r="K1530">
        <v>2</v>
      </c>
      <c r="L1530" s="2">
        <v>113.93</v>
      </c>
      <c r="M1530" s="3">
        <v>0</v>
      </c>
      <c r="N1530" s="2">
        <v>227.86</v>
      </c>
      <c r="O1530" s="2">
        <v>159.91999999999999</v>
      </c>
      <c r="P1530" s="2">
        <v>67.94</v>
      </c>
      <c r="Q1530" t="s">
        <v>26</v>
      </c>
    </row>
    <row r="1531" spans="1:17" x14ac:dyDescent="0.2">
      <c r="A1531" t="s">
        <v>1696</v>
      </c>
      <c r="B1531" s="1">
        <v>45838</v>
      </c>
      <c r="C1531" t="s">
        <v>43</v>
      </c>
      <c r="D1531" t="s">
        <v>51</v>
      </c>
      <c r="E1531" t="s">
        <v>63</v>
      </c>
      <c r="F1531" t="s">
        <v>69</v>
      </c>
      <c r="G1531" t="s">
        <v>54</v>
      </c>
      <c r="H1531" t="s">
        <v>23</v>
      </c>
      <c r="I1531" t="s">
        <v>55</v>
      </c>
      <c r="J1531" t="s">
        <v>56</v>
      </c>
      <c r="K1531">
        <v>6</v>
      </c>
      <c r="L1531" s="2">
        <v>21.38</v>
      </c>
      <c r="M1531" s="3">
        <v>0</v>
      </c>
      <c r="N1531" s="2">
        <v>128.28</v>
      </c>
      <c r="O1531" s="2">
        <v>99.61</v>
      </c>
      <c r="P1531" s="2">
        <v>28.67</v>
      </c>
      <c r="Q1531" t="s">
        <v>61</v>
      </c>
    </row>
    <row r="1532" spans="1:17" x14ac:dyDescent="0.2">
      <c r="A1532" t="s">
        <v>1697</v>
      </c>
      <c r="B1532" s="1">
        <v>45838</v>
      </c>
      <c r="C1532" t="s">
        <v>77</v>
      </c>
      <c r="D1532" t="s">
        <v>78</v>
      </c>
      <c r="E1532" t="s">
        <v>295</v>
      </c>
      <c r="F1532" t="s">
        <v>46</v>
      </c>
      <c r="G1532" t="s">
        <v>54</v>
      </c>
      <c r="H1532" t="s">
        <v>23</v>
      </c>
      <c r="I1532" t="s">
        <v>79</v>
      </c>
      <c r="J1532" t="s">
        <v>179</v>
      </c>
      <c r="K1532">
        <v>9</v>
      </c>
      <c r="L1532" s="2">
        <v>449.37</v>
      </c>
      <c r="M1532" s="3">
        <v>0</v>
      </c>
      <c r="N1532" s="2">
        <v>4044.33</v>
      </c>
      <c r="O1532" s="2">
        <v>2562.38</v>
      </c>
      <c r="P1532" s="2">
        <v>1481.95</v>
      </c>
      <c r="Q1532" t="s">
        <v>26</v>
      </c>
    </row>
    <row r="1533" spans="1:17" x14ac:dyDescent="0.2">
      <c r="A1533" t="s">
        <v>1698</v>
      </c>
      <c r="B1533" s="1">
        <v>45838</v>
      </c>
      <c r="C1533" t="s">
        <v>36</v>
      </c>
      <c r="D1533" t="s">
        <v>37</v>
      </c>
      <c r="E1533" t="s">
        <v>255</v>
      </c>
      <c r="F1533" t="s">
        <v>60</v>
      </c>
      <c r="G1533" t="s">
        <v>22</v>
      </c>
      <c r="H1533" t="s">
        <v>31</v>
      </c>
      <c r="I1533" t="s">
        <v>40</v>
      </c>
      <c r="J1533" t="s">
        <v>216</v>
      </c>
      <c r="K1533">
        <v>2</v>
      </c>
      <c r="L1533" s="2">
        <v>83.42</v>
      </c>
      <c r="M1533" s="3">
        <v>0.05</v>
      </c>
      <c r="N1533" s="2">
        <v>158.5</v>
      </c>
      <c r="O1533" s="2">
        <v>106.15</v>
      </c>
      <c r="P1533" s="2">
        <v>52.35</v>
      </c>
      <c r="Q1533" t="s">
        <v>57</v>
      </c>
    </row>
    <row r="1534" spans="1:17" x14ac:dyDescent="0.2">
      <c r="A1534" t="s">
        <v>1699</v>
      </c>
      <c r="B1534" s="1">
        <v>45839</v>
      </c>
      <c r="C1534" t="s">
        <v>77</v>
      </c>
      <c r="D1534" t="s">
        <v>149</v>
      </c>
      <c r="E1534" t="s">
        <v>309</v>
      </c>
      <c r="F1534" t="s">
        <v>46</v>
      </c>
      <c r="G1534" t="s">
        <v>22</v>
      </c>
      <c r="H1534" t="s">
        <v>31</v>
      </c>
      <c r="I1534" t="s">
        <v>112</v>
      </c>
      <c r="J1534" t="s">
        <v>136</v>
      </c>
      <c r="K1534">
        <v>3</v>
      </c>
      <c r="L1534" s="2">
        <v>264.06</v>
      </c>
      <c r="M1534" s="3">
        <v>0.15</v>
      </c>
      <c r="N1534" s="2">
        <v>673.35</v>
      </c>
      <c r="O1534" s="2">
        <v>439.7</v>
      </c>
      <c r="P1534" s="2">
        <v>233.65</v>
      </c>
      <c r="Q1534" t="s">
        <v>34</v>
      </c>
    </row>
    <row r="1535" spans="1:17" x14ac:dyDescent="0.2">
      <c r="A1535" t="s">
        <v>1700</v>
      </c>
      <c r="B1535" s="1">
        <v>45839</v>
      </c>
      <c r="C1535" t="s">
        <v>43</v>
      </c>
      <c r="D1535" t="s">
        <v>44</v>
      </c>
      <c r="E1535" t="s">
        <v>45</v>
      </c>
      <c r="F1535" t="s">
        <v>138</v>
      </c>
      <c r="G1535" t="s">
        <v>22</v>
      </c>
      <c r="H1535" t="s">
        <v>31</v>
      </c>
      <c r="I1535" t="s">
        <v>64</v>
      </c>
      <c r="J1535" t="s">
        <v>65</v>
      </c>
      <c r="K1535">
        <v>1</v>
      </c>
      <c r="L1535" s="2">
        <v>41.6</v>
      </c>
      <c r="M1535" s="3">
        <v>0.05</v>
      </c>
      <c r="N1535" s="2">
        <v>39.520000000000003</v>
      </c>
      <c r="O1535" s="2">
        <v>24.52</v>
      </c>
      <c r="P1535" s="2">
        <v>15</v>
      </c>
      <c r="Q1535" t="s">
        <v>34</v>
      </c>
    </row>
    <row r="1536" spans="1:17" x14ac:dyDescent="0.2">
      <c r="A1536" t="s">
        <v>1701</v>
      </c>
      <c r="B1536" s="1">
        <v>45839</v>
      </c>
      <c r="C1536" t="s">
        <v>43</v>
      </c>
      <c r="D1536" t="s">
        <v>44</v>
      </c>
      <c r="E1536" t="s">
        <v>147</v>
      </c>
      <c r="F1536" t="s">
        <v>30</v>
      </c>
      <c r="G1536" t="s">
        <v>22</v>
      </c>
      <c r="H1536" t="s">
        <v>31</v>
      </c>
      <c r="I1536" t="s">
        <v>32</v>
      </c>
      <c r="J1536" t="s">
        <v>104</v>
      </c>
      <c r="K1536">
        <v>10</v>
      </c>
      <c r="L1536" s="2">
        <v>968.71</v>
      </c>
      <c r="M1536" s="3">
        <v>0</v>
      </c>
      <c r="N1536" s="2">
        <v>9687.1</v>
      </c>
      <c r="O1536" s="2">
        <v>7653.73</v>
      </c>
      <c r="P1536" s="2">
        <v>2033.37</v>
      </c>
      <c r="Q1536" t="s">
        <v>57</v>
      </c>
    </row>
    <row r="1537" spans="1:17" x14ac:dyDescent="0.2">
      <c r="A1537" t="s">
        <v>1702</v>
      </c>
      <c r="B1537" s="1">
        <v>45839</v>
      </c>
      <c r="C1537" t="s">
        <v>43</v>
      </c>
      <c r="D1537" t="s">
        <v>161</v>
      </c>
      <c r="E1537" t="s">
        <v>172</v>
      </c>
      <c r="F1537" t="s">
        <v>53</v>
      </c>
      <c r="G1537" t="s">
        <v>22</v>
      </c>
      <c r="H1537" t="s">
        <v>47</v>
      </c>
      <c r="I1537" t="s">
        <v>48</v>
      </c>
      <c r="J1537" t="s">
        <v>49</v>
      </c>
      <c r="K1537">
        <v>9</v>
      </c>
      <c r="L1537" s="2">
        <v>270.02</v>
      </c>
      <c r="M1537" s="3">
        <v>0.15</v>
      </c>
      <c r="N1537" s="2">
        <v>2065.65</v>
      </c>
      <c r="O1537" s="2">
        <v>1510.35</v>
      </c>
      <c r="P1537" s="2">
        <v>555.29999999999995</v>
      </c>
      <c r="Q1537" t="s">
        <v>34</v>
      </c>
    </row>
    <row r="1538" spans="1:17" x14ac:dyDescent="0.2">
      <c r="A1538" t="s">
        <v>1703</v>
      </c>
      <c r="B1538" s="1">
        <v>45840</v>
      </c>
      <c r="C1538" t="s">
        <v>77</v>
      </c>
      <c r="D1538" t="s">
        <v>78</v>
      </c>
      <c r="E1538" t="s">
        <v>295</v>
      </c>
      <c r="F1538" t="s">
        <v>21</v>
      </c>
      <c r="G1538" t="s">
        <v>22</v>
      </c>
      <c r="H1538" t="s">
        <v>23</v>
      </c>
      <c r="I1538" t="s">
        <v>24</v>
      </c>
      <c r="J1538" t="s">
        <v>220</v>
      </c>
      <c r="K1538">
        <v>2</v>
      </c>
      <c r="L1538" s="2">
        <v>11.49</v>
      </c>
      <c r="M1538" s="3">
        <v>0.15</v>
      </c>
      <c r="N1538" s="2">
        <v>19.53</v>
      </c>
      <c r="O1538" s="2">
        <v>13</v>
      </c>
      <c r="P1538" s="2">
        <v>6.53</v>
      </c>
      <c r="Q1538" t="s">
        <v>57</v>
      </c>
    </row>
    <row r="1539" spans="1:17" x14ac:dyDescent="0.2">
      <c r="A1539" t="s">
        <v>1704</v>
      </c>
      <c r="B1539" s="1">
        <v>45840</v>
      </c>
      <c r="C1539" t="s">
        <v>43</v>
      </c>
      <c r="D1539" t="s">
        <v>208</v>
      </c>
      <c r="E1539" t="s">
        <v>287</v>
      </c>
      <c r="F1539" t="s">
        <v>130</v>
      </c>
      <c r="G1539" t="s">
        <v>22</v>
      </c>
      <c r="H1539" t="s">
        <v>31</v>
      </c>
      <c r="I1539" t="s">
        <v>112</v>
      </c>
      <c r="J1539" t="s">
        <v>176</v>
      </c>
      <c r="K1539">
        <v>2</v>
      </c>
      <c r="L1539" s="2">
        <v>524.70000000000005</v>
      </c>
      <c r="M1539" s="3">
        <v>0</v>
      </c>
      <c r="N1539" s="2">
        <v>1049.4000000000001</v>
      </c>
      <c r="O1539" s="2">
        <v>804.46</v>
      </c>
      <c r="P1539" s="2">
        <v>244.94</v>
      </c>
      <c r="Q1539" t="s">
        <v>34</v>
      </c>
    </row>
    <row r="1540" spans="1:17" x14ac:dyDescent="0.2">
      <c r="A1540" t="s">
        <v>1705</v>
      </c>
      <c r="B1540" s="1">
        <v>45840</v>
      </c>
      <c r="C1540" t="s">
        <v>36</v>
      </c>
      <c r="D1540" t="s">
        <v>67</v>
      </c>
      <c r="E1540" t="s">
        <v>68</v>
      </c>
      <c r="F1540" t="s">
        <v>69</v>
      </c>
      <c r="G1540" t="s">
        <v>22</v>
      </c>
      <c r="H1540" t="s">
        <v>31</v>
      </c>
      <c r="I1540" t="s">
        <v>64</v>
      </c>
      <c r="J1540" t="s">
        <v>65</v>
      </c>
      <c r="K1540">
        <v>8</v>
      </c>
      <c r="L1540" s="2">
        <v>79.13</v>
      </c>
      <c r="M1540" s="3">
        <v>0.15</v>
      </c>
      <c r="N1540" s="2">
        <v>538.08000000000004</v>
      </c>
      <c r="O1540" s="2">
        <v>300.83</v>
      </c>
      <c r="P1540" s="2">
        <v>237.25</v>
      </c>
      <c r="Q1540" t="s">
        <v>61</v>
      </c>
    </row>
    <row r="1541" spans="1:17" x14ac:dyDescent="0.2">
      <c r="A1541" t="s">
        <v>1706</v>
      </c>
      <c r="B1541" s="1">
        <v>45840</v>
      </c>
      <c r="C1541" t="s">
        <v>36</v>
      </c>
      <c r="D1541" t="s">
        <v>73</v>
      </c>
      <c r="E1541" t="s">
        <v>74</v>
      </c>
      <c r="F1541" t="s">
        <v>30</v>
      </c>
      <c r="G1541" t="s">
        <v>54</v>
      </c>
      <c r="H1541" t="s">
        <v>31</v>
      </c>
      <c r="I1541" t="s">
        <v>112</v>
      </c>
      <c r="J1541" t="s">
        <v>113</v>
      </c>
      <c r="K1541">
        <v>7</v>
      </c>
      <c r="L1541" s="2">
        <v>280.49</v>
      </c>
      <c r="M1541" s="3">
        <v>0.1</v>
      </c>
      <c r="N1541" s="2">
        <v>1767.09</v>
      </c>
      <c r="O1541" s="2">
        <v>1168.68</v>
      </c>
      <c r="P1541" s="2">
        <v>598.41</v>
      </c>
      <c r="Q1541" t="s">
        <v>26</v>
      </c>
    </row>
    <row r="1542" spans="1:17" x14ac:dyDescent="0.2">
      <c r="A1542" t="s">
        <v>1707</v>
      </c>
      <c r="B1542" s="1">
        <v>45840</v>
      </c>
      <c r="C1542" t="s">
        <v>36</v>
      </c>
      <c r="D1542" t="s">
        <v>73</v>
      </c>
      <c r="E1542" t="s">
        <v>74</v>
      </c>
      <c r="F1542" t="s">
        <v>130</v>
      </c>
      <c r="G1542" t="s">
        <v>22</v>
      </c>
      <c r="H1542" t="s">
        <v>47</v>
      </c>
      <c r="I1542" t="s">
        <v>48</v>
      </c>
      <c r="J1542" t="s">
        <v>164</v>
      </c>
      <c r="K1542">
        <v>10</v>
      </c>
      <c r="L1542" s="2">
        <v>309.27</v>
      </c>
      <c r="M1542" s="3">
        <v>0</v>
      </c>
      <c r="N1542" s="2">
        <v>3092.7</v>
      </c>
      <c r="O1542" s="2">
        <v>2249.1</v>
      </c>
      <c r="P1542" s="2">
        <v>843.6</v>
      </c>
      <c r="Q1542" t="s">
        <v>34</v>
      </c>
    </row>
    <row r="1543" spans="1:17" x14ac:dyDescent="0.2">
      <c r="A1543" t="s">
        <v>1708</v>
      </c>
      <c r="B1543" s="1">
        <v>45840</v>
      </c>
      <c r="C1543" t="s">
        <v>36</v>
      </c>
      <c r="D1543" t="s">
        <v>67</v>
      </c>
      <c r="E1543" t="s">
        <v>270</v>
      </c>
      <c r="F1543" t="s">
        <v>71</v>
      </c>
      <c r="G1543" t="s">
        <v>22</v>
      </c>
      <c r="H1543" t="s">
        <v>31</v>
      </c>
      <c r="I1543" t="s">
        <v>64</v>
      </c>
      <c r="J1543" t="s">
        <v>252</v>
      </c>
      <c r="K1543">
        <v>4</v>
      </c>
      <c r="L1543" s="2">
        <v>61.63</v>
      </c>
      <c r="M1543" s="3">
        <v>0.05</v>
      </c>
      <c r="N1543" s="2">
        <v>234.19</v>
      </c>
      <c r="O1543" s="2">
        <v>155.56</v>
      </c>
      <c r="P1543" s="2">
        <v>78.63</v>
      </c>
      <c r="Q1543" t="s">
        <v>34</v>
      </c>
    </row>
    <row r="1544" spans="1:17" x14ac:dyDescent="0.2">
      <c r="A1544" t="s">
        <v>1709</v>
      </c>
      <c r="B1544" s="1">
        <v>45840</v>
      </c>
      <c r="C1544" t="s">
        <v>18</v>
      </c>
      <c r="D1544" t="s">
        <v>19</v>
      </c>
      <c r="E1544" t="s">
        <v>118</v>
      </c>
      <c r="F1544" t="s">
        <v>39</v>
      </c>
      <c r="G1544" t="s">
        <v>22</v>
      </c>
      <c r="H1544" t="s">
        <v>47</v>
      </c>
      <c r="I1544" t="s">
        <v>48</v>
      </c>
      <c r="J1544" t="s">
        <v>164</v>
      </c>
      <c r="K1544">
        <v>4</v>
      </c>
      <c r="L1544" s="2">
        <v>846.44</v>
      </c>
      <c r="M1544" s="3">
        <v>0.15</v>
      </c>
      <c r="N1544" s="2">
        <v>2877.9</v>
      </c>
      <c r="O1544" s="2">
        <v>2327.62</v>
      </c>
      <c r="P1544" s="2">
        <v>550.28</v>
      </c>
      <c r="Q1544" t="s">
        <v>26</v>
      </c>
    </row>
    <row r="1545" spans="1:17" x14ac:dyDescent="0.2">
      <c r="A1545" t="s">
        <v>1710</v>
      </c>
      <c r="B1545" s="1">
        <v>45840</v>
      </c>
      <c r="C1545" t="s">
        <v>18</v>
      </c>
      <c r="D1545" t="s">
        <v>133</v>
      </c>
      <c r="E1545" t="s">
        <v>134</v>
      </c>
      <c r="F1545" t="s">
        <v>39</v>
      </c>
      <c r="G1545" t="s">
        <v>22</v>
      </c>
      <c r="H1545" t="s">
        <v>31</v>
      </c>
      <c r="I1545" t="s">
        <v>64</v>
      </c>
      <c r="J1545" t="s">
        <v>126</v>
      </c>
      <c r="K1545">
        <v>7</v>
      </c>
      <c r="L1545" s="2">
        <v>75.17</v>
      </c>
      <c r="M1545" s="3">
        <v>0.05</v>
      </c>
      <c r="N1545" s="2">
        <v>499.88</v>
      </c>
      <c r="O1545" s="2">
        <v>406.78</v>
      </c>
      <c r="P1545" s="2">
        <v>93.1</v>
      </c>
      <c r="Q1545" t="s">
        <v>34</v>
      </c>
    </row>
    <row r="1546" spans="1:17" x14ac:dyDescent="0.2">
      <c r="A1546" t="s">
        <v>1711</v>
      </c>
      <c r="B1546" s="1">
        <v>45840</v>
      </c>
      <c r="C1546" t="s">
        <v>36</v>
      </c>
      <c r="D1546" t="s">
        <v>73</v>
      </c>
      <c r="E1546" t="s">
        <v>212</v>
      </c>
      <c r="F1546" t="s">
        <v>138</v>
      </c>
      <c r="G1546" t="s">
        <v>22</v>
      </c>
      <c r="H1546" t="s">
        <v>23</v>
      </c>
      <c r="I1546" t="s">
        <v>24</v>
      </c>
      <c r="J1546" t="s">
        <v>108</v>
      </c>
      <c r="K1546">
        <v>10</v>
      </c>
      <c r="L1546" s="2">
        <v>21.62</v>
      </c>
      <c r="M1546" s="3">
        <v>0</v>
      </c>
      <c r="N1546" s="2">
        <v>216.2</v>
      </c>
      <c r="O1546" s="2">
        <v>143.74</v>
      </c>
      <c r="P1546" s="2">
        <v>72.459999999999994</v>
      </c>
      <c r="Q1546" t="s">
        <v>26</v>
      </c>
    </row>
    <row r="1547" spans="1:17" x14ac:dyDescent="0.2">
      <c r="A1547" t="s">
        <v>1712</v>
      </c>
      <c r="B1547" s="1">
        <v>45841</v>
      </c>
      <c r="C1547" t="s">
        <v>43</v>
      </c>
      <c r="D1547" t="s">
        <v>208</v>
      </c>
      <c r="E1547" t="s">
        <v>287</v>
      </c>
      <c r="F1547" t="s">
        <v>130</v>
      </c>
      <c r="G1547" t="s">
        <v>22</v>
      </c>
      <c r="H1547" t="s">
        <v>23</v>
      </c>
      <c r="I1547" t="s">
        <v>79</v>
      </c>
      <c r="J1547" t="s">
        <v>179</v>
      </c>
      <c r="K1547">
        <v>10</v>
      </c>
      <c r="L1547" s="2">
        <v>436.93</v>
      </c>
      <c r="M1547" s="3">
        <v>0.2</v>
      </c>
      <c r="N1547" s="2">
        <v>3495.44</v>
      </c>
      <c r="O1547" s="2">
        <v>2162.31</v>
      </c>
      <c r="P1547" s="2">
        <v>1333.13</v>
      </c>
      <c r="Q1547" t="s">
        <v>34</v>
      </c>
    </row>
    <row r="1548" spans="1:17" x14ac:dyDescent="0.2">
      <c r="A1548" t="s">
        <v>1713</v>
      </c>
      <c r="B1548" s="1">
        <v>45841</v>
      </c>
      <c r="C1548" t="s">
        <v>18</v>
      </c>
      <c r="D1548" t="s">
        <v>152</v>
      </c>
      <c r="E1548" t="s">
        <v>166</v>
      </c>
      <c r="F1548" t="s">
        <v>21</v>
      </c>
      <c r="G1548" t="s">
        <v>22</v>
      </c>
      <c r="H1548" t="s">
        <v>47</v>
      </c>
      <c r="I1548" t="s">
        <v>89</v>
      </c>
      <c r="J1548" t="s">
        <v>90</v>
      </c>
      <c r="K1548">
        <v>5</v>
      </c>
      <c r="L1548" s="2">
        <v>345.9</v>
      </c>
      <c r="M1548" s="3">
        <v>0.15</v>
      </c>
      <c r="N1548" s="2">
        <v>1470.08</v>
      </c>
      <c r="O1548" s="2">
        <v>842.96</v>
      </c>
      <c r="P1548" s="2">
        <v>627.12</v>
      </c>
      <c r="Q1548" t="s">
        <v>61</v>
      </c>
    </row>
    <row r="1549" spans="1:17" x14ac:dyDescent="0.2">
      <c r="A1549" t="s">
        <v>1714</v>
      </c>
      <c r="B1549" s="1">
        <v>45841</v>
      </c>
      <c r="C1549" t="s">
        <v>18</v>
      </c>
      <c r="D1549" t="s">
        <v>86</v>
      </c>
      <c r="E1549" t="s">
        <v>87</v>
      </c>
      <c r="F1549" t="s">
        <v>71</v>
      </c>
      <c r="G1549" t="s">
        <v>75</v>
      </c>
      <c r="H1549" t="s">
        <v>47</v>
      </c>
      <c r="I1549" t="s">
        <v>97</v>
      </c>
      <c r="J1549" t="s">
        <v>116</v>
      </c>
      <c r="K1549">
        <v>7</v>
      </c>
      <c r="L1549" s="2">
        <v>126.99</v>
      </c>
      <c r="M1549" s="3">
        <v>0.1</v>
      </c>
      <c r="N1549" s="2">
        <v>800.04</v>
      </c>
      <c r="O1549" s="2">
        <v>556.5</v>
      </c>
      <c r="P1549" s="2">
        <v>243.54</v>
      </c>
      <c r="Q1549" t="s">
        <v>26</v>
      </c>
    </row>
    <row r="1550" spans="1:17" x14ac:dyDescent="0.2">
      <c r="A1550" t="s">
        <v>1715</v>
      </c>
      <c r="B1550" s="1">
        <v>45841</v>
      </c>
      <c r="C1550" t="s">
        <v>18</v>
      </c>
      <c r="D1550" t="s">
        <v>133</v>
      </c>
      <c r="E1550" t="s">
        <v>134</v>
      </c>
      <c r="F1550" t="s">
        <v>69</v>
      </c>
      <c r="G1550" t="s">
        <v>75</v>
      </c>
      <c r="H1550" t="s">
        <v>23</v>
      </c>
      <c r="I1550" t="s">
        <v>79</v>
      </c>
      <c r="J1550" t="s">
        <v>179</v>
      </c>
      <c r="K1550">
        <v>7</v>
      </c>
      <c r="L1550" s="2">
        <v>548.29</v>
      </c>
      <c r="M1550" s="3">
        <v>0.1</v>
      </c>
      <c r="N1550" s="2">
        <v>3454.23</v>
      </c>
      <c r="O1550" s="2">
        <v>2601.63</v>
      </c>
      <c r="P1550" s="2">
        <v>852.6</v>
      </c>
      <c r="Q1550" t="s">
        <v>26</v>
      </c>
    </row>
    <row r="1551" spans="1:17" x14ac:dyDescent="0.2">
      <c r="A1551" t="s">
        <v>1716</v>
      </c>
      <c r="B1551" s="1">
        <v>45841</v>
      </c>
      <c r="C1551" t="s">
        <v>43</v>
      </c>
      <c r="D1551" t="s">
        <v>161</v>
      </c>
      <c r="E1551" t="s">
        <v>162</v>
      </c>
      <c r="F1551" t="s">
        <v>71</v>
      </c>
      <c r="G1551" t="s">
        <v>22</v>
      </c>
      <c r="H1551" t="s">
        <v>23</v>
      </c>
      <c r="I1551" t="s">
        <v>83</v>
      </c>
      <c r="J1551" t="s">
        <v>131</v>
      </c>
      <c r="K1551">
        <v>8</v>
      </c>
      <c r="L1551" s="2">
        <v>25.76</v>
      </c>
      <c r="M1551" s="3">
        <v>0</v>
      </c>
      <c r="N1551" s="2">
        <v>206.08</v>
      </c>
      <c r="O1551" s="2">
        <v>146.12</v>
      </c>
      <c r="P1551" s="2">
        <v>59.96</v>
      </c>
      <c r="Q1551" t="s">
        <v>26</v>
      </c>
    </row>
    <row r="1552" spans="1:17" x14ac:dyDescent="0.2">
      <c r="A1552" t="s">
        <v>1717</v>
      </c>
      <c r="B1552" s="1">
        <v>45842</v>
      </c>
      <c r="C1552" t="s">
        <v>43</v>
      </c>
      <c r="D1552" t="s">
        <v>161</v>
      </c>
      <c r="E1552" t="s">
        <v>418</v>
      </c>
      <c r="F1552" t="s">
        <v>53</v>
      </c>
      <c r="G1552" t="s">
        <v>22</v>
      </c>
      <c r="H1552" t="s">
        <v>31</v>
      </c>
      <c r="I1552" t="s">
        <v>32</v>
      </c>
      <c r="J1552" t="s">
        <v>104</v>
      </c>
      <c r="K1552">
        <v>7</v>
      </c>
      <c r="L1552" s="2">
        <v>1404.21</v>
      </c>
      <c r="M1552" s="3">
        <v>0.15</v>
      </c>
      <c r="N1552" s="2">
        <v>8355.0499999999993</v>
      </c>
      <c r="O1552" s="2">
        <v>5578.04</v>
      </c>
      <c r="P1552" s="2">
        <v>2777.01</v>
      </c>
      <c r="Q1552" t="s">
        <v>34</v>
      </c>
    </row>
    <row r="1553" spans="1:17" x14ac:dyDescent="0.2">
      <c r="A1553" t="s">
        <v>1718</v>
      </c>
      <c r="B1553" s="1">
        <v>45842</v>
      </c>
      <c r="C1553" t="s">
        <v>18</v>
      </c>
      <c r="D1553" t="s">
        <v>19</v>
      </c>
      <c r="E1553" t="s">
        <v>20</v>
      </c>
      <c r="F1553" t="s">
        <v>53</v>
      </c>
      <c r="G1553" t="s">
        <v>54</v>
      </c>
      <c r="H1553" t="s">
        <v>31</v>
      </c>
      <c r="I1553" t="s">
        <v>40</v>
      </c>
      <c r="J1553" t="s">
        <v>122</v>
      </c>
      <c r="K1553">
        <v>7</v>
      </c>
      <c r="L1553" s="2">
        <v>163.04</v>
      </c>
      <c r="M1553" s="3">
        <v>0</v>
      </c>
      <c r="N1553" s="2">
        <v>1141.28</v>
      </c>
      <c r="O1553" s="2">
        <v>723.07</v>
      </c>
      <c r="P1553" s="2">
        <v>418.21</v>
      </c>
      <c r="Q1553" t="s">
        <v>34</v>
      </c>
    </row>
    <row r="1554" spans="1:17" x14ac:dyDescent="0.2">
      <c r="A1554" t="s">
        <v>1719</v>
      </c>
      <c r="B1554" s="1">
        <v>45842</v>
      </c>
      <c r="C1554" t="s">
        <v>43</v>
      </c>
      <c r="D1554" t="s">
        <v>161</v>
      </c>
      <c r="E1554" t="s">
        <v>418</v>
      </c>
      <c r="F1554" t="s">
        <v>130</v>
      </c>
      <c r="G1554" t="s">
        <v>75</v>
      </c>
      <c r="H1554" t="s">
        <v>31</v>
      </c>
      <c r="I1554" t="s">
        <v>112</v>
      </c>
      <c r="J1554" t="s">
        <v>136</v>
      </c>
      <c r="K1554">
        <v>4</v>
      </c>
      <c r="L1554" s="2">
        <v>407.83</v>
      </c>
      <c r="M1554" s="3">
        <v>0.1</v>
      </c>
      <c r="N1554" s="2">
        <v>1468.19</v>
      </c>
      <c r="O1554" s="2">
        <v>888.7</v>
      </c>
      <c r="P1554" s="2">
        <v>579.49</v>
      </c>
      <c r="Q1554" t="s">
        <v>57</v>
      </c>
    </row>
    <row r="1555" spans="1:17" x14ac:dyDescent="0.2">
      <c r="A1555" t="s">
        <v>1720</v>
      </c>
      <c r="B1555" s="1">
        <v>45842</v>
      </c>
      <c r="C1555" t="s">
        <v>36</v>
      </c>
      <c r="D1555" t="s">
        <v>144</v>
      </c>
      <c r="E1555" t="s">
        <v>232</v>
      </c>
      <c r="F1555" t="s">
        <v>39</v>
      </c>
      <c r="G1555" t="s">
        <v>75</v>
      </c>
      <c r="H1555" t="s">
        <v>47</v>
      </c>
      <c r="I1555" t="s">
        <v>48</v>
      </c>
      <c r="J1555" t="s">
        <v>93</v>
      </c>
      <c r="K1555">
        <v>1</v>
      </c>
      <c r="L1555" s="2">
        <v>484.25</v>
      </c>
      <c r="M1555" s="3">
        <v>0.1</v>
      </c>
      <c r="N1555" s="2">
        <v>435.82</v>
      </c>
      <c r="O1555" s="2">
        <v>328.51</v>
      </c>
      <c r="P1555" s="2">
        <v>107.31</v>
      </c>
      <c r="Q1555" t="s">
        <v>61</v>
      </c>
    </row>
    <row r="1556" spans="1:17" x14ac:dyDescent="0.2">
      <c r="A1556" t="s">
        <v>1721</v>
      </c>
      <c r="B1556" s="1">
        <v>45842</v>
      </c>
      <c r="C1556" t="s">
        <v>43</v>
      </c>
      <c r="D1556" t="s">
        <v>44</v>
      </c>
      <c r="E1556" t="s">
        <v>82</v>
      </c>
      <c r="F1556" t="s">
        <v>39</v>
      </c>
      <c r="G1556" t="s">
        <v>22</v>
      </c>
      <c r="H1556" t="s">
        <v>31</v>
      </c>
      <c r="I1556" t="s">
        <v>112</v>
      </c>
      <c r="J1556" t="s">
        <v>136</v>
      </c>
      <c r="K1556">
        <v>9</v>
      </c>
      <c r="L1556" s="2">
        <v>604.84</v>
      </c>
      <c r="M1556" s="3">
        <v>0</v>
      </c>
      <c r="N1556" s="2">
        <v>5443.56</v>
      </c>
      <c r="O1556" s="2">
        <v>3024.3</v>
      </c>
      <c r="P1556" s="2">
        <v>2419.2600000000002</v>
      </c>
      <c r="Q1556" t="s">
        <v>61</v>
      </c>
    </row>
    <row r="1557" spans="1:17" x14ac:dyDescent="0.2">
      <c r="A1557" t="s">
        <v>1722</v>
      </c>
      <c r="B1557" s="1">
        <v>45843</v>
      </c>
      <c r="C1557" t="s">
        <v>18</v>
      </c>
      <c r="D1557" t="s">
        <v>152</v>
      </c>
      <c r="E1557" t="s">
        <v>153</v>
      </c>
      <c r="F1557" t="s">
        <v>71</v>
      </c>
      <c r="G1557" t="s">
        <v>22</v>
      </c>
      <c r="H1557" t="s">
        <v>31</v>
      </c>
      <c r="I1557" t="s">
        <v>112</v>
      </c>
      <c r="J1557" t="s">
        <v>113</v>
      </c>
      <c r="K1557">
        <v>3</v>
      </c>
      <c r="L1557" s="2">
        <v>600.84</v>
      </c>
      <c r="M1557" s="3">
        <v>0.05</v>
      </c>
      <c r="N1557" s="2">
        <v>1712.39</v>
      </c>
      <c r="O1557" s="2">
        <v>1076.5</v>
      </c>
      <c r="P1557" s="2">
        <v>635.89</v>
      </c>
      <c r="Q1557" t="s">
        <v>61</v>
      </c>
    </row>
    <row r="1558" spans="1:17" x14ac:dyDescent="0.2">
      <c r="A1558" t="s">
        <v>1723</v>
      </c>
      <c r="B1558" s="1">
        <v>45843</v>
      </c>
      <c r="C1558" t="s">
        <v>43</v>
      </c>
      <c r="D1558" t="s">
        <v>244</v>
      </c>
      <c r="E1558" t="s">
        <v>326</v>
      </c>
      <c r="F1558" t="s">
        <v>46</v>
      </c>
      <c r="G1558" t="s">
        <v>75</v>
      </c>
      <c r="H1558" t="s">
        <v>23</v>
      </c>
      <c r="I1558" t="s">
        <v>79</v>
      </c>
      <c r="J1558" t="s">
        <v>80</v>
      </c>
      <c r="K1558">
        <v>6</v>
      </c>
      <c r="L1558" s="2">
        <v>130.68</v>
      </c>
      <c r="M1558" s="3">
        <v>0.1</v>
      </c>
      <c r="N1558" s="2">
        <v>705.67</v>
      </c>
      <c r="O1558" s="2">
        <v>531.54999999999995</v>
      </c>
      <c r="P1558" s="2">
        <v>174.12</v>
      </c>
      <c r="Q1558" t="s">
        <v>57</v>
      </c>
    </row>
    <row r="1559" spans="1:17" x14ac:dyDescent="0.2">
      <c r="A1559" t="s">
        <v>1724</v>
      </c>
      <c r="B1559" s="1">
        <v>45843</v>
      </c>
      <c r="C1559" t="s">
        <v>36</v>
      </c>
      <c r="D1559" t="s">
        <v>67</v>
      </c>
      <c r="E1559" t="s">
        <v>270</v>
      </c>
      <c r="F1559" t="s">
        <v>53</v>
      </c>
      <c r="G1559" t="s">
        <v>22</v>
      </c>
      <c r="H1559" t="s">
        <v>31</v>
      </c>
      <c r="I1559" t="s">
        <v>112</v>
      </c>
      <c r="J1559" t="s">
        <v>176</v>
      </c>
      <c r="K1559">
        <v>5</v>
      </c>
      <c r="L1559" s="2">
        <v>290.3</v>
      </c>
      <c r="M1559" s="3">
        <v>0.05</v>
      </c>
      <c r="N1559" s="2">
        <v>1378.92</v>
      </c>
      <c r="O1559" s="2">
        <v>1063.24</v>
      </c>
      <c r="P1559" s="2">
        <v>315.68</v>
      </c>
      <c r="Q1559" t="s">
        <v>34</v>
      </c>
    </row>
    <row r="1560" spans="1:17" x14ac:dyDescent="0.2">
      <c r="A1560" t="s">
        <v>1725</v>
      </c>
      <c r="B1560" s="1">
        <v>45843</v>
      </c>
      <c r="C1560" t="s">
        <v>36</v>
      </c>
      <c r="D1560" t="s">
        <v>144</v>
      </c>
      <c r="E1560" t="s">
        <v>232</v>
      </c>
      <c r="F1560" t="s">
        <v>30</v>
      </c>
      <c r="G1560" t="s">
        <v>75</v>
      </c>
      <c r="H1560" t="s">
        <v>23</v>
      </c>
      <c r="I1560" t="s">
        <v>79</v>
      </c>
      <c r="J1560" t="s">
        <v>80</v>
      </c>
      <c r="K1560">
        <v>4</v>
      </c>
      <c r="L1560" s="2">
        <v>150.25</v>
      </c>
      <c r="M1560" s="3">
        <v>0.1</v>
      </c>
      <c r="N1560" s="2">
        <v>540.9</v>
      </c>
      <c r="O1560" s="2">
        <v>367.55</v>
      </c>
      <c r="P1560" s="2">
        <v>173.35</v>
      </c>
      <c r="Q1560" t="s">
        <v>26</v>
      </c>
    </row>
    <row r="1561" spans="1:17" x14ac:dyDescent="0.2">
      <c r="A1561" t="s">
        <v>1726</v>
      </c>
      <c r="B1561" s="1">
        <v>45843</v>
      </c>
      <c r="C1561" t="s">
        <v>43</v>
      </c>
      <c r="D1561" t="s">
        <v>244</v>
      </c>
      <c r="E1561" t="s">
        <v>300</v>
      </c>
      <c r="F1561" t="s">
        <v>60</v>
      </c>
      <c r="G1561" t="s">
        <v>54</v>
      </c>
      <c r="H1561" t="s">
        <v>31</v>
      </c>
      <c r="I1561" t="s">
        <v>64</v>
      </c>
      <c r="J1561" t="s">
        <v>65</v>
      </c>
      <c r="K1561">
        <v>8</v>
      </c>
      <c r="L1561" s="2">
        <v>117.79</v>
      </c>
      <c r="M1561" s="3">
        <v>0.15</v>
      </c>
      <c r="N1561" s="2">
        <v>800.97</v>
      </c>
      <c r="O1561" s="2">
        <v>618.72</v>
      </c>
      <c r="P1561" s="2">
        <v>182.25</v>
      </c>
      <c r="Q1561" t="s">
        <v>26</v>
      </c>
    </row>
    <row r="1562" spans="1:17" x14ac:dyDescent="0.2">
      <c r="A1562" t="s">
        <v>1727</v>
      </c>
      <c r="B1562" s="1">
        <v>45843</v>
      </c>
      <c r="C1562" t="s">
        <v>77</v>
      </c>
      <c r="D1562" t="s">
        <v>78</v>
      </c>
      <c r="E1562" t="s">
        <v>261</v>
      </c>
      <c r="F1562" t="s">
        <v>39</v>
      </c>
      <c r="G1562" t="s">
        <v>22</v>
      </c>
      <c r="H1562" t="s">
        <v>47</v>
      </c>
      <c r="I1562" t="s">
        <v>48</v>
      </c>
      <c r="J1562" t="s">
        <v>93</v>
      </c>
      <c r="K1562">
        <v>8</v>
      </c>
      <c r="L1562" s="2">
        <v>434.56</v>
      </c>
      <c r="M1562" s="3">
        <v>0.05</v>
      </c>
      <c r="N1562" s="2">
        <v>3302.66</v>
      </c>
      <c r="O1562" s="2">
        <v>2199.29</v>
      </c>
      <c r="P1562" s="2">
        <v>1103.3699999999999</v>
      </c>
      <c r="Q1562" t="s">
        <v>26</v>
      </c>
    </row>
    <row r="1563" spans="1:17" x14ac:dyDescent="0.2">
      <c r="A1563" t="s">
        <v>1728</v>
      </c>
      <c r="B1563" s="1">
        <v>45843</v>
      </c>
      <c r="C1563" t="s">
        <v>36</v>
      </c>
      <c r="D1563" t="s">
        <v>144</v>
      </c>
      <c r="E1563" t="s">
        <v>232</v>
      </c>
      <c r="F1563" t="s">
        <v>138</v>
      </c>
      <c r="G1563" t="s">
        <v>22</v>
      </c>
      <c r="H1563" t="s">
        <v>31</v>
      </c>
      <c r="I1563" t="s">
        <v>112</v>
      </c>
      <c r="J1563" t="s">
        <v>176</v>
      </c>
      <c r="K1563">
        <v>5</v>
      </c>
      <c r="L1563" s="2">
        <v>583.12</v>
      </c>
      <c r="M1563" s="3">
        <v>0</v>
      </c>
      <c r="N1563" s="2">
        <v>2915.6</v>
      </c>
      <c r="O1563" s="2">
        <v>1625.89</v>
      </c>
      <c r="P1563" s="2">
        <v>1289.71</v>
      </c>
      <c r="Q1563" t="s">
        <v>34</v>
      </c>
    </row>
    <row r="1564" spans="1:17" x14ac:dyDescent="0.2">
      <c r="A1564" t="s">
        <v>1729</v>
      </c>
      <c r="B1564" s="1">
        <v>45844</v>
      </c>
      <c r="C1564" t="s">
        <v>77</v>
      </c>
      <c r="D1564" t="s">
        <v>149</v>
      </c>
      <c r="E1564" t="s">
        <v>150</v>
      </c>
      <c r="F1564" t="s">
        <v>130</v>
      </c>
      <c r="G1564" t="s">
        <v>22</v>
      </c>
      <c r="H1564" t="s">
        <v>23</v>
      </c>
      <c r="I1564" t="s">
        <v>79</v>
      </c>
      <c r="J1564" t="s">
        <v>179</v>
      </c>
      <c r="K1564">
        <v>6</v>
      </c>
      <c r="L1564" s="2">
        <v>552.41999999999996</v>
      </c>
      <c r="M1564" s="3">
        <v>0</v>
      </c>
      <c r="N1564" s="2">
        <v>3314.52</v>
      </c>
      <c r="O1564" s="2">
        <v>2637.54</v>
      </c>
      <c r="P1564" s="2">
        <v>676.98</v>
      </c>
      <c r="Q1564" t="s">
        <v>57</v>
      </c>
    </row>
    <row r="1565" spans="1:17" x14ac:dyDescent="0.2">
      <c r="A1565" t="s">
        <v>1730</v>
      </c>
      <c r="B1565" s="1">
        <v>45844</v>
      </c>
      <c r="C1565" t="s">
        <v>77</v>
      </c>
      <c r="D1565" t="s">
        <v>106</v>
      </c>
      <c r="E1565" t="s">
        <v>236</v>
      </c>
      <c r="F1565" t="s">
        <v>46</v>
      </c>
      <c r="G1565" t="s">
        <v>54</v>
      </c>
      <c r="H1565" t="s">
        <v>31</v>
      </c>
      <c r="I1565" t="s">
        <v>40</v>
      </c>
      <c r="J1565" t="s">
        <v>216</v>
      </c>
      <c r="K1565">
        <v>7</v>
      </c>
      <c r="L1565" s="2">
        <v>99.34</v>
      </c>
      <c r="M1565" s="3">
        <v>0.1</v>
      </c>
      <c r="N1565" s="2">
        <v>625.84</v>
      </c>
      <c r="O1565" s="2">
        <v>355.52</v>
      </c>
      <c r="P1565" s="2">
        <v>270.32</v>
      </c>
      <c r="Q1565" t="s">
        <v>26</v>
      </c>
    </row>
    <row r="1566" spans="1:17" x14ac:dyDescent="0.2">
      <c r="A1566" t="s">
        <v>1731</v>
      </c>
      <c r="B1566" s="1">
        <v>45844</v>
      </c>
      <c r="C1566" t="s">
        <v>36</v>
      </c>
      <c r="D1566" t="s">
        <v>110</v>
      </c>
      <c r="E1566" t="s">
        <v>111</v>
      </c>
      <c r="F1566" t="s">
        <v>21</v>
      </c>
      <c r="G1566" t="s">
        <v>54</v>
      </c>
      <c r="H1566" t="s">
        <v>23</v>
      </c>
      <c r="I1566" t="s">
        <v>79</v>
      </c>
      <c r="J1566" t="s">
        <v>233</v>
      </c>
      <c r="K1566">
        <v>8</v>
      </c>
      <c r="L1566" s="2">
        <v>414.97</v>
      </c>
      <c r="M1566" s="3">
        <v>0.05</v>
      </c>
      <c r="N1566" s="2">
        <v>3153.77</v>
      </c>
      <c r="O1566" s="2">
        <v>2277.5100000000002</v>
      </c>
      <c r="P1566" s="2">
        <v>876.26</v>
      </c>
      <c r="Q1566" t="s">
        <v>61</v>
      </c>
    </row>
    <row r="1567" spans="1:17" x14ac:dyDescent="0.2">
      <c r="A1567" t="s">
        <v>1732</v>
      </c>
      <c r="B1567" s="1">
        <v>45844</v>
      </c>
      <c r="C1567" t="s">
        <v>77</v>
      </c>
      <c r="D1567" t="s">
        <v>149</v>
      </c>
      <c r="E1567" t="s">
        <v>150</v>
      </c>
      <c r="F1567" t="s">
        <v>30</v>
      </c>
      <c r="G1567" t="s">
        <v>22</v>
      </c>
      <c r="H1567" t="s">
        <v>47</v>
      </c>
      <c r="I1567" t="s">
        <v>97</v>
      </c>
      <c r="J1567" t="s">
        <v>116</v>
      </c>
      <c r="K1567">
        <v>10</v>
      </c>
      <c r="L1567" s="2">
        <v>420.63</v>
      </c>
      <c r="M1567" s="3">
        <v>0.1</v>
      </c>
      <c r="N1567" s="2">
        <v>3785.67</v>
      </c>
      <c r="O1567" s="2">
        <v>2427.5</v>
      </c>
      <c r="P1567" s="2">
        <v>1358.17</v>
      </c>
      <c r="Q1567" t="s">
        <v>34</v>
      </c>
    </row>
    <row r="1568" spans="1:17" x14ac:dyDescent="0.2">
      <c r="A1568" t="s">
        <v>1733</v>
      </c>
      <c r="B1568" s="1">
        <v>45844</v>
      </c>
      <c r="C1568" t="s">
        <v>43</v>
      </c>
      <c r="D1568" t="s">
        <v>161</v>
      </c>
      <c r="E1568" t="s">
        <v>418</v>
      </c>
      <c r="F1568" t="s">
        <v>30</v>
      </c>
      <c r="G1568" t="s">
        <v>54</v>
      </c>
      <c r="H1568" t="s">
        <v>47</v>
      </c>
      <c r="I1568" t="s">
        <v>48</v>
      </c>
      <c r="J1568" t="s">
        <v>49</v>
      </c>
      <c r="K1568">
        <v>4</v>
      </c>
      <c r="L1568" s="2">
        <v>222.34</v>
      </c>
      <c r="M1568" s="3">
        <v>0.05</v>
      </c>
      <c r="N1568" s="2">
        <v>844.89</v>
      </c>
      <c r="O1568" s="2">
        <v>601.07000000000005</v>
      </c>
      <c r="P1568" s="2">
        <v>243.82</v>
      </c>
      <c r="Q1568" t="s">
        <v>61</v>
      </c>
    </row>
    <row r="1569" spans="1:17" x14ac:dyDescent="0.2">
      <c r="A1569" t="s">
        <v>1734</v>
      </c>
      <c r="B1569" s="1">
        <v>45844</v>
      </c>
      <c r="C1569" t="s">
        <v>77</v>
      </c>
      <c r="D1569" t="s">
        <v>78</v>
      </c>
      <c r="E1569" t="s">
        <v>261</v>
      </c>
      <c r="F1569" t="s">
        <v>71</v>
      </c>
      <c r="G1569" t="s">
        <v>22</v>
      </c>
      <c r="H1569" t="s">
        <v>23</v>
      </c>
      <c r="I1569" t="s">
        <v>83</v>
      </c>
      <c r="J1569" t="s">
        <v>84</v>
      </c>
      <c r="K1569">
        <v>4</v>
      </c>
      <c r="L1569" s="2">
        <v>28.48</v>
      </c>
      <c r="M1569" s="3">
        <v>0.1</v>
      </c>
      <c r="N1569" s="2">
        <v>102.53</v>
      </c>
      <c r="O1569" s="2">
        <v>64.209999999999994</v>
      </c>
      <c r="P1569" s="2">
        <v>38.32</v>
      </c>
      <c r="Q1569" t="s">
        <v>57</v>
      </c>
    </row>
    <row r="1570" spans="1:17" x14ac:dyDescent="0.2">
      <c r="A1570" t="s">
        <v>1735</v>
      </c>
      <c r="B1570" s="1">
        <v>45844</v>
      </c>
      <c r="C1570" t="s">
        <v>18</v>
      </c>
      <c r="D1570" t="s">
        <v>152</v>
      </c>
      <c r="E1570" t="s">
        <v>166</v>
      </c>
      <c r="F1570" t="s">
        <v>71</v>
      </c>
      <c r="G1570" t="s">
        <v>54</v>
      </c>
      <c r="H1570" t="s">
        <v>47</v>
      </c>
      <c r="I1570" t="s">
        <v>89</v>
      </c>
      <c r="J1570" t="s">
        <v>240</v>
      </c>
      <c r="K1570">
        <v>10</v>
      </c>
      <c r="L1570" s="2">
        <v>295.93</v>
      </c>
      <c r="M1570" s="3">
        <v>0</v>
      </c>
      <c r="N1570" s="2">
        <v>2959.3</v>
      </c>
      <c r="O1570" s="2">
        <v>2078.0100000000002</v>
      </c>
      <c r="P1570" s="2">
        <v>881.29</v>
      </c>
      <c r="Q1570" t="s">
        <v>26</v>
      </c>
    </row>
    <row r="1571" spans="1:17" x14ac:dyDescent="0.2">
      <c r="A1571" t="s">
        <v>1736</v>
      </c>
      <c r="B1571" s="1">
        <v>45844</v>
      </c>
      <c r="C1571" t="s">
        <v>36</v>
      </c>
      <c r="D1571" t="s">
        <v>73</v>
      </c>
      <c r="E1571" t="s">
        <v>212</v>
      </c>
      <c r="F1571" t="s">
        <v>30</v>
      </c>
      <c r="G1571" t="s">
        <v>75</v>
      </c>
      <c r="H1571" t="s">
        <v>23</v>
      </c>
      <c r="I1571" t="s">
        <v>24</v>
      </c>
      <c r="J1571" t="s">
        <v>220</v>
      </c>
      <c r="K1571">
        <v>6</v>
      </c>
      <c r="L1571" s="2">
        <v>5.05</v>
      </c>
      <c r="M1571" s="3">
        <v>0.1</v>
      </c>
      <c r="N1571" s="2">
        <v>27.27</v>
      </c>
      <c r="O1571" s="2">
        <v>15.49</v>
      </c>
      <c r="P1571" s="2">
        <v>11.78</v>
      </c>
      <c r="Q1571" t="s">
        <v>61</v>
      </c>
    </row>
    <row r="1572" spans="1:17" x14ac:dyDescent="0.2">
      <c r="A1572" t="s">
        <v>1737</v>
      </c>
      <c r="B1572" s="1">
        <v>45844</v>
      </c>
      <c r="C1572" t="s">
        <v>36</v>
      </c>
      <c r="D1572" t="s">
        <v>67</v>
      </c>
      <c r="E1572" t="s">
        <v>323</v>
      </c>
      <c r="F1572" t="s">
        <v>46</v>
      </c>
      <c r="G1572" t="s">
        <v>54</v>
      </c>
      <c r="H1572" t="s">
        <v>47</v>
      </c>
      <c r="I1572" t="s">
        <v>48</v>
      </c>
      <c r="J1572" t="s">
        <v>164</v>
      </c>
      <c r="K1572">
        <v>1</v>
      </c>
      <c r="L1572" s="2">
        <v>777.65</v>
      </c>
      <c r="M1572" s="3">
        <v>0.1</v>
      </c>
      <c r="N1572" s="2">
        <v>699.88</v>
      </c>
      <c r="O1572" s="2">
        <v>391.27</v>
      </c>
      <c r="P1572" s="2">
        <v>308.61</v>
      </c>
      <c r="Q1572" t="s">
        <v>34</v>
      </c>
    </row>
    <row r="1573" spans="1:17" x14ac:dyDescent="0.2">
      <c r="A1573" t="s">
        <v>1738</v>
      </c>
      <c r="B1573" s="1">
        <v>45845</v>
      </c>
      <c r="C1573" t="s">
        <v>18</v>
      </c>
      <c r="D1573" t="s">
        <v>133</v>
      </c>
      <c r="E1573" t="s">
        <v>134</v>
      </c>
      <c r="F1573" t="s">
        <v>60</v>
      </c>
      <c r="G1573" t="s">
        <v>75</v>
      </c>
      <c r="H1573" t="s">
        <v>31</v>
      </c>
      <c r="I1573" t="s">
        <v>40</v>
      </c>
      <c r="J1573" t="s">
        <v>41</v>
      </c>
      <c r="K1573">
        <v>10</v>
      </c>
      <c r="L1573" s="2">
        <v>138.19</v>
      </c>
      <c r="M1573" s="3">
        <v>0.05</v>
      </c>
      <c r="N1573" s="2">
        <v>1312.8</v>
      </c>
      <c r="O1573" s="2">
        <v>823.95</v>
      </c>
      <c r="P1573" s="2">
        <v>488.85</v>
      </c>
      <c r="Q1573" t="s">
        <v>57</v>
      </c>
    </row>
    <row r="1574" spans="1:17" x14ac:dyDescent="0.2">
      <c r="A1574" t="s">
        <v>1739</v>
      </c>
      <c r="B1574" s="1">
        <v>45845</v>
      </c>
      <c r="C1574" t="s">
        <v>18</v>
      </c>
      <c r="D1574" t="s">
        <v>152</v>
      </c>
      <c r="E1574" t="s">
        <v>185</v>
      </c>
      <c r="F1574" t="s">
        <v>46</v>
      </c>
      <c r="G1574" t="s">
        <v>75</v>
      </c>
      <c r="H1574" t="s">
        <v>23</v>
      </c>
      <c r="I1574" t="s">
        <v>55</v>
      </c>
      <c r="J1574" t="s">
        <v>56</v>
      </c>
      <c r="K1574">
        <v>3</v>
      </c>
      <c r="L1574" s="2">
        <v>11.64</v>
      </c>
      <c r="M1574" s="3">
        <v>0.05</v>
      </c>
      <c r="N1574" s="2">
        <v>33.17</v>
      </c>
      <c r="O1574" s="2">
        <v>21.49</v>
      </c>
      <c r="P1574" s="2">
        <v>11.68</v>
      </c>
      <c r="Q1574" t="s">
        <v>34</v>
      </c>
    </row>
    <row r="1575" spans="1:17" x14ac:dyDescent="0.2">
      <c r="A1575" t="s">
        <v>1740</v>
      </c>
      <c r="B1575" s="1">
        <v>45845</v>
      </c>
      <c r="C1575" t="s">
        <v>43</v>
      </c>
      <c r="D1575" t="s">
        <v>51</v>
      </c>
      <c r="E1575" t="s">
        <v>59</v>
      </c>
      <c r="F1575" t="s">
        <v>39</v>
      </c>
      <c r="G1575" t="s">
        <v>22</v>
      </c>
      <c r="H1575" t="s">
        <v>31</v>
      </c>
      <c r="I1575" t="s">
        <v>40</v>
      </c>
      <c r="J1575" t="s">
        <v>122</v>
      </c>
      <c r="K1575">
        <v>9</v>
      </c>
      <c r="L1575" s="2">
        <v>199.96</v>
      </c>
      <c r="M1575" s="3">
        <v>0.1</v>
      </c>
      <c r="N1575" s="2">
        <v>1619.68</v>
      </c>
      <c r="O1575" s="2">
        <v>1315.81</v>
      </c>
      <c r="P1575" s="2">
        <v>303.87</v>
      </c>
      <c r="Q1575" t="s">
        <v>57</v>
      </c>
    </row>
    <row r="1576" spans="1:17" x14ac:dyDescent="0.2">
      <c r="A1576" t="s">
        <v>1741</v>
      </c>
      <c r="B1576" s="1">
        <v>45845</v>
      </c>
      <c r="C1576" t="s">
        <v>18</v>
      </c>
      <c r="D1576" t="s">
        <v>28</v>
      </c>
      <c r="E1576" t="s">
        <v>29</v>
      </c>
      <c r="F1576" t="s">
        <v>39</v>
      </c>
      <c r="G1576" t="s">
        <v>75</v>
      </c>
      <c r="H1576" t="s">
        <v>23</v>
      </c>
      <c r="I1576" t="s">
        <v>24</v>
      </c>
      <c r="J1576" t="s">
        <v>25</v>
      </c>
      <c r="K1576">
        <v>2</v>
      </c>
      <c r="L1576" s="2">
        <v>18.34</v>
      </c>
      <c r="M1576" s="3">
        <v>0.1</v>
      </c>
      <c r="N1576" s="2">
        <v>33.01</v>
      </c>
      <c r="O1576" s="2">
        <v>23.8</v>
      </c>
      <c r="P1576" s="2">
        <v>9.2100000000000009</v>
      </c>
      <c r="Q1576" t="s">
        <v>34</v>
      </c>
    </row>
    <row r="1577" spans="1:17" x14ac:dyDescent="0.2">
      <c r="A1577" t="s">
        <v>1742</v>
      </c>
      <c r="B1577" s="1">
        <v>45846</v>
      </c>
      <c r="C1577" t="s">
        <v>36</v>
      </c>
      <c r="D1577" t="s">
        <v>144</v>
      </c>
      <c r="E1577" t="s">
        <v>232</v>
      </c>
      <c r="F1577" t="s">
        <v>130</v>
      </c>
      <c r="G1577" t="s">
        <v>75</v>
      </c>
      <c r="H1577" t="s">
        <v>31</v>
      </c>
      <c r="I1577" t="s">
        <v>64</v>
      </c>
      <c r="J1577" t="s">
        <v>65</v>
      </c>
      <c r="K1577">
        <v>1</v>
      </c>
      <c r="L1577" s="2">
        <v>177.87</v>
      </c>
      <c r="M1577" s="3">
        <v>0</v>
      </c>
      <c r="N1577" s="2">
        <v>177.87</v>
      </c>
      <c r="O1577" s="2">
        <v>125.49</v>
      </c>
      <c r="P1577" s="2">
        <v>52.38</v>
      </c>
      <c r="Q1577" t="s">
        <v>34</v>
      </c>
    </row>
    <row r="1578" spans="1:17" x14ac:dyDescent="0.2">
      <c r="A1578" t="s">
        <v>1743</v>
      </c>
      <c r="B1578" s="1">
        <v>45846</v>
      </c>
      <c r="C1578" t="s">
        <v>18</v>
      </c>
      <c r="D1578" t="s">
        <v>152</v>
      </c>
      <c r="E1578" t="s">
        <v>166</v>
      </c>
      <c r="F1578" t="s">
        <v>39</v>
      </c>
      <c r="G1578" t="s">
        <v>54</v>
      </c>
      <c r="H1578" t="s">
        <v>47</v>
      </c>
      <c r="I1578" t="s">
        <v>97</v>
      </c>
      <c r="J1578" t="s">
        <v>116</v>
      </c>
      <c r="K1578">
        <v>6</v>
      </c>
      <c r="L1578" s="2">
        <v>265.74</v>
      </c>
      <c r="M1578" s="3">
        <v>0.15</v>
      </c>
      <c r="N1578" s="2">
        <v>1355.27</v>
      </c>
      <c r="O1578" s="2">
        <v>1048.67</v>
      </c>
      <c r="P1578" s="2">
        <v>306.60000000000002</v>
      </c>
      <c r="Q1578" t="s">
        <v>26</v>
      </c>
    </row>
    <row r="1579" spans="1:17" x14ac:dyDescent="0.2">
      <c r="A1579" t="s">
        <v>1744</v>
      </c>
      <c r="B1579" s="1">
        <v>45846</v>
      </c>
      <c r="C1579" t="s">
        <v>18</v>
      </c>
      <c r="D1579" t="s">
        <v>19</v>
      </c>
      <c r="E1579" t="s">
        <v>20</v>
      </c>
      <c r="F1579" t="s">
        <v>71</v>
      </c>
      <c r="G1579" t="s">
        <v>54</v>
      </c>
      <c r="H1579" t="s">
        <v>31</v>
      </c>
      <c r="I1579" t="s">
        <v>32</v>
      </c>
      <c r="J1579" t="s">
        <v>104</v>
      </c>
      <c r="K1579">
        <v>1</v>
      </c>
      <c r="L1579" s="2">
        <v>1330.22</v>
      </c>
      <c r="M1579" s="3">
        <v>0</v>
      </c>
      <c r="N1579" s="2">
        <v>1330.22</v>
      </c>
      <c r="O1579" s="2">
        <v>1035.95</v>
      </c>
      <c r="P1579" s="2">
        <v>294.27</v>
      </c>
      <c r="Q1579" t="s">
        <v>61</v>
      </c>
    </row>
    <row r="1580" spans="1:17" x14ac:dyDescent="0.2">
      <c r="A1580" t="s">
        <v>1745</v>
      </c>
      <c r="B1580" s="1">
        <v>45846</v>
      </c>
      <c r="C1580" t="s">
        <v>43</v>
      </c>
      <c r="D1580" t="s">
        <v>244</v>
      </c>
      <c r="E1580" t="s">
        <v>300</v>
      </c>
      <c r="F1580" t="s">
        <v>39</v>
      </c>
      <c r="G1580" t="s">
        <v>22</v>
      </c>
      <c r="H1580" t="s">
        <v>23</v>
      </c>
      <c r="I1580" t="s">
        <v>83</v>
      </c>
      <c r="J1580" t="s">
        <v>84</v>
      </c>
      <c r="K1580">
        <v>5</v>
      </c>
      <c r="L1580" s="2">
        <v>20.85</v>
      </c>
      <c r="M1580" s="3">
        <v>0</v>
      </c>
      <c r="N1580" s="2">
        <v>104.25</v>
      </c>
      <c r="O1580" s="2">
        <v>70.959999999999994</v>
      </c>
      <c r="P1580" s="2">
        <v>33.29</v>
      </c>
      <c r="Q1580" t="s">
        <v>26</v>
      </c>
    </row>
    <row r="1581" spans="1:17" x14ac:dyDescent="0.2">
      <c r="A1581" t="s">
        <v>1746</v>
      </c>
      <c r="B1581" s="1">
        <v>45846</v>
      </c>
      <c r="C1581" t="s">
        <v>36</v>
      </c>
      <c r="D1581" t="s">
        <v>37</v>
      </c>
      <c r="E1581" t="s">
        <v>255</v>
      </c>
      <c r="F1581" t="s">
        <v>39</v>
      </c>
      <c r="G1581" t="s">
        <v>75</v>
      </c>
      <c r="H1581" t="s">
        <v>47</v>
      </c>
      <c r="I1581" t="s">
        <v>48</v>
      </c>
      <c r="J1581" t="s">
        <v>93</v>
      </c>
      <c r="K1581">
        <v>10</v>
      </c>
      <c r="L1581" s="2">
        <v>600.72</v>
      </c>
      <c r="M1581" s="3">
        <v>0.15</v>
      </c>
      <c r="N1581" s="2">
        <v>5106.12</v>
      </c>
      <c r="O1581" s="2">
        <v>3712.85</v>
      </c>
      <c r="P1581" s="2">
        <v>1393.27</v>
      </c>
      <c r="Q1581" t="s">
        <v>61</v>
      </c>
    </row>
    <row r="1582" spans="1:17" x14ac:dyDescent="0.2">
      <c r="A1582" t="s">
        <v>1747</v>
      </c>
      <c r="B1582" s="1">
        <v>45846</v>
      </c>
      <c r="C1582" t="s">
        <v>43</v>
      </c>
      <c r="D1582" t="s">
        <v>44</v>
      </c>
      <c r="E1582" t="s">
        <v>147</v>
      </c>
      <c r="F1582" t="s">
        <v>130</v>
      </c>
      <c r="G1582" t="s">
        <v>75</v>
      </c>
      <c r="H1582" t="s">
        <v>23</v>
      </c>
      <c r="I1582" t="s">
        <v>55</v>
      </c>
      <c r="J1582" t="s">
        <v>173</v>
      </c>
      <c r="K1582">
        <v>2</v>
      </c>
      <c r="L1582" s="2">
        <v>24.93</v>
      </c>
      <c r="M1582" s="3">
        <v>0.1</v>
      </c>
      <c r="N1582" s="2">
        <v>44.87</v>
      </c>
      <c r="O1582" s="2">
        <v>31.66</v>
      </c>
      <c r="P1582" s="2">
        <v>13.21</v>
      </c>
      <c r="Q1582" t="s">
        <v>26</v>
      </c>
    </row>
    <row r="1583" spans="1:17" x14ac:dyDescent="0.2">
      <c r="A1583" t="s">
        <v>1748</v>
      </c>
      <c r="B1583" s="1">
        <v>45846</v>
      </c>
      <c r="C1583" t="s">
        <v>43</v>
      </c>
      <c r="D1583" t="s">
        <v>44</v>
      </c>
      <c r="E1583" t="s">
        <v>82</v>
      </c>
      <c r="F1583" t="s">
        <v>60</v>
      </c>
      <c r="G1583" t="s">
        <v>22</v>
      </c>
      <c r="H1583" t="s">
        <v>23</v>
      </c>
      <c r="I1583" t="s">
        <v>55</v>
      </c>
      <c r="J1583" t="s">
        <v>56</v>
      </c>
      <c r="K1583">
        <v>9</v>
      </c>
      <c r="L1583" s="2">
        <v>18</v>
      </c>
      <c r="M1583" s="3">
        <v>0</v>
      </c>
      <c r="N1583" s="2">
        <v>162</v>
      </c>
      <c r="O1583" s="2">
        <v>116.2</v>
      </c>
      <c r="P1583" s="2">
        <v>45.8</v>
      </c>
      <c r="Q1583" t="s">
        <v>34</v>
      </c>
    </row>
    <row r="1584" spans="1:17" x14ac:dyDescent="0.2">
      <c r="A1584" t="s">
        <v>1749</v>
      </c>
      <c r="B1584" s="1">
        <v>45847</v>
      </c>
      <c r="C1584" t="s">
        <v>36</v>
      </c>
      <c r="D1584" t="s">
        <v>73</v>
      </c>
      <c r="E1584" t="s">
        <v>74</v>
      </c>
      <c r="F1584" t="s">
        <v>60</v>
      </c>
      <c r="G1584" t="s">
        <v>22</v>
      </c>
      <c r="H1584" t="s">
        <v>47</v>
      </c>
      <c r="I1584" t="s">
        <v>48</v>
      </c>
      <c r="J1584" t="s">
        <v>164</v>
      </c>
      <c r="K1584">
        <v>4</v>
      </c>
      <c r="L1584" s="2">
        <v>856.54</v>
      </c>
      <c r="M1584" s="3">
        <v>0</v>
      </c>
      <c r="N1584" s="2">
        <v>3426.16</v>
      </c>
      <c r="O1584" s="2">
        <v>2446.35</v>
      </c>
      <c r="P1584" s="2">
        <v>979.81</v>
      </c>
      <c r="Q1584" t="s">
        <v>61</v>
      </c>
    </row>
    <row r="1585" spans="1:17" x14ac:dyDescent="0.2">
      <c r="A1585" t="s">
        <v>1750</v>
      </c>
      <c r="B1585" s="1">
        <v>45847</v>
      </c>
      <c r="C1585" t="s">
        <v>36</v>
      </c>
      <c r="D1585" t="s">
        <v>144</v>
      </c>
      <c r="E1585" t="s">
        <v>145</v>
      </c>
      <c r="F1585" t="s">
        <v>130</v>
      </c>
      <c r="G1585" t="s">
        <v>54</v>
      </c>
      <c r="H1585" t="s">
        <v>47</v>
      </c>
      <c r="I1585" t="s">
        <v>48</v>
      </c>
      <c r="J1585" t="s">
        <v>49</v>
      </c>
      <c r="K1585">
        <v>4</v>
      </c>
      <c r="L1585" s="2">
        <v>481.87</v>
      </c>
      <c r="M1585" s="3">
        <v>0</v>
      </c>
      <c r="N1585" s="2">
        <v>1927.48</v>
      </c>
      <c r="O1585" s="2">
        <v>1534.34</v>
      </c>
      <c r="P1585" s="2">
        <v>393.14</v>
      </c>
      <c r="Q1585" t="s">
        <v>34</v>
      </c>
    </row>
    <row r="1586" spans="1:17" x14ac:dyDescent="0.2">
      <c r="A1586" t="s">
        <v>1751</v>
      </c>
      <c r="B1586" s="1">
        <v>45847</v>
      </c>
      <c r="C1586" t="s">
        <v>18</v>
      </c>
      <c r="D1586" t="s">
        <v>152</v>
      </c>
      <c r="E1586" t="s">
        <v>185</v>
      </c>
      <c r="F1586" t="s">
        <v>46</v>
      </c>
      <c r="G1586" t="s">
        <v>75</v>
      </c>
      <c r="H1586" t="s">
        <v>31</v>
      </c>
      <c r="I1586" t="s">
        <v>40</v>
      </c>
      <c r="J1586" t="s">
        <v>122</v>
      </c>
      <c r="K1586">
        <v>4</v>
      </c>
      <c r="L1586" s="2">
        <v>163.55000000000001</v>
      </c>
      <c r="M1586" s="3">
        <v>0</v>
      </c>
      <c r="N1586" s="2">
        <v>654.20000000000005</v>
      </c>
      <c r="O1586" s="2">
        <v>441.97</v>
      </c>
      <c r="P1586" s="2">
        <v>212.23</v>
      </c>
      <c r="Q1586" t="s">
        <v>61</v>
      </c>
    </row>
    <row r="1587" spans="1:17" x14ac:dyDescent="0.2">
      <c r="A1587" t="s">
        <v>1752</v>
      </c>
      <c r="B1587" s="1">
        <v>45847</v>
      </c>
      <c r="C1587" t="s">
        <v>43</v>
      </c>
      <c r="D1587" t="s">
        <v>44</v>
      </c>
      <c r="E1587" t="s">
        <v>147</v>
      </c>
      <c r="F1587" t="s">
        <v>46</v>
      </c>
      <c r="G1587" t="s">
        <v>54</v>
      </c>
      <c r="H1587" t="s">
        <v>23</v>
      </c>
      <c r="I1587" t="s">
        <v>55</v>
      </c>
      <c r="J1587" t="s">
        <v>102</v>
      </c>
      <c r="K1587">
        <v>9</v>
      </c>
      <c r="L1587" s="2">
        <v>16.739999999999998</v>
      </c>
      <c r="M1587" s="3">
        <v>0.1</v>
      </c>
      <c r="N1587" s="2">
        <v>135.59</v>
      </c>
      <c r="O1587" s="2">
        <v>80.75</v>
      </c>
      <c r="P1587" s="2">
        <v>54.84</v>
      </c>
      <c r="Q1587" t="s">
        <v>61</v>
      </c>
    </row>
    <row r="1588" spans="1:17" x14ac:dyDescent="0.2">
      <c r="A1588" t="s">
        <v>1753</v>
      </c>
      <c r="B1588" s="1">
        <v>45847</v>
      </c>
      <c r="C1588" t="s">
        <v>77</v>
      </c>
      <c r="D1588" t="s">
        <v>106</v>
      </c>
      <c r="E1588" t="s">
        <v>236</v>
      </c>
      <c r="F1588" t="s">
        <v>46</v>
      </c>
      <c r="G1588" t="s">
        <v>54</v>
      </c>
      <c r="H1588" t="s">
        <v>23</v>
      </c>
      <c r="I1588" t="s">
        <v>79</v>
      </c>
      <c r="J1588" t="s">
        <v>179</v>
      </c>
      <c r="K1588">
        <v>6</v>
      </c>
      <c r="L1588" s="2">
        <v>395.65</v>
      </c>
      <c r="M1588" s="3">
        <v>0.05</v>
      </c>
      <c r="N1588" s="2">
        <v>2255.1999999999998</v>
      </c>
      <c r="O1588" s="2">
        <v>1363.91</v>
      </c>
      <c r="P1588" s="2">
        <v>891.29</v>
      </c>
      <c r="Q1588" t="s">
        <v>34</v>
      </c>
    </row>
    <row r="1589" spans="1:17" x14ac:dyDescent="0.2">
      <c r="A1589" t="s">
        <v>1754</v>
      </c>
      <c r="B1589" s="1">
        <v>45847</v>
      </c>
      <c r="C1589" t="s">
        <v>43</v>
      </c>
      <c r="D1589" t="s">
        <v>208</v>
      </c>
      <c r="E1589" t="s">
        <v>287</v>
      </c>
      <c r="F1589" t="s">
        <v>60</v>
      </c>
      <c r="G1589" t="s">
        <v>75</v>
      </c>
      <c r="H1589" t="s">
        <v>31</v>
      </c>
      <c r="I1589" t="s">
        <v>64</v>
      </c>
      <c r="J1589" t="s">
        <v>65</v>
      </c>
      <c r="K1589">
        <v>8</v>
      </c>
      <c r="L1589" s="2">
        <v>116.26</v>
      </c>
      <c r="M1589" s="3">
        <v>0.05</v>
      </c>
      <c r="N1589" s="2">
        <v>883.58</v>
      </c>
      <c r="O1589" s="2">
        <v>546.77</v>
      </c>
      <c r="P1589" s="2">
        <v>336.81</v>
      </c>
      <c r="Q1589" t="s">
        <v>34</v>
      </c>
    </row>
    <row r="1590" spans="1:17" x14ac:dyDescent="0.2">
      <c r="A1590" t="s">
        <v>1755</v>
      </c>
      <c r="B1590" s="1">
        <v>45848</v>
      </c>
      <c r="C1590" t="s">
        <v>36</v>
      </c>
      <c r="D1590" t="s">
        <v>67</v>
      </c>
      <c r="E1590" t="s">
        <v>270</v>
      </c>
      <c r="F1590" t="s">
        <v>53</v>
      </c>
      <c r="G1590" t="s">
        <v>22</v>
      </c>
      <c r="H1590" t="s">
        <v>31</v>
      </c>
      <c r="I1590" t="s">
        <v>32</v>
      </c>
      <c r="J1590" t="s">
        <v>258</v>
      </c>
      <c r="K1590">
        <v>5</v>
      </c>
      <c r="L1590" s="2">
        <v>729.76</v>
      </c>
      <c r="M1590" s="3">
        <v>0.15</v>
      </c>
      <c r="N1590" s="2">
        <v>3101.48</v>
      </c>
      <c r="O1590" s="2">
        <v>1748.22</v>
      </c>
      <c r="P1590" s="2">
        <v>1353.26</v>
      </c>
      <c r="Q1590" t="s">
        <v>57</v>
      </c>
    </row>
    <row r="1591" spans="1:17" x14ac:dyDescent="0.2">
      <c r="A1591" t="s">
        <v>1756</v>
      </c>
      <c r="B1591" s="1">
        <v>45848</v>
      </c>
      <c r="C1591" t="s">
        <v>77</v>
      </c>
      <c r="D1591" t="s">
        <v>149</v>
      </c>
      <c r="E1591" t="s">
        <v>150</v>
      </c>
      <c r="F1591" t="s">
        <v>138</v>
      </c>
      <c r="G1591" t="s">
        <v>22</v>
      </c>
      <c r="H1591" t="s">
        <v>31</v>
      </c>
      <c r="I1591" t="s">
        <v>64</v>
      </c>
      <c r="J1591" t="s">
        <v>126</v>
      </c>
      <c r="K1591">
        <v>8</v>
      </c>
      <c r="L1591" s="2">
        <v>145.85</v>
      </c>
      <c r="M1591" s="3">
        <v>0.05</v>
      </c>
      <c r="N1591" s="2">
        <v>1108.46</v>
      </c>
      <c r="O1591" s="2">
        <v>717.9</v>
      </c>
      <c r="P1591" s="2">
        <v>390.56</v>
      </c>
      <c r="Q1591" t="s">
        <v>34</v>
      </c>
    </row>
    <row r="1592" spans="1:17" x14ac:dyDescent="0.2">
      <c r="A1592" t="s">
        <v>1757</v>
      </c>
      <c r="B1592" s="1">
        <v>45848</v>
      </c>
      <c r="C1592" t="s">
        <v>77</v>
      </c>
      <c r="D1592" t="s">
        <v>128</v>
      </c>
      <c r="E1592" t="s">
        <v>129</v>
      </c>
      <c r="F1592" t="s">
        <v>21</v>
      </c>
      <c r="G1592" t="s">
        <v>22</v>
      </c>
      <c r="H1592" t="s">
        <v>31</v>
      </c>
      <c r="I1592" t="s">
        <v>32</v>
      </c>
      <c r="J1592" t="s">
        <v>33</v>
      </c>
      <c r="K1592">
        <v>3</v>
      </c>
      <c r="L1592" s="2">
        <v>1035.8399999999999</v>
      </c>
      <c r="M1592" s="3">
        <v>0</v>
      </c>
      <c r="N1592" s="2">
        <v>3107.52</v>
      </c>
      <c r="O1592" s="2">
        <v>2455.96</v>
      </c>
      <c r="P1592" s="2">
        <v>651.55999999999995</v>
      </c>
      <c r="Q1592" t="s">
        <v>26</v>
      </c>
    </row>
    <row r="1593" spans="1:17" x14ac:dyDescent="0.2">
      <c r="A1593" t="s">
        <v>1758</v>
      </c>
      <c r="B1593" s="1">
        <v>45848</v>
      </c>
      <c r="C1593" t="s">
        <v>77</v>
      </c>
      <c r="D1593" t="s">
        <v>78</v>
      </c>
      <c r="E1593" t="s">
        <v>261</v>
      </c>
      <c r="F1593" t="s">
        <v>53</v>
      </c>
      <c r="G1593" t="s">
        <v>22</v>
      </c>
      <c r="H1593" t="s">
        <v>31</v>
      </c>
      <c r="I1593" t="s">
        <v>32</v>
      </c>
      <c r="J1593" t="s">
        <v>33</v>
      </c>
      <c r="K1593">
        <v>5</v>
      </c>
      <c r="L1593" s="2">
        <v>835.22</v>
      </c>
      <c r="M1593" s="3">
        <v>0.15</v>
      </c>
      <c r="N1593" s="2">
        <v>3549.69</v>
      </c>
      <c r="O1593" s="2">
        <v>2620.08</v>
      </c>
      <c r="P1593" s="2">
        <v>929.61</v>
      </c>
      <c r="Q1593" t="s">
        <v>34</v>
      </c>
    </row>
    <row r="1594" spans="1:17" x14ac:dyDescent="0.2">
      <c r="A1594" t="s">
        <v>1759</v>
      </c>
      <c r="B1594" s="1">
        <v>45849</v>
      </c>
      <c r="C1594" t="s">
        <v>43</v>
      </c>
      <c r="D1594" t="s">
        <v>161</v>
      </c>
      <c r="E1594" t="s">
        <v>172</v>
      </c>
      <c r="F1594" t="s">
        <v>71</v>
      </c>
      <c r="G1594" t="s">
        <v>75</v>
      </c>
      <c r="H1594" t="s">
        <v>23</v>
      </c>
      <c r="I1594" t="s">
        <v>24</v>
      </c>
      <c r="J1594" t="s">
        <v>108</v>
      </c>
      <c r="K1594">
        <v>1</v>
      </c>
      <c r="L1594" s="2">
        <v>6.55</v>
      </c>
      <c r="M1594" s="3">
        <v>0</v>
      </c>
      <c r="N1594" s="2">
        <v>6.55</v>
      </c>
      <c r="O1594" s="2">
        <v>4.79</v>
      </c>
      <c r="P1594" s="2">
        <v>1.76</v>
      </c>
      <c r="Q1594" t="s">
        <v>57</v>
      </c>
    </row>
    <row r="1595" spans="1:17" x14ac:dyDescent="0.2">
      <c r="A1595" t="s">
        <v>1760</v>
      </c>
      <c r="B1595" s="1">
        <v>45849</v>
      </c>
      <c r="C1595" t="s">
        <v>43</v>
      </c>
      <c r="D1595" t="s">
        <v>44</v>
      </c>
      <c r="E1595" t="s">
        <v>82</v>
      </c>
      <c r="F1595" t="s">
        <v>21</v>
      </c>
      <c r="G1595" t="s">
        <v>22</v>
      </c>
      <c r="H1595" t="s">
        <v>23</v>
      </c>
      <c r="I1595" t="s">
        <v>24</v>
      </c>
      <c r="J1595" t="s">
        <v>220</v>
      </c>
      <c r="K1595">
        <v>10</v>
      </c>
      <c r="L1595" s="2">
        <v>25.57</v>
      </c>
      <c r="M1595" s="3">
        <v>0.1</v>
      </c>
      <c r="N1595" s="2">
        <v>230.13</v>
      </c>
      <c r="O1595" s="2">
        <v>135</v>
      </c>
      <c r="P1595" s="2">
        <v>95.13</v>
      </c>
      <c r="Q1595" t="s">
        <v>57</v>
      </c>
    </row>
    <row r="1596" spans="1:17" x14ac:dyDescent="0.2">
      <c r="A1596" t="s">
        <v>1761</v>
      </c>
      <c r="B1596" s="1">
        <v>45849</v>
      </c>
      <c r="C1596" t="s">
        <v>36</v>
      </c>
      <c r="D1596" t="s">
        <v>110</v>
      </c>
      <c r="E1596" t="s">
        <v>111</v>
      </c>
      <c r="F1596" t="s">
        <v>71</v>
      </c>
      <c r="G1596" t="s">
        <v>22</v>
      </c>
      <c r="H1596" t="s">
        <v>47</v>
      </c>
      <c r="I1596" t="s">
        <v>89</v>
      </c>
      <c r="J1596" t="s">
        <v>90</v>
      </c>
      <c r="K1596">
        <v>6</v>
      </c>
      <c r="L1596" s="2">
        <v>250.94</v>
      </c>
      <c r="M1596" s="3">
        <v>0</v>
      </c>
      <c r="N1596" s="2">
        <v>1505.64</v>
      </c>
      <c r="O1596" s="2">
        <v>859.27</v>
      </c>
      <c r="P1596" s="2">
        <v>646.37</v>
      </c>
      <c r="Q1596" t="s">
        <v>26</v>
      </c>
    </row>
    <row r="1597" spans="1:17" x14ac:dyDescent="0.2">
      <c r="A1597" t="s">
        <v>1762</v>
      </c>
      <c r="B1597" s="1">
        <v>45850</v>
      </c>
      <c r="C1597" t="s">
        <v>36</v>
      </c>
      <c r="D1597" t="s">
        <v>73</v>
      </c>
      <c r="E1597" t="s">
        <v>74</v>
      </c>
      <c r="F1597" t="s">
        <v>71</v>
      </c>
      <c r="G1597" t="s">
        <v>22</v>
      </c>
      <c r="H1597" t="s">
        <v>31</v>
      </c>
      <c r="I1597" t="s">
        <v>112</v>
      </c>
      <c r="J1597" t="s">
        <v>176</v>
      </c>
      <c r="K1597">
        <v>7</v>
      </c>
      <c r="L1597" s="2">
        <v>247.99</v>
      </c>
      <c r="M1597" s="3">
        <v>0.1</v>
      </c>
      <c r="N1597" s="2">
        <v>1562.34</v>
      </c>
      <c r="O1597" s="2">
        <v>1123.1099999999999</v>
      </c>
      <c r="P1597" s="2">
        <v>439.23</v>
      </c>
      <c r="Q1597" t="s">
        <v>34</v>
      </c>
    </row>
    <row r="1598" spans="1:17" x14ac:dyDescent="0.2">
      <c r="A1598" t="s">
        <v>1763</v>
      </c>
      <c r="B1598" s="1">
        <v>45850</v>
      </c>
      <c r="C1598" t="s">
        <v>43</v>
      </c>
      <c r="D1598" t="s">
        <v>208</v>
      </c>
      <c r="E1598" t="s">
        <v>287</v>
      </c>
      <c r="F1598" t="s">
        <v>30</v>
      </c>
      <c r="G1598" t="s">
        <v>54</v>
      </c>
      <c r="H1598" t="s">
        <v>47</v>
      </c>
      <c r="I1598" t="s">
        <v>97</v>
      </c>
      <c r="J1598" t="s">
        <v>116</v>
      </c>
      <c r="K1598">
        <v>5</v>
      </c>
      <c r="L1598" s="2">
        <v>122.1</v>
      </c>
      <c r="M1598" s="3">
        <v>0.15</v>
      </c>
      <c r="N1598" s="2">
        <v>518.91999999999996</v>
      </c>
      <c r="O1598" s="2">
        <v>425.49</v>
      </c>
      <c r="P1598" s="2">
        <v>93.43</v>
      </c>
      <c r="Q1598" t="s">
        <v>26</v>
      </c>
    </row>
    <row r="1599" spans="1:17" x14ac:dyDescent="0.2">
      <c r="A1599" t="s">
        <v>1764</v>
      </c>
      <c r="B1599" s="1">
        <v>45850</v>
      </c>
      <c r="C1599" t="s">
        <v>43</v>
      </c>
      <c r="D1599" t="s">
        <v>51</v>
      </c>
      <c r="E1599" t="s">
        <v>52</v>
      </c>
      <c r="F1599" t="s">
        <v>21</v>
      </c>
      <c r="G1599" t="s">
        <v>75</v>
      </c>
      <c r="H1599" t="s">
        <v>47</v>
      </c>
      <c r="I1599" t="s">
        <v>97</v>
      </c>
      <c r="J1599" t="s">
        <v>116</v>
      </c>
      <c r="K1599">
        <v>9</v>
      </c>
      <c r="L1599" s="2">
        <v>446.98</v>
      </c>
      <c r="M1599" s="3">
        <v>0.05</v>
      </c>
      <c r="N1599" s="2">
        <v>3821.68</v>
      </c>
      <c r="O1599" s="2">
        <v>2602.94</v>
      </c>
      <c r="P1599" s="2">
        <v>1218.74</v>
      </c>
      <c r="Q1599" t="s">
        <v>34</v>
      </c>
    </row>
    <row r="1600" spans="1:17" x14ac:dyDescent="0.2">
      <c r="A1600" t="s">
        <v>1765</v>
      </c>
      <c r="B1600" s="1">
        <v>45850</v>
      </c>
      <c r="C1600" t="s">
        <v>18</v>
      </c>
      <c r="D1600" t="s">
        <v>19</v>
      </c>
      <c r="E1600" t="s">
        <v>20</v>
      </c>
      <c r="F1600" t="s">
        <v>130</v>
      </c>
      <c r="G1600" t="s">
        <v>75</v>
      </c>
      <c r="H1600" t="s">
        <v>31</v>
      </c>
      <c r="I1600" t="s">
        <v>32</v>
      </c>
      <c r="J1600" t="s">
        <v>258</v>
      </c>
      <c r="K1600">
        <v>9</v>
      </c>
      <c r="L1600" s="2">
        <v>1282.3800000000001</v>
      </c>
      <c r="M1600" s="3">
        <v>0.05</v>
      </c>
      <c r="N1600" s="2">
        <v>10964.35</v>
      </c>
      <c r="O1600" s="2">
        <v>8546.23</v>
      </c>
      <c r="P1600" s="2">
        <v>2418.12</v>
      </c>
      <c r="Q1600" t="s">
        <v>57</v>
      </c>
    </row>
    <row r="1601" spans="1:17" x14ac:dyDescent="0.2">
      <c r="A1601" t="s">
        <v>1766</v>
      </c>
      <c r="B1601" s="1">
        <v>45850</v>
      </c>
      <c r="C1601" t="s">
        <v>18</v>
      </c>
      <c r="D1601" t="s">
        <v>19</v>
      </c>
      <c r="E1601" t="s">
        <v>100</v>
      </c>
      <c r="F1601" t="s">
        <v>46</v>
      </c>
      <c r="G1601" t="s">
        <v>22</v>
      </c>
      <c r="H1601" t="s">
        <v>47</v>
      </c>
      <c r="I1601" t="s">
        <v>89</v>
      </c>
      <c r="J1601" t="s">
        <v>204</v>
      </c>
      <c r="K1601">
        <v>6</v>
      </c>
      <c r="L1601" s="2">
        <v>127.92</v>
      </c>
      <c r="M1601" s="3">
        <v>0.05</v>
      </c>
      <c r="N1601" s="2">
        <v>729.14</v>
      </c>
      <c r="O1601" s="2">
        <v>487.73</v>
      </c>
      <c r="P1601" s="2">
        <v>241.41</v>
      </c>
      <c r="Q1601" t="s">
        <v>26</v>
      </c>
    </row>
    <row r="1602" spans="1:17" x14ac:dyDescent="0.2">
      <c r="A1602" t="s">
        <v>1767</v>
      </c>
      <c r="B1602" s="1">
        <v>45850</v>
      </c>
      <c r="C1602" t="s">
        <v>43</v>
      </c>
      <c r="D1602" t="s">
        <v>244</v>
      </c>
      <c r="E1602" t="s">
        <v>245</v>
      </c>
      <c r="F1602" t="s">
        <v>53</v>
      </c>
      <c r="G1602" t="s">
        <v>75</v>
      </c>
      <c r="H1602" t="s">
        <v>31</v>
      </c>
      <c r="I1602" t="s">
        <v>40</v>
      </c>
      <c r="J1602" t="s">
        <v>41</v>
      </c>
      <c r="K1602">
        <v>2</v>
      </c>
      <c r="L1602" s="2">
        <v>134.56</v>
      </c>
      <c r="M1602" s="3">
        <v>0</v>
      </c>
      <c r="N1602" s="2">
        <v>269.12</v>
      </c>
      <c r="O1602" s="2">
        <v>157.44999999999999</v>
      </c>
      <c r="P1602" s="2">
        <v>111.67</v>
      </c>
      <c r="Q1602" t="s">
        <v>26</v>
      </c>
    </row>
    <row r="1603" spans="1:17" x14ac:dyDescent="0.2">
      <c r="A1603" t="s">
        <v>1768</v>
      </c>
      <c r="B1603" s="1">
        <v>45850</v>
      </c>
      <c r="C1603" t="s">
        <v>36</v>
      </c>
      <c r="D1603" t="s">
        <v>73</v>
      </c>
      <c r="E1603" t="s">
        <v>74</v>
      </c>
      <c r="F1603" t="s">
        <v>71</v>
      </c>
      <c r="G1603" t="s">
        <v>75</v>
      </c>
      <c r="H1603" t="s">
        <v>23</v>
      </c>
      <c r="I1603" t="s">
        <v>83</v>
      </c>
      <c r="J1603" t="s">
        <v>120</v>
      </c>
      <c r="K1603">
        <v>4</v>
      </c>
      <c r="L1603" s="2">
        <v>30.88</v>
      </c>
      <c r="M1603" s="3">
        <v>0.15</v>
      </c>
      <c r="N1603" s="2">
        <v>104.99</v>
      </c>
      <c r="O1603" s="2">
        <v>73.95</v>
      </c>
      <c r="P1603" s="2">
        <v>31.04</v>
      </c>
      <c r="Q1603" t="s">
        <v>26</v>
      </c>
    </row>
    <row r="1604" spans="1:17" x14ac:dyDescent="0.2">
      <c r="A1604" t="s">
        <v>1769</v>
      </c>
      <c r="B1604" s="1">
        <v>45850</v>
      </c>
      <c r="C1604" t="s">
        <v>43</v>
      </c>
      <c r="D1604" t="s">
        <v>161</v>
      </c>
      <c r="E1604" t="s">
        <v>162</v>
      </c>
      <c r="F1604" t="s">
        <v>21</v>
      </c>
      <c r="G1604" t="s">
        <v>22</v>
      </c>
      <c r="H1604" t="s">
        <v>47</v>
      </c>
      <c r="I1604" t="s">
        <v>97</v>
      </c>
      <c r="J1604" t="s">
        <v>116</v>
      </c>
      <c r="K1604">
        <v>4</v>
      </c>
      <c r="L1604" s="2">
        <v>592.91</v>
      </c>
      <c r="M1604" s="3">
        <v>0.15</v>
      </c>
      <c r="N1604" s="2">
        <v>2015.89</v>
      </c>
      <c r="O1604" s="2">
        <v>1477.25</v>
      </c>
      <c r="P1604" s="2">
        <v>538.64</v>
      </c>
      <c r="Q1604" t="s">
        <v>57</v>
      </c>
    </row>
    <row r="1605" spans="1:17" x14ac:dyDescent="0.2">
      <c r="A1605" t="s">
        <v>1770</v>
      </c>
      <c r="B1605" s="1">
        <v>45851</v>
      </c>
      <c r="C1605" t="s">
        <v>43</v>
      </c>
      <c r="D1605" t="s">
        <v>44</v>
      </c>
      <c r="E1605" t="s">
        <v>82</v>
      </c>
      <c r="F1605" t="s">
        <v>53</v>
      </c>
      <c r="G1605" t="s">
        <v>22</v>
      </c>
      <c r="H1605" t="s">
        <v>31</v>
      </c>
      <c r="I1605" t="s">
        <v>112</v>
      </c>
      <c r="J1605" t="s">
        <v>176</v>
      </c>
      <c r="K1605">
        <v>1</v>
      </c>
      <c r="L1605" s="2">
        <v>270.33</v>
      </c>
      <c r="M1605" s="3">
        <v>0.15</v>
      </c>
      <c r="N1605" s="2">
        <v>229.78</v>
      </c>
      <c r="O1605" s="2">
        <v>154.36000000000001</v>
      </c>
      <c r="P1605" s="2">
        <v>75.42</v>
      </c>
      <c r="Q1605" t="s">
        <v>34</v>
      </c>
    </row>
    <row r="1606" spans="1:17" x14ac:dyDescent="0.2">
      <c r="A1606" t="s">
        <v>1771</v>
      </c>
      <c r="B1606" s="1">
        <v>45851</v>
      </c>
      <c r="C1606" t="s">
        <v>77</v>
      </c>
      <c r="D1606" t="s">
        <v>149</v>
      </c>
      <c r="E1606" t="s">
        <v>150</v>
      </c>
      <c r="F1606" t="s">
        <v>39</v>
      </c>
      <c r="G1606" t="s">
        <v>22</v>
      </c>
      <c r="H1606" t="s">
        <v>23</v>
      </c>
      <c r="I1606" t="s">
        <v>24</v>
      </c>
      <c r="J1606" t="s">
        <v>220</v>
      </c>
      <c r="K1606">
        <v>5</v>
      </c>
      <c r="L1606" s="2">
        <v>17.47</v>
      </c>
      <c r="M1606" s="3">
        <v>0</v>
      </c>
      <c r="N1606" s="2">
        <v>87.35</v>
      </c>
      <c r="O1606" s="2">
        <v>70.31</v>
      </c>
      <c r="P1606" s="2">
        <v>17.04</v>
      </c>
      <c r="Q1606" t="s">
        <v>26</v>
      </c>
    </row>
    <row r="1607" spans="1:17" x14ac:dyDescent="0.2">
      <c r="A1607" t="s">
        <v>1772</v>
      </c>
      <c r="B1607" s="1">
        <v>45851</v>
      </c>
      <c r="C1607" t="s">
        <v>77</v>
      </c>
      <c r="D1607" t="s">
        <v>78</v>
      </c>
      <c r="E1607" t="s">
        <v>295</v>
      </c>
      <c r="F1607" t="s">
        <v>130</v>
      </c>
      <c r="G1607" t="s">
        <v>75</v>
      </c>
      <c r="H1607" t="s">
        <v>23</v>
      </c>
      <c r="I1607" t="s">
        <v>55</v>
      </c>
      <c r="J1607" t="s">
        <v>173</v>
      </c>
      <c r="K1607">
        <v>8</v>
      </c>
      <c r="L1607" s="2">
        <v>21.53</v>
      </c>
      <c r="M1607" s="3">
        <v>0.1</v>
      </c>
      <c r="N1607" s="2">
        <v>155.02000000000001</v>
      </c>
      <c r="O1607" s="2">
        <v>114.76</v>
      </c>
      <c r="P1607" s="2">
        <v>40.26</v>
      </c>
      <c r="Q1607" t="s">
        <v>61</v>
      </c>
    </row>
    <row r="1608" spans="1:17" x14ac:dyDescent="0.2">
      <c r="A1608" t="s">
        <v>1773</v>
      </c>
      <c r="B1608" s="1">
        <v>45851</v>
      </c>
      <c r="C1608" t="s">
        <v>77</v>
      </c>
      <c r="D1608" t="s">
        <v>95</v>
      </c>
      <c r="E1608" t="s">
        <v>367</v>
      </c>
      <c r="F1608" t="s">
        <v>69</v>
      </c>
      <c r="G1608" t="s">
        <v>22</v>
      </c>
      <c r="H1608" t="s">
        <v>23</v>
      </c>
      <c r="I1608" t="s">
        <v>24</v>
      </c>
      <c r="J1608" t="s">
        <v>25</v>
      </c>
      <c r="K1608">
        <v>7</v>
      </c>
      <c r="L1608" s="2">
        <v>10.88</v>
      </c>
      <c r="M1608" s="3">
        <v>0</v>
      </c>
      <c r="N1608" s="2">
        <v>76.16</v>
      </c>
      <c r="O1608" s="2">
        <v>46.37</v>
      </c>
      <c r="P1608" s="2">
        <v>29.79</v>
      </c>
      <c r="Q1608" t="s">
        <v>34</v>
      </c>
    </row>
    <row r="1609" spans="1:17" x14ac:dyDescent="0.2">
      <c r="A1609" t="s">
        <v>1774</v>
      </c>
      <c r="B1609" s="1">
        <v>45851</v>
      </c>
      <c r="C1609" t="s">
        <v>43</v>
      </c>
      <c r="D1609" t="s">
        <v>51</v>
      </c>
      <c r="E1609" t="s">
        <v>52</v>
      </c>
      <c r="F1609" t="s">
        <v>46</v>
      </c>
      <c r="G1609" t="s">
        <v>54</v>
      </c>
      <c r="H1609" t="s">
        <v>23</v>
      </c>
      <c r="I1609" t="s">
        <v>24</v>
      </c>
      <c r="J1609" t="s">
        <v>108</v>
      </c>
      <c r="K1609">
        <v>10</v>
      </c>
      <c r="L1609" s="2">
        <v>14.07</v>
      </c>
      <c r="M1609" s="3">
        <v>0.05</v>
      </c>
      <c r="N1609" s="2">
        <v>133.66</v>
      </c>
      <c r="O1609" s="2">
        <v>75.98</v>
      </c>
      <c r="P1609" s="2">
        <v>57.68</v>
      </c>
      <c r="Q1609" t="s">
        <v>26</v>
      </c>
    </row>
    <row r="1610" spans="1:17" x14ac:dyDescent="0.2">
      <c r="A1610" t="s">
        <v>1775</v>
      </c>
      <c r="B1610" s="1">
        <v>45851</v>
      </c>
      <c r="C1610" t="s">
        <v>77</v>
      </c>
      <c r="D1610" t="s">
        <v>106</v>
      </c>
      <c r="E1610" t="s">
        <v>107</v>
      </c>
      <c r="F1610" t="s">
        <v>39</v>
      </c>
      <c r="G1610" t="s">
        <v>22</v>
      </c>
      <c r="H1610" t="s">
        <v>23</v>
      </c>
      <c r="I1610" t="s">
        <v>24</v>
      </c>
      <c r="J1610" t="s">
        <v>220</v>
      </c>
      <c r="K1610">
        <v>1</v>
      </c>
      <c r="L1610" s="2">
        <v>19.22</v>
      </c>
      <c r="M1610" s="3">
        <v>0.1</v>
      </c>
      <c r="N1610" s="2">
        <v>17.3</v>
      </c>
      <c r="O1610" s="2">
        <v>12.69</v>
      </c>
      <c r="P1610" s="2">
        <v>4.6100000000000003</v>
      </c>
      <c r="Q1610" t="s">
        <v>26</v>
      </c>
    </row>
    <row r="1611" spans="1:17" x14ac:dyDescent="0.2">
      <c r="A1611" t="s">
        <v>1776</v>
      </c>
      <c r="B1611" s="1">
        <v>45851</v>
      </c>
      <c r="C1611" t="s">
        <v>77</v>
      </c>
      <c r="D1611" t="s">
        <v>149</v>
      </c>
      <c r="E1611" t="s">
        <v>150</v>
      </c>
      <c r="F1611" t="s">
        <v>69</v>
      </c>
      <c r="G1611" t="s">
        <v>54</v>
      </c>
      <c r="H1611" t="s">
        <v>31</v>
      </c>
      <c r="I1611" t="s">
        <v>32</v>
      </c>
      <c r="J1611" t="s">
        <v>33</v>
      </c>
      <c r="K1611">
        <v>7</v>
      </c>
      <c r="L1611" s="2">
        <v>784.49</v>
      </c>
      <c r="M1611" s="3">
        <v>0</v>
      </c>
      <c r="N1611" s="2">
        <v>5491.43</v>
      </c>
      <c r="O1611" s="2">
        <v>4119.8599999999997</v>
      </c>
      <c r="P1611" s="2">
        <v>1371.57</v>
      </c>
      <c r="Q1611" t="s">
        <v>26</v>
      </c>
    </row>
    <row r="1612" spans="1:17" x14ac:dyDescent="0.2">
      <c r="A1612" t="s">
        <v>1777</v>
      </c>
      <c r="B1612" s="1">
        <v>45851</v>
      </c>
      <c r="C1612" t="s">
        <v>18</v>
      </c>
      <c r="D1612" t="s">
        <v>19</v>
      </c>
      <c r="E1612" t="s">
        <v>118</v>
      </c>
      <c r="F1612" t="s">
        <v>71</v>
      </c>
      <c r="G1612" t="s">
        <v>75</v>
      </c>
      <c r="H1612" t="s">
        <v>23</v>
      </c>
      <c r="I1612" t="s">
        <v>55</v>
      </c>
      <c r="J1612" t="s">
        <v>173</v>
      </c>
      <c r="K1612">
        <v>4</v>
      </c>
      <c r="L1612" s="2">
        <v>15.55</v>
      </c>
      <c r="M1612" s="3">
        <v>0</v>
      </c>
      <c r="N1612" s="2">
        <v>62.2</v>
      </c>
      <c r="O1612" s="2">
        <v>46.44</v>
      </c>
      <c r="P1612" s="2">
        <v>15.76</v>
      </c>
      <c r="Q1612" t="s">
        <v>57</v>
      </c>
    </row>
    <row r="1613" spans="1:17" x14ac:dyDescent="0.2">
      <c r="A1613" t="s">
        <v>1778</v>
      </c>
      <c r="B1613" s="1">
        <v>45851</v>
      </c>
      <c r="C1613" t="s">
        <v>77</v>
      </c>
      <c r="D1613" t="s">
        <v>106</v>
      </c>
      <c r="E1613" t="s">
        <v>107</v>
      </c>
      <c r="F1613" t="s">
        <v>71</v>
      </c>
      <c r="G1613" t="s">
        <v>75</v>
      </c>
      <c r="H1613" t="s">
        <v>23</v>
      </c>
      <c r="I1613" t="s">
        <v>55</v>
      </c>
      <c r="J1613" t="s">
        <v>173</v>
      </c>
      <c r="K1613">
        <v>8</v>
      </c>
      <c r="L1613" s="2">
        <v>6.17</v>
      </c>
      <c r="M1613" s="3">
        <v>0</v>
      </c>
      <c r="N1613" s="2">
        <v>49.36</v>
      </c>
      <c r="O1613" s="2">
        <v>33.5</v>
      </c>
      <c r="P1613" s="2">
        <v>15.86</v>
      </c>
      <c r="Q1613" t="s">
        <v>57</v>
      </c>
    </row>
    <row r="1614" spans="1:17" x14ac:dyDescent="0.2">
      <c r="A1614" t="s">
        <v>1779</v>
      </c>
      <c r="B1614" s="1">
        <v>45851</v>
      </c>
      <c r="C1614" t="s">
        <v>77</v>
      </c>
      <c r="D1614" t="s">
        <v>128</v>
      </c>
      <c r="E1614" t="s">
        <v>159</v>
      </c>
      <c r="F1614" t="s">
        <v>39</v>
      </c>
      <c r="G1614" t="s">
        <v>22</v>
      </c>
      <c r="H1614" t="s">
        <v>31</v>
      </c>
      <c r="I1614" t="s">
        <v>64</v>
      </c>
      <c r="J1614" t="s">
        <v>65</v>
      </c>
      <c r="K1614">
        <v>7</v>
      </c>
      <c r="L1614" s="2">
        <v>63.49</v>
      </c>
      <c r="M1614" s="3">
        <v>0</v>
      </c>
      <c r="N1614" s="2">
        <v>444.43</v>
      </c>
      <c r="O1614" s="2">
        <v>295.24</v>
      </c>
      <c r="P1614" s="2">
        <v>149.19</v>
      </c>
      <c r="Q1614" t="s">
        <v>26</v>
      </c>
    </row>
    <row r="1615" spans="1:17" x14ac:dyDescent="0.2">
      <c r="A1615" t="s">
        <v>1780</v>
      </c>
      <c r="B1615" s="1">
        <v>45852</v>
      </c>
      <c r="C1615" t="s">
        <v>77</v>
      </c>
      <c r="D1615" t="s">
        <v>78</v>
      </c>
      <c r="E1615" t="s">
        <v>261</v>
      </c>
      <c r="F1615" t="s">
        <v>21</v>
      </c>
      <c r="G1615" t="s">
        <v>75</v>
      </c>
      <c r="H1615" t="s">
        <v>31</v>
      </c>
      <c r="I1615" t="s">
        <v>40</v>
      </c>
      <c r="J1615" t="s">
        <v>122</v>
      </c>
      <c r="K1615">
        <v>6</v>
      </c>
      <c r="L1615" s="2">
        <v>95.71</v>
      </c>
      <c r="M1615" s="3">
        <v>0.05</v>
      </c>
      <c r="N1615" s="2">
        <v>545.54999999999995</v>
      </c>
      <c r="O1615" s="2">
        <v>342.55</v>
      </c>
      <c r="P1615" s="2">
        <v>203</v>
      </c>
      <c r="Q1615" t="s">
        <v>26</v>
      </c>
    </row>
    <row r="1616" spans="1:17" x14ac:dyDescent="0.2">
      <c r="A1616" t="s">
        <v>1781</v>
      </c>
      <c r="B1616" s="1">
        <v>45852</v>
      </c>
      <c r="C1616" t="s">
        <v>77</v>
      </c>
      <c r="D1616" t="s">
        <v>78</v>
      </c>
      <c r="E1616" t="s">
        <v>52</v>
      </c>
      <c r="F1616" t="s">
        <v>39</v>
      </c>
      <c r="G1616" t="s">
        <v>22</v>
      </c>
      <c r="H1616" t="s">
        <v>47</v>
      </c>
      <c r="I1616" t="s">
        <v>97</v>
      </c>
      <c r="J1616" t="s">
        <v>98</v>
      </c>
      <c r="K1616">
        <v>8</v>
      </c>
      <c r="L1616" s="2">
        <v>557.6</v>
      </c>
      <c r="M1616" s="3">
        <v>0.1</v>
      </c>
      <c r="N1616" s="2">
        <v>4014.72</v>
      </c>
      <c r="O1616" s="2">
        <v>2450.94</v>
      </c>
      <c r="P1616" s="2">
        <v>1563.78</v>
      </c>
      <c r="Q1616" t="s">
        <v>34</v>
      </c>
    </row>
    <row r="1617" spans="1:17" x14ac:dyDescent="0.2">
      <c r="A1617" t="s">
        <v>1782</v>
      </c>
      <c r="B1617" s="1">
        <v>45852</v>
      </c>
      <c r="C1617" t="s">
        <v>77</v>
      </c>
      <c r="D1617" t="s">
        <v>128</v>
      </c>
      <c r="E1617" t="s">
        <v>159</v>
      </c>
      <c r="F1617" t="s">
        <v>138</v>
      </c>
      <c r="G1617" t="s">
        <v>75</v>
      </c>
      <c r="H1617" t="s">
        <v>47</v>
      </c>
      <c r="I1617" t="s">
        <v>141</v>
      </c>
      <c r="J1617" t="s">
        <v>142</v>
      </c>
      <c r="K1617">
        <v>8</v>
      </c>
      <c r="L1617" s="2">
        <v>375.64</v>
      </c>
      <c r="M1617" s="3">
        <v>0.05</v>
      </c>
      <c r="N1617" s="2">
        <v>2854.86</v>
      </c>
      <c r="O1617" s="2">
        <v>1990.41</v>
      </c>
      <c r="P1617" s="2">
        <v>864.45</v>
      </c>
      <c r="Q1617" t="s">
        <v>61</v>
      </c>
    </row>
    <row r="1618" spans="1:17" x14ac:dyDescent="0.2">
      <c r="A1618" t="s">
        <v>1783</v>
      </c>
      <c r="B1618" s="1">
        <v>45852</v>
      </c>
      <c r="C1618" t="s">
        <v>43</v>
      </c>
      <c r="D1618" t="s">
        <v>161</v>
      </c>
      <c r="E1618" t="s">
        <v>172</v>
      </c>
      <c r="F1618" t="s">
        <v>53</v>
      </c>
      <c r="G1618" t="s">
        <v>75</v>
      </c>
      <c r="H1618" t="s">
        <v>23</v>
      </c>
      <c r="I1618" t="s">
        <v>24</v>
      </c>
      <c r="J1618" t="s">
        <v>108</v>
      </c>
      <c r="K1618">
        <v>4</v>
      </c>
      <c r="L1618" s="2">
        <v>16.010000000000002</v>
      </c>
      <c r="M1618" s="3">
        <v>0.05</v>
      </c>
      <c r="N1618" s="2">
        <v>60.84</v>
      </c>
      <c r="O1618" s="2">
        <v>46.9</v>
      </c>
      <c r="P1618" s="2">
        <v>13.94</v>
      </c>
      <c r="Q1618" t="s">
        <v>26</v>
      </c>
    </row>
    <row r="1619" spans="1:17" x14ac:dyDescent="0.2">
      <c r="A1619" t="s">
        <v>1784</v>
      </c>
      <c r="B1619" s="1">
        <v>45852</v>
      </c>
      <c r="C1619" t="s">
        <v>77</v>
      </c>
      <c r="D1619" t="s">
        <v>78</v>
      </c>
      <c r="E1619" t="s">
        <v>295</v>
      </c>
      <c r="F1619" t="s">
        <v>46</v>
      </c>
      <c r="G1619" t="s">
        <v>75</v>
      </c>
      <c r="H1619" t="s">
        <v>23</v>
      </c>
      <c r="I1619" t="s">
        <v>79</v>
      </c>
      <c r="J1619" t="s">
        <v>179</v>
      </c>
      <c r="K1619">
        <v>9</v>
      </c>
      <c r="L1619" s="2">
        <v>448.38</v>
      </c>
      <c r="M1619" s="3">
        <v>0.15</v>
      </c>
      <c r="N1619" s="2">
        <v>3430.11</v>
      </c>
      <c r="O1619" s="2">
        <v>2246.15</v>
      </c>
      <c r="P1619" s="2">
        <v>1183.96</v>
      </c>
      <c r="Q1619" t="s">
        <v>57</v>
      </c>
    </row>
    <row r="1620" spans="1:17" x14ac:dyDescent="0.2">
      <c r="A1620" t="s">
        <v>1785</v>
      </c>
      <c r="B1620" s="1">
        <v>45853</v>
      </c>
      <c r="C1620" t="s">
        <v>36</v>
      </c>
      <c r="D1620" t="s">
        <v>73</v>
      </c>
      <c r="E1620" t="s">
        <v>74</v>
      </c>
      <c r="F1620" t="s">
        <v>71</v>
      </c>
      <c r="G1620" t="s">
        <v>75</v>
      </c>
      <c r="H1620" t="s">
        <v>31</v>
      </c>
      <c r="I1620" t="s">
        <v>64</v>
      </c>
      <c r="J1620" t="s">
        <v>126</v>
      </c>
      <c r="K1620">
        <v>10</v>
      </c>
      <c r="L1620" s="2">
        <v>99.17</v>
      </c>
      <c r="M1620" s="3">
        <v>0</v>
      </c>
      <c r="N1620" s="2">
        <v>991.7</v>
      </c>
      <c r="O1620" s="2">
        <v>803.41</v>
      </c>
      <c r="P1620" s="2">
        <v>188.29</v>
      </c>
      <c r="Q1620" t="s">
        <v>61</v>
      </c>
    </row>
    <row r="1621" spans="1:17" x14ac:dyDescent="0.2">
      <c r="A1621" t="s">
        <v>1786</v>
      </c>
      <c r="B1621" s="1">
        <v>45853</v>
      </c>
      <c r="C1621" t="s">
        <v>43</v>
      </c>
      <c r="D1621" t="s">
        <v>44</v>
      </c>
      <c r="E1621" t="s">
        <v>147</v>
      </c>
      <c r="F1621" t="s">
        <v>46</v>
      </c>
      <c r="G1621" t="s">
        <v>54</v>
      </c>
      <c r="H1621" t="s">
        <v>31</v>
      </c>
      <c r="I1621" t="s">
        <v>32</v>
      </c>
      <c r="J1621" t="s">
        <v>33</v>
      </c>
      <c r="K1621">
        <v>7</v>
      </c>
      <c r="L1621" s="2">
        <v>1121.97</v>
      </c>
      <c r="M1621" s="3">
        <v>0.1</v>
      </c>
      <c r="N1621" s="2">
        <v>7068.41</v>
      </c>
      <c r="O1621" s="2">
        <v>5793.41</v>
      </c>
      <c r="P1621" s="2">
        <v>1275</v>
      </c>
      <c r="Q1621" t="s">
        <v>61</v>
      </c>
    </row>
    <row r="1622" spans="1:17" x14ac:dyDescent="0.2">
      <c r="A1622" t="s">
        <v>1787</v>
      </c>
      <c r="B1622" s="1">
        <v>45853</v>
      </c>
      <c r="C1622" t="s">
        <v>18</v>
      </c>
      <c r="D1622" t="s">
        <v>86</v>
      </c>
      <c r="E1622" t="s">
        <v>140</v>
      </c>
      <c r="F1622" t="s">
        <v>21</v>
      </c>
      <c r="G1622" t="s">
        <v>75</v>
      </c>
      <c r="H1622" t="s">
        <v>23</v>
      </c>
      <c r="I1622" t="s">
        <v>79</v>
      </c>
      <c r="J1622" t="s">
        <v>80</v>
      </c>
      <c r="K1622">
        <v>3</v>
      </c>
      <c r="L1622" s="2">
        <v>196.56</v>
      </c>
      <c r="M1622" s="3">
        <v>0</v>
      </c>
      <c r="N1622" s="2">
        <v>589.67999999999995</v>
      </c>
      <c r="O1622" s="2">
        <v>435.06</v>
      </c>
      <c r="P1622" s="2">
        <v>154.62</v>
      </c>
      <c r="Q1622" t="s">
        <v>61</v>
      </c>
    </row>
    <row r="1623" spans="1:17" x14ac:dyDescent="0.2">
      <c r="A1623" t="s">
        <v>1788</v>
      </c>
      <c r="B1623" s="1">
        <v>45853</v>
      </c>
      <c r="C1623" t="s">
        <v>43</v>
      </c>
      <c r="D1623" t="s">
        <v>161</v>
      </c>
      <c r="E1623" t="s">
        <v>172</v>
      </c>
      <c r="F1623" t="s">
        <v>46</v>
      </c>
      <c r="G1623" t="s">
        <v>75</v>
      </c>
      <c r="H1623" t="s">
        <v>47</v>
      </c>
      <c r="I1623" t="s">
        <v>89</v>
      </c>
      <c r="J1623" t="s">
        <v>90</v>
      </c>
      <c r="K1623">
        <v>8</v>
      </c>
      <c r="L1623" s="2">
        <v>148.88999999999999</v>
      </c>
      <c r="M1623" s="3">
        <v>0.2</v>
      </c>
      <c r="N1623" s="2">
        <v>952.9</v>
      </c>
      <c r="O1623" s="2">
        <v>713.01</v>
      </c>
      <c r="P1623" s="2">
        <v>239.89</v>
      </c>
      <c r="Q1623" t="s">
        <v>34</v>
      </c>
    </row>
    <row r="1624" spans="1:17" x14ac:dyDescent="0.2">
      <c r="A1624" t="s">
        <v>1789</v>
      </c>
      <c r="B1624" s="1">
        <v>45853</v>
      </c>
      <c r="C1624" t="s">
        <v>43</v>
      </c>
      <c r="D1624" t="s">
        <v>161</v>
      </c>
      <c r="E1624" t="s">
        <v>162</v>
      </c>
      <c r="F1624" t="s">
        <v>39</v>
      </c>
      <c r="G1624" t="s">
        <v>22</v>
      </c>
      <c r="H1624" t="s">
        <v>31</v>
      </c>
      <c r="I1624" t="s">
        <v>32</v>
      </c>
      <c r="J1624" t="s">
        <v>33</v>
      </c>
      <c r="K1624">
        <v>4</v>
      </c>
      <c r="L1624" s="2">
        <v>1115.99</v>
      </c>
      <c r="M1624" s="3">
        <v>0.05</v>
      </c>
      <c r="N1624" s="2">
        <v>4240.76</v>
      </c>
      <c r="O1624" s="2">
        <v>2529.4299999999998</v>
      </c>
      <c r="P1624" s="2">
        <v>1711.33</v>
      </c>
      <c r="Q1624" t="s">
        <v>26</v>
      </c>
    </row>
    <row r="1625" spans="1:17" x14ac:dyDescent="0.2">
      <c r="A1625" t="s">
        <v>1790</v>
      </c>
      <c r="B1625" s="1">
        <v>45853</v>
      </c>
      <c r="C1625" t="s">
        <v>43</v>
      </c>
      <c r="D1625" t="s">
        <v>244</v>
      </c>
      <c r="E1625" t="s">
        <v>300</v>
      </c>
      <c r="F1625" t="s">
        <v>53</v>
      </c>
      <c r="G1625" t="s">
        <v>75</v>
      </c>
      <c r="H1625" t="s">
        <v>47</v>
      </c>
      <c r="I1625" t="s">
        <v>48</v>
      </c>
      <c r="J1625" t="s">
        <v>164</v>
      </c>
      <c r="K1625">
        <v>10</v>
      </c>
      <c r="L1625" s="2">
        <v>685.69</v>
      </c>
      <c r="M1625" s="3">
        <v>0.1</v>
      </c>
      <c r="N1625" s="2">
        <v>6171.21</v>
      </c>
      <c r="O1625" s="2">
        <v>5026.87</v>
      </c>
      <c r="P1625" s="2">
        <v>1144.3399999999999</v>
      </c>
      <c r="Q1625" t="s">
        <v>61</v>
      </c>
    </row>
    <row r="1626" spans="1:17" x14ac:dyDescent="0.2">
      <c r="A1626" t="s">
        <v>1791</v>
      </c>
      <c r="B1626" s="1">
        <v>45853</v>
      </c>
      <c r="C1626" t="s">
        <v>36</v>
      </c>
      <c r="D1626" t="s">
        <v>110</v>
      </c>
      <c r="E1626" t="s">
        <v>203</v>
      </c>
      <c r="F1626" t="s">
        <v>46</v>
      </c>
      <c r="G1626" t="s">
        <v>22</v>
      </c>
      <c r="H1626" t="s">
        <v>23</v>
      </c>
      <c r="I1626" t="s">
        <v>55</v>
      </c>
      <c r="J1626" t="s">
        <v>56</v>
      </c>
      <c r="K1626">
        <v>3</v>
      </c>
      <c r="L1626" s="2">
        <v>19.440000000000001</v>
      </c>
      <c r="M1626" s="3">
        <v>0.15</v>
      </c>
      <c r="N1626" s="2">
        <v>49.57</v>
      </c>
      <c r="O1626" s="2">
        <v>37.78</v>
      </c>
      <c r="P1626" s="2">
        <v>11.79</v>
      </c>
      <c r="Q1626" t="s">
        <v>34</v>
      </c>
    </row>
    <row r="1627" spans="1:17" x14ac:dyDescent="0.2">
      <c r="A1627" t="s">
        <v>1792</v>
      </c>
      <c r="B1627" s="1">
        <v>45853</v>
      </c>
      <c r="C1627" t="s">
        <v>77</v>
      </c>
      <c r="D1627" t="s">
        <v>128</v>
      </c>
      <c r="E1627" t="s">
        <v>129</v>
      </c>
      <c r="F1627" t="s">
        <v>60</v>
      </c>
      <c r="G1627" t="s">
        <v>22</v>
      </c>
      <c r="H1627" t="s">
        <v>47</v>
      </c>
      <c r="I1627" t="s">
        <v>141</v>
      </c>
      <c r="J1627" t="s">
        <v>142</v>
      </c>
      <c r="K1627">
        <v>2</v>
      </c>
      <c r="L1627" s="2">
        <v>548.13</v>
      </c>
      <c r="M1627" s="3">
        <v>0.2</v>
      </c>
      <c r="N1627" s="2">
        <v>877.01</v>
      </c>
      <c r="O1627" s="2">
        <v>642.73</v>
      </c>
      <c r="P1627" s="2">
        <v>234.28</v>
      </c>
      <c r="Q1627" t="s">
        <v>26</v>
      </c>
    </row>
    <row r="1628" spans="1:17" x14ac:dyDescent="0.2">
      <c r="A1628" t="s">
        <v>1793</v>
      </c>
      <c r="B1628" s="1">
        <v>45854</v>
      </c>
      <c r="C1628" t="s">
        <v>36</v>
      </c>
      <c r="D1628" t="s">
        <v>67</v>
      </c>
      <c r="E1628" t="s">
        <v>323</v>
      </c>
      <c r="F1628" t="s">
        <v>39</v>
      </c>
      <c r="G1628" t="s">
        <v>22</v>
      </c>
      <c r="H1628" t="s">
        <v>47</v>
      </c>
      <c r="I1628" t="s">
        <v>89</v>
      </c>
      <c r="J1628" t="s">
        <v>90</v>
      </c>
      <c r="K1628">
        <v>8</v>
      </c>
      <c r="L1628" s="2">
        <v>444.78</v>
      </c>
      <c r="M1628" s="3">
        <v>0.1</v>
      </c>
      <c r="N1628" s="2">
        <v>3202.42</v>
      </c>
      <c r="O1628" s="2">
        <v>2068.1999999999998</v>
      </c>
      <c r="P1628" s="2">
        <v>1134.22</v>
      </c>
      <c r="Q1628" t="s">
        <v>61</v>
      </c>
    </row>
    <row r="1629" spans="1:17" x14ac:dyDescent="0.2">
      <c r="A1629" t="s">
        <v>1794</v>
      </c>
      <c r="B1629" s="1">
        <v>45854</v>
      </c>
      <c r="C1629" t="s">
        <v>77</v>
      </c>
      <c r="D1629" t="s">
        <v>149</v>
      </c>
      <c r="E1629" t="s">
        <v>309</v>
      </c>
      <c r="F1629" t="s">
        <v>138</v>
      </c>
      <c r="G1629" t="s">
        <v>22</v>
      </c>
      <c r="H1629" t="s">
        <v>23</v>
      </c>
      <c r="I1629" t="s">
        <v>79</v>
      </c>
      <c r="J1629" t="s">
        <v>80</v>
      </c>
      <c r="K1629">
        <v>7</v>
      </c>
      <c r="L1629" s="2">
        <v>303.5</v>
      </c>
      <c r="M1629" s="3">
        <v>0.1</v>
      </c>
      <c r="N1629" s="2">
        <v>1912.05</v>
      </c>
      <c r="O1629" s="2">
        <v>1543.29</v>
      </c>
      <c r="P1629" s="2">
        <v>368.76</v>
      </c>
      <c r="Q1629" t="s">
        <v>57</v>
      </c>
    </row>
    <row r="1630" spans="1:17" x14ac:dyDescent="0.2">
      <c r="A1630" t="s">
        <v>1795</v>
      </c>
      <c r="B1630" s="1">
        <v>45854</v>
      </c>
      <c r="C1630" t="s">
        <v>18</v>
      </c>
      <c r="D1630" t="s">
        <v>86</v>
      </c>
      <c r="E1630" t="s">
        <v>140</v>
      </c>
      <c r="F1630" t="s">
        <v>130</v>
      </c>
      <c r="G1630" t="s">
        <v>54</v>
      </c>
      <c r="H1630" t="s">
        <v>31</v>
      </c>
      <c r="I1630" t="s">
        <v>64</v>
      </c>
      <c r="J1630" t="s">
        <v>126</v>
      </c>
      <c r="K1630">
        <v>7</v>
      </c>
      <c r="L1630" s="2">
        <v>91.41</v>
      </c>
      <c r="M1630" s="3">
        <v>0.05</v>
      </c>
      <c r="N1630" s="2">
        <v>607.88</v>
      </c>
      <c r="O1630" s="2">
        <v>440.23</v>
      </c>
      <c r="P1630" s="2">
        <v>167.65</v>
      </c>
      <c r="Q1630" t="s">
        <v>26</v>
      </c>
    </row>
    <row r="1631" spans="1:17" x14ac:dyDescent="0.2">
      <c r="A1631" t="s">
        <v>1796</v>
      </c>
      <c r="B1631" s="1">
        <v>45854</v>
      </c>
      <c r="C1631" t="s">
        <v>77</v>
      </c>
      <c r="D1631" t="s">
        <v>95</v>
      </c>
      <c r="E1631" t="s">
        <v>300</v>
      </c>
      <c r="F1631" t="s">
        <v>30</v>
      </c>
      <c r="G1631" t="s">
        <v>75</v>
      </c>
      <c r="H1631" t="s">
        <v>47</v>
      </c>
      <c r="I1631" t="s">
        <v>89</v>
      </c>
      <c r="J1631" t="s">
        <v>204</v>
      </c>
      <c r="K1631">
        <v>4</v>
      </c>
      <c r="L1631" s="2">
        <v>437.66</v>
      </c>
      <c r="M1631" s="3">
        <v>0</v>
      </c>
      <c r="N1631" s="2">
        <v>1750.64</v>
      </c>
      <c r="O1631" s="2">
        <v>1432.23</v>
      </c>
      <c r="P1631" s="2">
        <v>318.41000000000003</v>
      </c>
      <c r="Q1631" t="s">
        <v>34</v>
      </c>
    </row>
    <row r="1632" spans="1:17" x14ac:dyDescent="0.2">
      <c r="A1632" t="s">
        <v>1797</v>
      </c>
      <c r="B1632" s="1">
        <v>45854</v>
      </c>
      <c r="C1632" t="s">
        <v>43</v>
      </c>
      <c r="D1632" t="s">
        <v>244</v>
      </c>
      <c r="E1632" t="s">
        <v>326</v>
      </c>
      <c r="F1632" t="s">
        <v>71</v>
      </c>
      <c r="G1632" t="s">
        <v>75</v>
      </c>
      <c r="H1632" t="s">
        <v>23</v>
      </c>
      <c r="I1632" t="s">
        <v>79</v>
      </c>
      <c r="J1632" t="s">
        <v>80</v>
      </c>
      <c r="K1632">
        <v>3</v>
      </c>
      <c r="L1632" s="2">
        <v>513.54999999999995</v>
      </c>
      <c r="M1632" s="3">
        <v>0</v>
      </c>
      <c r="N1632" s="2">
        <v>1540.65</v>
      </c>
      <c r="O1632" s="2">
        <v>984.61</v>
      </c>
      <c r="P1632" s="2">
        <v>556.04</v>
      </c>
      <c r="Q1632" t="s">
        <v>26</v>
      </c>
    </row>
    <row r="1633" spans="1:17" x14ac:dyDescent="0.2">
      <c r="A1633" t="s">
        <v>1798</v>
      </c>
      <c r="B1633" s="1">
        <v>45854</v>
      </c>
      <c r="C1633" t="s">
        <v>18</v>
      </c>
      <c r="D1633" t="s">
        <v>28</v>
      </c>
      <c r="E1633" t="s">
        <v>170</v>
      </c>
      <c r="F1633" t="s">
        <v>71</v>
      </c>
      <c r="G1633" t="s">
        <v>22</v>
      </c>
      <c r="H1633" t="s">
        <v>23</v>
      </c>
      <c r="I1633" t="s">
        <v>24</v>
      </c>
      <c r="J1633" t="s">
        <v>108</v>
      </c>
      <c r="K1633">
        <v>9</v>
      </c>
      <c r="L1633" s="2">
        <v>21.72</v>
      </c>
      <c r="M1633" s="3">
        <v>0.15</v>
      </c>
      <c r="N1633" s="2">
        <v>166.16</v>
      </c>
      <c r="O1633" s="2">
        <v>116.98</v>
      </c>
      <c r="P1633" s="2">
        <v>49.18</v>
      </c>
      <c r="Q1633" t="s">
        <v>61</v>
      </c>
    </row>
    <row r="1634" spans="1:17" x14ac:dyDescent="0.2">
      <c r="A1634" t="s">
        <v>1799</v>
      </c>
      <c r="B1634" s="1">
        <v>45854</v>
      </c>
      <c r="C1634" t="s">
        <v>18</v>
      </c>
      <c r="D1634" t="s">
        <v>86</v>
      </c>
      <c r="E1634" t="s">
        <v>92</v>
      </c>
      <c r="F1634" t="s">
        <v>69</v>
      </c>
      <c r="G1634" t="s">
        <v>22</v>
      </c>
      <c r="H1634" t="s">
        <v>23</v>
      </c>
      <c r="I1634" t="s">
        <v>79</v>
      </c>
      <c r="J1634" t="s">
        <v>179</v>
      </c>
      <c r="K1634">
        <v>7</v>
      </c>
      <c r="L1634" s="2">
        <v>262.07</v>
      </c>
      <c r="M1634" s="3">
        <v>0.1</v>
      </c>
      <c r="N1634" s="2">
        <v>1651.04</v>
      </c>
      <c r="O1634" s="2">
        <v>1159.82</v>
      </c>
      <c r="P1634" s="2">
        <v>491.22</v>
      </c>
      <c r="Q1634" t="s">
        <v>57</v>
      </c>
    </row>
    <row r="1635" spans="1:17" x14ac:dyDescent="0.2">
      <c r="A1635" t="s">
        <v>1800</v>
      </c>
      <c r="B1635" s="1">
        <v>45854</v>
      </c>
      <c r="C1635" t="s">
        <v>36</v>
      </c>
      <c r="D1635" t="s">
        <v>144</v>
      </c>
      <c r="E1635" t="s">
        <v>232</v>
      </c>
      <c r="F1635" t="s">
        <v>130</v>
      </c>
      <c r="G1635" t="s">
        <v>75</v>
      </c>
      <c r="H1635" t="s">
        <v>23</v>
      </c>
      <c r="I1635" t="s">
        <v>55</v>
      </c>
      <c r="J1635" t="s">
        <v>173</v>
      </c>
      <c r="K1635">
        <v>10</v>
      </c>
      <c r="L1635" s="2">
        <v>6.48</v>
      </c>
      <c r="M1635" s="3">
        <v>0.05</v>
      </c>
      <c r="N1635" s="2">
        <v>61.56</v>
      </c>
      <c r="O1635" s="2">
        <v>39.479999999999997</v>
      </c>
      <c r="P1635" s="2">
        <v>22.08</v>
      </c>
      <c r="Q1635" t="s">
        <v>61</v>
      </c>
    </row>
    <row r="1636" spans="1:17" x14ac:dyDescent="0.2">
      <c r="A1636" t="s">
        <v>1801</v>
      </c>
      <c r="B1636" s="1">
        <v>45854</v>
      </c>
      <c r="C1636" t="s">
        <v>18</v>
      </c>
      <c r="D1636" t="s">
        <v>133</v>
      </c>
      <c r="E1636" t="s">
        <v>226</v>
      </c>
      <c r="F1636" t="s">
        <v>60</v>
      </c>
      <c r="G1636" t="s">
        <v>22</v>
      </c>
      <c r="H1636" t="s">
        <v>31</v>
      </c>
      <c r="I1636" t="s">
        <v>32</v>
      </c>
      <c r="J1636" t="s">
        <v>258</v>
      </c>
      <c r="K1636">
        <v>10</v>
      </c>
      <c r="L1636" s="2">
        <v>1736.53</v>
      </c>
      <c r="M1636" s="3">
        <v>0</v>
      </c>
      <c r="N1636" s="2">
        <v>17365.3</v>
      </c>
      <c r="O1636" s="2">
        <v>10392.469999999999</v>
      </c>
      <c r="P1636" s="2">
        <v>6972.83</v>
      </c>
      <c r="Q1636" t="s">
        <v>34</v>
      </c>
    </row>
    <row r="1637" spans="1:17" x14ac:dyDescent="0.2">
      <c r="A1637" t="s">
        <v>1802</v>
      </c>
      <c r="B1637" s="1">
        <v>45854</v>
      </c>
      <c r="C1637" t="s">
        <v>77</v>
      </c>
      <c r="D1637" t="s">
        <v>78</v>
      </c>
      <c r="E1637" t="s">
        <v>52</v>
      </c>
      <c r="F1637" t="s">
        <v>21</v>
      </c>
      <c r="G1637" t="s">
        <v>75</v>
      </c>
      <c r="H1637" t="s">
        <v>31</v>
      </c>
      <c r="I1637" t="s">
        <v>64</v>
      </c>
      <c r="J1637" t="s">
        <v>65</v>
      </c>
      <c r="K1637">
        <v>7</v>
      </c>
      <c r="L1637" s="2">
        <v>56.71</v>
      </c>
      <c r="M1637" s="3">
        <v>0.1</v>
      </c>
      <c r="N1637" s="2">
        <v>357.27</v>
      </c>
      <c r="O1637" s="2">
        <v>235.55</v>
      </c>
      <c r="P1637" s="2">
        <v>121.72</v>
      </c>
      <c r="Q1637" t="s">
        <v>26</v>
      </c>
    </row>
    <row r="1638" spans="1:17" x14ac:dyDescent="0.2">
      <c r="A1638" t="s">
        <v>1803</v>
      </c>
      <c r="B1638" s="1">
        <v>45855</v>
      </c>
      <c r="C1638" t="s">
        <v>43</v>
      </c>
      <c r="D1638" t="s">
        <v>44</v>
      </c>
      <c r="E1638" t="s">
        <v>147</v>
      </c>
      <c r="F1638" t="s">
        <v>60</v>
      </c>
      <c r="G1638" t="s">
        <v>22</v>
      </c>
      <c r="H1638" t="s">
        <v>31</v>
      </c>
      <c r="I1638" t="s">
        <v>32</v>
      </c>
      <c r="J1638" t="s">
        <v>258</v>
      </c>
      <c r="K1638">
        <v>10</v>
      </c>
      <c r="L1638" s="2">
        <v>648.29</v>
      </c>
      <c r="M1638" s="3">
        <v>0.1</v>
      </c>
      <c r="N1638" s="2">
        <v>5834.61</v>
      </c>
      <c r="O1638" s="2">
        <v>4429.71</v>
      </c>
      <c r="P1638" s="2">
        <v>1404.9</v>
      </c>
      <c r="Q1638" t="s">
        <v>26</v>
      </c>
    </row>
    <row r="1639" spans="1:17" x14ac:dyDescent="0.2">
      <c r="A1639" t="s">
        <v>1804</v>
      </c>
      <c r="B1639" s="1">
        <v>45855</v>
      </c>
      <c r="C1639" t="s">
        <v>77</v>
      </c>
      <c r="D1639" t="s">
        <v>128</v>
      </c>
      <c r="E1639" t="s">
        <v>129</v>
      </c>
      <c r="F1639" t="s">
        <v>30</v>
      </c>
      <c r="G1639" t="s">
        <v>75</v>
      </c>
      <c r="H1639" t="s">
        <v>23</v>
      </c>
      <c r="I1639" t="s">
        <v>83</v>
      </c>
      <c r="J1639" t="s">
        <v>131</v>
      </c>
      <c r="K1639">
        <v>6</v>
      </c>
      <c r="L1639" s="2">
        <v>24.75</v>
      </c>
      <c r="M1639" s="3">
        <v>0.15</v>
      </c>
      <c r="N1639" s="2">
        <v>126.22</v>
      </c>
      <c r="O1639" s="2">
        <v>98</v>
      </c>
      <c r="P1639" s="2">
        <v>28.22</v>
      </c>
      <c r="Q1639" t="s">
        <v>34</v>
      </c>
    </row>
    <row r="1640" spans="1:17" x14ac:dyDescent="0.2">
      <c r="A1640" t="s">
        <v>1805</v>
      </c>
      <c r="B1640" s="1">
        <v>45855</v>
      </c>
      <c r="C1640" t="s">
        <v>18</v>
      </c>
      <c r="D1640" t="s">
        <v>28</v>
      </c>
      <c r="E1640" t="s">
        <v>29</v>
      </c>
      <c r="F1640" t="s">
        <v>138</v>
      </c>
      <c r="G1640" t="s">
        <v>75</v>
      </c>
      <c r="H1640" t="s">
        <v>47</v>
      </c>
      <c r="I1640" t="s">
        <v>141</v>
      </c>
      <c r="J1640" t="s">
        <v>142</v>
      </c>
      <c r="K1640">
        <v>10</v>
      </c>
      <c r="L1640" s="2">
        <v>339.99</v>
      </c>
      <c r="M1640" s="3">
        <v>0.15</v>
      </c>
      <c r="N1640" s="2">
        <v>2889.92</v>
      </c>
      <c r="O1640" s="2">
        <v>2144.64</v>
      </c>
      <c r="P1640" s="2">
        <v>745.28</v>
      </c>
      <c r="Q1640" t="s">
        <v>57</v>
      </c>
    </row>
    <row r="1641" spans="1:17" x14ac:dyDescent="0.2">
      <c r="A1641" t="s">
        <v>1806</v>
      </c>
      <c r="B1641" s="1">
        <v>45855</v>
      </c>
      <c r="C1641" t="s">
        <v>77</v>
      </c>
      <c r="D1641" t="s">
        <v>95</v>
      </c>
      <c r="E1641" t="s">
        <v>367</v>
      </c>
      <c r="F1641" t="s">
        <v>46</v>
      </c>
      <c r="G1641" t="s">
        <v>22</v>
      </c>
      <c r="H1641" t="s">
        <v>31</v>
      </c>
      <c r="I1641" t="s">
        <v>40</v>
      </c>
      <c r="J1641" t="s">
        <v>41</v>
      </c>
      <c r="K1641">
        <v>8</v>
      </c>
      <c r="L1641" s="2">
        <v>245.13</v>
      </c>
      <c r="M1641" s="3">
        <v>0.1</v>
      </c>
      <c r="N1641" s="2">
        <v>1764.94</v>
      </c>
      <c r="O1641" s="2">
        <v>1269.92</v>
      </c>
      <c r="P1641" s="2">
        <v>495.02</v>
      </c>
      <c r="Q1641" t="s">
        <v>61</v>
      </c>
    </row>
    <row r="1642" spans="1:17" x14ac:dyDescent="0.2">
      <c r="A1642" t="s">
        <v>1807</v>
      </c>
      <c r="B1642" s="1">
        <v>45855</v>
      </c>
      <c r="C1642" t="s">
        <v>36</v>
      </c>
      <c r="D1642" t="s">
        <v>110</v>
      </c>
      <c r="E1642" t="s">
        <v>115</v>
      </c>
      <c r="F1642" t="s">
        <v>30</v>
      </c>
      <c r="G1642" t="s">
        <v>75</v>
      </c>
      <c r="H1642" t="s">
        <v>23</v>
      </c>
      <c r="I1642" t="s">
        <v>55</v>
      </c>
      <c r="J1642" t="s">
        <v>56</v>
      </c>
      <c r="K1642">
        <v>6</v>
      </c>
      <c r="L1642" s="2">
        <v>24.94</v>
      </c>
      <c r="M1642" s="3">
        <v>0.05</v>
      </c>
      <c r="N1642" s="2">
        <v>142.16</v>
      </c>
      <c r="O1642" s="2">
        <v>109.78</v>
      </c>
      <c r="P1642" s="2">
        <v>32.380000000000003</v>
      </c>
      <c r="Q1642" t="s">
        <v>57</v>
      </c>
    </row>
    <row r="1643" spans="1:17" x14ac:dyDescent="0.2">
      <c r="A1643" t="s">
        <v>1808</v>
      </c>
      <c r="B1643" s="1">
        <v>45856</v>
      </c>
      <c r="C1643" t="s">
        <v>18</v>
      </c>
      <c r="D1643" t="s">
        <v>28</v>
      </c>
      <c r="E1643" t="s">
        <v>170</v>
      </c>
      <c r="F1643" t="s">
        <v>39</v>
      </c>
      <c r="G1643" t="s">
        <v>22</v>
      </c>
      <c r="H1643" t="s">
        <v>23</v>
      </c>
      <c r="I1643" t="s">
        <v>79</v>
      </c>
      <c r="J1643" t="s">
        <v>179</v>
      </c>
      <c r="K1643">
        <v>10</v>
      </c>
      <c r="L1643" s="2">
        <v>527.96</v>
      </c>
      <c r="M1643" s="3">
        <v>0</v>
      </c>
      <c r="N1643" s="2">
        <v>5279.6</v>
      </c>
      <c r="O1643" s="2">
        <v>3687.29</v>
      </c>
      <c r="P1643" s="2">
        <v>1592.31</v>
      </c>
      <c r="Q1643" t="s">
        <v>34</v>
      </c>
    </row>
    <row r="1644" spans="1:17" x14ac:dyDescent="0.2">
      <c r="A1644" t="s">
        <v>1809</v>
      </c>
      <c r="B1644" s="1">
        <v>45856</v>
      </c>
      <c r="C1644" t="s">
        <v>77</v>
      </c>
      <c r="D1644" t="s">
        <v>128</v>
      </c>
      <c r="E1644" t="s">
        <v>155</v>
      </c>
      <c r="F1644" t="s">
        <v>46</v>
      </c>
      <c r="G1644" t="s">
        <v>22</v>
      </c>
      <c r="H1644" t="s">
        <v>31</v>
      </c>
      <c r="I1644" t="s">
        <v>64</v>
      </c>
      <c r="J1644" t="s">
        <v>126</v>
      </c>
      <c r="K1644">
        <v>8</v>
      </c>
      <c r="L1644" s="2">
        <v>101.55</v>
      </c>
      <c r="M1644" s="3">
        <v>0.05</v>
      </c>
      <c r="N1644" s="2">
        <v>771.78</v>
      </c>
      <c r="O1644" s="2">
        <v>510.47</v>
      </c>
      <c r="P1644" s="2">
        <v>261.31</v>
      </c>
      <c r="Q1644" t="s">
        <v>61</v>
      </c>
    </row>
    <row r="1645" spans="1:17" x14ac:dyDescent="0.2">
      <c r="A1645" t="s">
        <v>1810</v>
      </c>
      <c r="B1645" s="1">
        <v>45856</v>
      </c>
      <c r="C1645" t="s">
        <v>77</v>
      </c>
      <c r="D1645" t="s">
        <v>95</v>
      </c>
      <c r="E1645" t="s">
        <v>96</v>
      </c>
      <c r="F1645" t="s">
        <v>30</v>
      </c>
      <c r="G1645" t="s">
        <v>22</v>
      </c>
      <c r="H1645" t="s">
        <v>47</v>
      </c>
      <c r="I1645" t="s">
        <v>97</v>
      </c>
      <c r="J1645" t="s">
        <v>98</v>
      </c>
      <c r="K1645">
        <v>4</v>
      </c>
      <c r="L1645" s="2">
        <v>491.99</v>
      </c>
      <c r="M1645" s="3">
        <v>0.15</v>
      </c>
      <c r="N1645" s="2">
        <v>1672.77</v>
      </c>
      <c r="O1645" s="2">
        <v>1015.26</v>
      </c>
      <c r="P1645" s="2">
        <v>657.51</v>
      </c>
      <c r="Q1645" t="s">
        <v>26</v>
      </c>
    </row>
    <row r="1646" spans="1:17" x14ac:dyDescent="0.2">
      <c r="A1646" t="s">
        <v>1811</v>
      </c>
      <c r="B1646" s="1">
        <v>45856</v>
      </c>
      <c r="C1646" t="s">
        <v>36</v>
      </c>
      <c r="D1646" t="s">
        <v>110</v>
      </c>
      <c r="E1646" t="s">
        <v>111</v>
      </c>
      <c r="F1646" t="s">
        <v>30</v>
      </c>
      <c r="G1646" t="s">
        <v>22</v>
      </c>
      <c r="H1646" t="s">
        <v>47</v>
      </c>
      <c r="I1646" t="s">
        <v>141</v>
      </c>
      <c r="J1646" t="s">
        <v>201</v>
      </c>
      <c r="K1646">
        <v>10</v>
      </c>
      <c r="L1646" s="2">
        <v>432.25</v>
      </c>
      <c r="M1646" s="3">
        <v>0</v>
      </c>
      <c r="N1646" s="2">
        <v>4322.5</v>
      </c>
      <c r="O1646" s="2">
        <v>3356.52</v>
      </c>
      <c r="P1646" s="2">
        <v>965.98</v>
      </c>
      <c r="Q1646" t="s">
        <v>57</v>
      </c>
    </row>
    <row r="1647" spans="1:17" x14ac:dyDescent="0.2">
      <c r="A1647" t="s">
        <v>1812</v>
      </c>
      <c r="B1647" s="1">
        <v>45856</v>
      </c>
      <c r="C1647" t="s">
        <v>77</v>
      </c>
      <c r="D1647" t="s">
        <v>78</v>
      </c>
      <c r="E1647" t="s">
        <v>261</v>
      </c>
      <c r="F1647" t="s">
        <v>46</v>
      </c>
      <c r="G1647" t="s">
        <v>22</v>
      </c>
      <c r="H1647" t="s">
        <v>31</v>
      </c>
      <c r="I1647" t="s">
        <v>112</v>
      </c>
      <c r="J1647" t="s">
        <v>136</v>
      </c>
      <c r="K1647">
        <v>6</v>
      </c>
      <c r="L1647" s="2">
        <v>610.67999999999995</v>
      </c>
      <c r="M1647" s="3">
        <v>0</v>
      </c>
      <c r="N1647" s="2">
        <v>3664.08</v>
      </c>
      <c r="O1647" s="2">
        <v>2680.76</v>
      </c>
      <c r="P1647" s="2">
        <v>983.32</v>
      </c>
      <c r="Q1647" t="s">
        <v>57</v>
      </c>
    </row>
    <row r="1648" spans="1:17" x14ac:dyDescent="0.2">
      <c r="A1648" t="s">
        <v>1813</v>
      </c>
      <c r="B1648" s="1">
        <v>45856</v>
      </c>
      <c r="C1648" t="s">
        <v>36</v>
      </c>
      <c r="D1648" t="s">
        <v>67</v>
      </c>
      <c r="E1648" t="s">
        <v>323</v>
      </c>
      <c r="F1648" t="s">
        <v>39</v>
      </c>
      <c r="G1648" t="s">
        <v>75</v>
      </c>
      <c r="H1648" t="s">
        <v>23</v>
      </c>
      <c r="I1648" t="s">
        <v>55</v>
      </c>
      <c r="J1648" t="s">
        <v>56</v>
      </c>
      <c r="K1648">
        <v>2</v>
      </c>
      <c r="L1648" s="2">
        <v>15.63</v>
      </c>
      <c r="M1648" s="3">
        <v>0</v>
      </c>
      <c r="N1648" s="2">
        <v>31.26</v>
      </c>
      <c r="O1648" s="2">
        <v>17.760000000000002</v>
      </c>
      <c r="P1648" s="2">
        <v>13.5</v>
      </c>
      <c r="Q1648" t="s">
        <v>34</v>
      </c>
    </row>
    <row r="1649" spans="1:17" x14ac:dyDescent="0.2">
      <c r="A1649" t="s">
        <v>1814</v>
      </c>
      <c r="B1649" s="1">
        <v>45856</v>
      </c>
      <c r="C1649" t="s">
        <v>36</v>
      </c>
      <c r="D1649" t="s">
        <v>110</v>
      </c>
      <c r="E1649" t="s">
        <v>115</v>
      </c>
      <c r="F1649" t="s">
        <v>39</v>
      </c>
      <c r="G1649" t="s">
        <v>75</v>
      </c>
      <c r="H1649" t="s">
        <v>31</v>
      </c>
      <c r="I1649" t="s">
        <v>32</v>
      </c>
      <c r="J1649" t="s">
        <v>258</v>
      </c>
      <c r="K1649">
        <v>4</v>
      </c>
      <c r="L1649" s="2">
        <v>1658.91</v>
      </c>
      <c r="M1649" s="3">
        <v>0</v>
      </c>
      <c r="N1649" s="2">
        <v>6635.64</v>
      </c>
      <c r="O1649" s="2">
        <v>4753.5</v>
      </c>
      <c r="P1649" s="2">
        <v>1882.14</v>
      </c>
      <c r="Q1649" t="s">
        <v>57</v>
      </c>
    </row>
    <row r="1650" spans="1:17" x14ac:dyDescent="0.2">
      <c r="A1650" t="s">
        <v>1815</v>
      </c>
      <c r="B1650" s="1">
        <v>45856</v>
      </c>
      <c r="C1650" t="s">
        <v>18</v>
      </c>
      <c r="D1650" t="s">
        <v>133</v>
      </c>
      <c r="E1650" t="s">
        <v>226</v>
      </c>
      <c r="F1650" t="s">
        <v>138</v>
      </c>
      <c r="G1650" t="s">
        <v>22</v>
      </c>
      <c r="H1650" t="s">
        <v>31</v>
      </c>
      <c r="I1650" t="s">
        <v>64</v>
      </c>
      <c r="J1650" t="s">
        <v>126</v>
      </c>
      <c r="K1650">
        <v>6</v>
      </c>
      <c r="L1650" s="2">
        <v>69.569999999999993</v>
      </c>
      <c r="M1650" s="3">
        <v>0.1</v>
      </c>
      <c r="N1650" s="2">
        <v>375.68</v>
      </c>
      <c r="O1650" s="2">
        <v>231</v>
      </c>
      <c r="P1650" s="2">
        <v>144.68</v>
      </c>
      <c r="Q1650" t="s">
        <v>34</v>
      </c>
    </row>
    <row r="1651" spans="1:17" x14ac:dyDescent="0.2">
      <c r="A1651" t="s">
        <v>1816</v>
      </c>
      <c r="B1651" s="1">
        <v>45856</v>
      </c>
      <c r="C1651" t="s">
        <v>36</v>
      </c>
      <c r="D1651" t="s">
        <v>37</v>
      </c>
      <c r="E1651" t="s">
        <v>38</v>
      </c>
      <c r="F1651" t="s">
        <v>21</v>
      </c>
      <c r="G1651" t="s">
        <v>75</v>
      </c>
      <c r="H1651" t="s">
        <v>47</v>
      </c>
      <c r="I1651" t="s">
        <v>97</v>
      </c>
      <c r="J1651" t="s">
        <v>98</v>
      </c>
      <c r="K1651">
        <v>9</v>
      </c>
      <c r="L1651" s="2">
        <v>352.33</v>
      </c>
      <c r="M1651" s="3">
        <v>0.15</v>
      </c>
      <c r="N1651" s="2">
        <v>2695.32</v>
      </c>
      <c r="O1651" s="2">
        <v>1931.65</v>
      </c>
      <c r="P1651" s="2">
        <v>763.67</v>
      </c>
      <c r="Q1651" t="s">
        <v>34</v>
      </c>
    </row>
    <row r="1652" spans="1:17" x14ac:dyDescent="0.2">
      <c r="A1652" t="s">
        <v>1817</v>
      </c>
      <c r="B1652" s="1">
        <v>45856</v>
      </c>
      <c r="C1652" t="s">
        <v>18</v>
      </c>
      <c r="D1652" t="s">
        <v>133</v>
      </c>
      <c r="E1652" t="s">
        <v>226</v>
      </c>
      <c r="F1652" t="s">
        <v>60</v>
      </c>
      <c r="G1652" t="s">
        <v>22</v>
      </c>
      <c r="H1652" t="s">
        <v>47</v>
      </c>
      <c r="I1652" t="s">
        <v>141</v>
      </c>
      <c r="J1652" t="s">
        <v>201</v>
      </c>
      <c r="K1652">
        <v>2</v>
      </c>
      <c r="L1652" s="2">
        <v>187.26</v>
      </c>
      <c r="M1652" s="3">
        <v>0.15</v>
      </c>
      <c r="N1652" s="2">
        <v>318.33999999999997</v>
      </c>
      <c r="O1652" s="2">
        <v>184.21</v>
      </c>
      <c r="P1652" s="2">
        <v>134.13</v>
      </c>
      <c r="Q1652" t="s">
        <v>26</v>
      </c>
    </row>
    <row r="1653" spans="1:17" x14ac:dyDescent="0.2">
      <c r="A1653" t="s">
        <v>1818</v>
      </c>
      <c r="B1653" s="1">
        <v>45857</v>
      </c>
      <c r="C1653" t="s">
        <v>18</v>
      </c>
      <c r="D1653" t="s">
        <v>133</v>
      </c>
      <c r="E1653" t="s">
        <v>134</v>
      </c>
      <c r="F1653" t="s">
        <v>71</v>
      </c>
      <c r="G1653" t="s">
        <v>22</v>
      </c>
      <c r="H1653" t="s">
        <v>23</v>
      </c>
      <c r="I1653" t="s">
        <v>24</v>
      </c>
      <c r="J1653" t="s">
        <v>220</v>
      </c>
      <c r="K1653">
        <v>8</v>
      </c>
      <c r="L1653" s="2">
        <v>6.41</v>
      </c>
      <c r="M1653" s="3">
        <v>0</v>
      </c>
      <c r="N1653" s="2">
        <v>51.28</v>
      </c>
      <c r="O1653" s="2">
        <v>33.85</v>
      </c>
      <c r="P1653" s="2">
        <v>17.43</v>
      </c>
      <c r="Q1653" t="s">
        <v>34</v>
      </c>
    </row>
    <row r="1654" spans="1:17" x14ac:dyDescent="0.2">
      <c r="A1654" t="s">
        <v>1819</v>
      </c>
      <c r="B1654" s="1">
        <v>45857</v>
      </c>
      <c r="C1654" t="s">
        <v>36</v>
      </c>
      <c r="D1654" t="s">
        <v>73</v>
      </c>
      <c r="E1654" t="s">
        <v>247</v>
      </c>
      <c r="F1654" t="s">
        <v>46</v>
      </c>
      <c r="G1654" t="s">
        <v>54</v>
      </c>
      <c r="H1654" t="s">
        <v>31</v>
      </c>
      <c r="I1654" t="s">
        <v>32</v>
      </c>
      <c r="J1654" t="s">
        <v>258</v>
      </c>
      <c r="K1654">
        <v>5</v>
      </c>
      <c r="L1654" s="2">
        <v>1030.1099999999999</v>
      </c>
      <c r="M1654" s="3">
        <v>0</v>
      </c>
      <c r="N1654" s="2">
        <v>5150.55</v>
      </c>
      <c r="O1654" s="2">
        <v>3911.24</v>
      </c>
      <c r="P1654" s="2">
        <v>1239.31</v>
      </c>
      <c r="Q1654" t="s">
        <v>61</v>
      </c>
    </row>
    <row r="1655" spans="1:17" x14ac:dyDescent="0.2">
      <c r="A1655" t="s">
        <v>1820</v>
      </c>
      <c r="B1655" s="1">
        <v>45857</v>
      </c>
      <c r="C1655" t="s">
        <v>77</v>
      </c>
      <c r="D1655" t="s">
        <v>128</v>
      </c>
      <c r="E1655" t="s">
        <v>159</v>
      </c>
      <c r="F1655" t="s">
        <v>138</v>
      </c>
      <c r="G1655" t="s">
        <v>75</v>
      </c>
      <c r="H1655" t="s">
        <v>47</v>
      </c>
      <c r="I1655" t="s">
        <v>141</v>
      </c>
      <c r="J1655" t="s">
        <v>201</v>
      </c>
      <c r="K1655">
        <v>1</v>
      </c>
      <c r="L1655" s="2">
        <v>488.7</v>
      </c>
      <c r="M1655" s="3">
        <v>0</v>
      </c>
      <c r="N1655" s="2">
        <v>488.7</v>
      </c>
      <c r="O1655" s="2">
        <v>318.37</v>
      </c>
      <c r="P1655" s="2">
        <v>170.33</v>
      </c>
      <c r="Q1655" t="s">
        <v>61</v>
      </c>
    </row>
    <row r="1656" spans="1:17" x14ac:dyDescent="0.2">
      <c r="A1656" t="s">
        <v>1821</v>
      </c>
      <c r="B1656" s="1">
        <v>45857</v>
      </c>
      <c r="C1656" t="s">
        <v>36</v>
      </c>
      <c r="D1656" t="s">
        <v>73</v>
      </c>
      <c r="E1656" t="s">
        <v>247</v>
      </c>
      <c r="F1656" t="s">
        <v>69</v>
      </c>
      <c r="G1656" t="s">
        <v>75</v>
      </c>
      <c r="H1656" t="s">
        <v>47</v>
      </c>
      <c r="I1656" t="s">
        <v>48</v>
      </c>
      <c r="J1656" t="s">
        <v>49</v>
      </c>
      <c r="K1656">
        <v>5</v>
      </c>
      <c r="L1656" s="2">
        <v>637.65</v>
      </c>
      <c r="M1656" s="3">
        <v>0.15</v>
      </c>
      <c r="N1656" s="2">
        <v>2710.01</v>
      </c>
      <c r="O1656" s="2">
        <v>2099.2800000000002</v>
      </c>
      <c r="P1656" s="2">
        <v>610.73</v>
      </c>
      <c r="Q1656" t="s">
        <v>61</v>
      </c>
    </row>
    <row r="1657" spans="1:17" x14ac:dyDescent="0.2">
      <c r="A1657" t="s">
        <v>1822</v>
      </c>
      <c r="B1657" s="1">
        <v>45857</v>
      </c>
      <c r="C1657" t="s">
        <v>36</v>
      </c>
      <c r="D1657" t="s">
        <v>110</v>
      </c>
      <c r="E1657" t="s">
        <v>111</v>
      </c>
      <c r="F1657" t="s">
        <v>60</v>
      </c>
      <c r="G1657" t="s">
        <v>54</v>
      </c>
      <c r="H1657" t="s">
        <v>31</v>
      </c>
      <c r="I1657" t="s">
        <v>32</v>
      </c>
      <c r="J1657" t="s">
        <v>104</v>
      </c>
      <c r="K1657">
        <v>2</v>
      </c>
      <c r="L1657" s="2">
        <v>1334.38</v>
      </c>
      <c r="M1657" s="3">
        <v>0.15</v>
      </c>
      <c r="N1657" s="2">
        <v>2268.4499999999998</v>
      </c>
      <c r="O1657" s="2">
        <v>1815.84</v>
      </c>
      <c r="P1657" s="2">
        <v>452.61</v>
      </c>
      <c r="Q1657" t="s">
        <v>26</v>
      </c>
    </row>
    <row r="1658" spans="1:17" x14ac:dyDescent="0.2">
      <c r="A1658" t="s">
        <v>1823</v>
      </c>
      <c r="B1658" s="1">
        <v>45857</v>
      </c>
      <c r="C1658" t="s">
        <v>77</v>
      </c>
      <c r="D1658" t="s">
        <v>78</v>
      </c>
      <c r="E1658" t="s">
        <v>52</v>
      </c>
      <c r="F1658" t="s">
        <v>138</v>
      </c>
      <c r="G1658" t="s">
        <v>54</v>
      </c>
      <c r="H1658" t="s">
        <v>31</v>
      </c>
      <c r="I1658" t="s">
        <v>32</v>
      </c>
      <c r="J1658" t="s">
        <v>258</v>
      </c>
      <c r="K1658">
        <v>4</v>
      </c>
      <c r="L1658" s="2">
        <v>1700.96</v>
      </c>
      <c r="M1658" s="3">
        <v>0.15</v>
      </c>
      <c r="N1658" s="2">
        <v>5783.26</v>
      </c>
      <c r="O1658" s="2">
        <v>4196.46</v>
      </c>
      <c r="P1658" s="2">
        <v>1586.8</v>
      </c>
      <c r="Q1658" t="s">
        <v>34</v>
      </c>
    </row>
    <row r="1659" spans="1:17" x14ac:dyDescent="0.2">
      <c r="A1659" t="s">
        <v>1824</v>
      </c>
      <c r="B1659" s="1">
        <v>45857</v>
      </c>
      <c r="C1659" t="s">
        <v>18</v>
      </c>
      <c r="D1659" t="s">
        <v>28</v>
      </c>
      <c r="E1659" t="s">
        <v>157</v>
      </c>
      <c r="F1659" t="s">
        <v>130</v>
      </c>
      <c r="G1659" t="s">
        <v>54</v>
      </c>
      <c r="H1659" t="s">
        <v>47</v>
      </c>
      <c r="I1659" t="s">
        <v>97</v>
      </c>
      <c r="J1659" t="s">
        <v>168</v>
      </c>
      <c r="K1659">
        <v>6</v>
      </c>
      <c r="L1659" s="2">
        <v>233.89</v>
      </c>
      <c r="M1659" s="3">
        <v>0.15</v>
      </c>
      <c r="N1659" s="2">
        <v>1192.8399999999999</v>
      </c>
      <c r="O1659" s="2">
        <v>870.49</v>
      </c>
      <c r="P1659" s="2">
        <v>322.35000000000002</v>
      </c>
      <c r="Q1659" t="s">
        <v>57</v>
      </c>
    </row>
    <row r="1660" spans="1:17" x14ac:dyDescent="0.2">
      <c r="A1660" t="s">
        <v>1825</v>
      </c>
      <c r="B1660" s="1">
        <v>45858</v>
      </c>
      <c r="C1660" t="s">
        <v>43</v>
      </c>
      <c r="D1660" t="s">
        <v>208</v>
      </c>
      <c r="E1660" t="s">
        <v>209</v>
      </c>
      <c r="F1660" t="s">
        <v>53</v>
      </c>
      <c r="G1660" t="s">
        <v>22</v>
      </c>
      <c r="H1660" t="s">
        <v>47</v>
      </c>
      <c r="I1660" t="s">
        <v>89</v>
      </c>
      <c r="J1660" t="s">
        <v>240</v>
      </c>
      <c r="K1660">
        <v>1</v>
      </c>
      <c r="L1660" s="2">
        <v>204.09</v>
      </c>
      <c r="M1660" s="3">
        <v>0.1</v>
      </c>
      <c r="N1660" s="2">
        <v>183.68</v>
      </c>
      <c r="O1660" s="2">
        <v>146.1</v>
      </c>
      <c r="P1660" s="2">
        <v>37.58</v>
      </c>
      <c r="Q1660" t="s">
        <v>61</v>
      </c>
    </row>
    <row r="1661" spans="1:17" x14ac:dyDescent="0.2">
      <c r="A1661" t="s">
        <v>1826</v>
      </c>
      <c r="B1661" s="1">
        <v>45858</v>
      </c>
      <c r="C1661" t="s">
        <v>36</v>
      </c>
      <c r="D1661" t="s">
        <v>67</v>
      </c>
      <c r="E1661" t="s">
        <v>323</v>
      </c>
      <c r="F1661" t="s">
        <v>53</v>
      </c>
      <c r="G1661" t="s">
        <v>75</v>
      </c>
      <c r="H1661" t="s">
        <v>23</v>
      </c>
      <c r="I1661" t="s">
        <v>83</v>
      </c>
      <c r="J1661" t="s">
        <v>84</v>
      </c>
      <c r="K1661">
        <v>3</v>
      </c>
      <c r="L1661" s="2">
        <v>14.21</v>
      </c>
      <c r="M1661" s="3">
        <v>0.15</v>
      </c>
      <c r="N1661" s="2">
        <v>36.24</v>
      </c>
      <c r="O1661" s="2">
        <v>23.23</v>
      </c>
      <c r="P1661" s="2">
        <v>13.01</v>
      </c>
      <c r="Q1661" t="s">
        <v>57</v>
      </c>
    </row>
    <row r="1662" spans="1:17" x14ac:dyDescent="0.2">
      <c r="A1662" t="s">
        <v>1827</v>
      </c>
      <c r="B1662" s="1">
        <v>45858</v>
      </c>
      <c r="C1662" t="s">
        <v>43</v>
      </c>
      <c r="D1662" t="s">
        <v>44</v>
      </c>
      <c r="E1662" t="s">
        <v>147</v>
      </c>
      <c r="F1662" t="s">
        <v>71</v>
      </c>
      <c r="G1662" t="s">
        <v>22</v>
      </c>
      <c r="H1662" t="s">
        <v>47</v>
      </c>
      <c r="I1662" t="s">
        <v>48</v>
      </c>
      <c r="J1662" t="s">
        <v>93</v>
      </c>
      <c r="K1662">
        <v>5</v>
      </c>
      <c r="L1662" s="2">
        <v>646.64</v>
      </c>
      <c r="M1662" s="3">
        <v>0.05</v>
      </c>
      <c r="N1662" s="2">
        <v>3071.54</v>
      </c>
      <c r="O1662" s="2">
        <v>1719.53</v>
      </c>
      <c r="P1662" s="2">
        <v>1352.01</v>
      </c>
      <c r="Q1662" t="s">
        <v>57</v>
      </c>
    </row>
    <row r="1663" spans="1:17" x14ac:dyDescent="0.2">
      <c r="A1663" t="s">
        <v>1828</v>
      </c>
      <c r="B1663" s="1">
        <v>45858</v>
      </c>
      <c r="C1663" t="s">
        <v>77</v>
      </c>
      <c r="D1663" t="s">
        <v>95</v>
      </c>
      <c r="E1663" t="s">
        <v>96</v>
      </c>
      <c r="F1663" t="s">
        <v>69</v>
      </c>
      <c r="G1663" t="s">
        <v>75</v>
      </c>
      <c r="H1663" t="s">
        <v>23</v>
      </c>
      <c r="I1663" t="s">
        <v>79</v>
      </c>
      <c r="J1663" t="s">
        <v>233</v>
      </c>
      <c r="K1663">
        <v>1</v>
      </c>
      <c r="L1663" s="2">
        <v>599.02</v>
      </c>
      <c r="M1663" s="3">
        <v>0</v>
      </c>
      <c r="N1663" s="2">
        <v>599.02</v>
      </c>
      <c r="O1663" s="2">
        <v>400.54</v>
      </c>
      <c r="P1663" s="2">
        <v>198.48</v>
      </c>
      <c r="Q1663" t="s">
        <v>57</v>
      </c>
    </row>
    <row r="1664" spans="1:17" x14ac:dyDescent="0.2">
      <c r="A1664" t="s">
        <v>1829</v>
      </c>
      <c r="B1664" s="1">
        <v>45858</v>
      </c>
      <c r="C1664" t="s">
        <v>77</v>
      </c>
      <c r="D1664" t="s">
        <v>149</v>
      </c>
      <c r="E1664" t="s">
        <v>206</v>
      </c>
      <c r="F1664" t="s">
        <v>71</v>
      </c>
      <c r="G1664" t="s">
        <v>75</v>
      </c>
      <c r="H1664" t="s">
        <v>23</v>
      </c>
      <c r="I1664" t="s">
        <v>55</v>
      </c>
      <c r="J1664" t="s">
        <v>173</v>
      </c>
      <c r="K1664">
        <v>7</v>
      </c>
      <c r="L1664" s="2">
        <v>13.32</v>
      </c>
      <c r="M1664" s="3">
        <v>0.15</v>
      </c>
      <c r="N1664" s="2">
        <v>79.25</v>
      </c>
      <c r="O1664" s="2">
        <v>46.31</v>
      </c>
      <c r="P1664" s="2">
        <v>32.94</v>
      </c>
      <c r="Q1664" t="s">
        <v>61</v>
      </c>
    </row>
    <row r="1665" spans="1:17" x14ac:dyDescent="0.2">
      <c r="A1665" t="s">
        <v>1830</v>
      </c>
      <c r="B1665" s="1">
        <v>45858</v>
      </c>
      <c r="C1665" t="s">
        <v>77</v>
      </c>
      <c r="D1665" t="s">
        <v>78</v>
      </c>
      <c r="E1665" t="s">
        <v>52</v>
      </c>
      <c r="F1665" t="s">
        <v>30</v>
      </c>
      <c r="G1665" t="s">
        <v>54</v>
      </c>
      <c r="H1665" t="s">
        <v>23</v>
      </c>
      <c r="I1665" t="s">
        <v>24</v>
      </c>
      <c r="J1665" t="s">
        <v>25</v>
      </c>
      <c r="K1665">
        <v>2</v>
      </c>
      <c r="L1665" s="2">
        <v>21.57</v>
      </c>
      <c r="M1665" s="3">
        <v>0</v>
      </c>
      <c r="N1665" s="2">
        <v>43.14</v>
      </c>
      <c r="O1665" s="2">
        <v>29.56</v>
      </c>
      <c r="P1665" s="2">
        <v>13.58</v>
      </c>
      <c r="Q1665" t="s">
        <v>26</v>
      </c>
    </row>
    <row r="1666" spans="1:17" x14ac:dyDescent="0.2">
      <c r="A1666" t="s">
        <v>1831</v>
      </c>
      <c r="B1666" s="1">
        <v>45858</v>
      </c>
      <c r="C1666" t="s">
        <v>43</v>
      </c>
      <c r="D1666" t="s">
        <v>161</v>
      </c>
      <c r="E1666" t="s">
        <v>172</v>
      </c>
      <c r="F1666" t="s">
        <v>138</v>
      </c>
      <c r="G1666" t="s">
        <v>22</v>
      </c>
      <c r="H1666" t="s">
        <v>31</v>
      </c>
      <c r="I1666" t="s">
        <v>40</v>
      </c>
      <c r="J1666" t="s">
        <v>216</v>
      </c>
      <c r="K1666">
        <v>5</v>
      </c>
      <c r="L1666" s="2">
        <v>239.9</v>
      </c>
      <c r="M1666" s="3">
        <v>0.1</v>
      </c>
      <c r="N1666" s="2">
        <v>1079.55</v>
      </c>
      <c r="O1666" s="2">
        <v>624.58000000000004</v>
      </c>
      <c r="P1666" s="2">
        <v>454.97</v>
      </c>
      <c r="Q1666" t="s">
        <v>61</v>
      </c>
    </row>
    <row r="1667" spans="1:17" x14ac:dyDescent="0.2">
      <c r="A1667" t="s">
        <v>1832</v>
      </c>
      <c r="B1667" s="1">
        <v>45859</v>
      </c>
      <c r="C1667" t="s">
        <v>18</v>
      </c>
      <c r="D1667" t="s">
        <v>86</v>
      </c>
      <c r="E1667" t="s">
        <v>140</v>
      </c>
      <c r="F1667" t="s">
        <v>39</v>
      </c>
      <c r="G1667" t="s">
        <v>22</v>
      </c>
      <c r="H1667" t="s">
        <v>23</v>
      </c>
      <c r="I1667" t="s">
        <v>55</v>
      </c>
      <c r="J1667" t="s">
        <v>102</v>
      </c>
      <c r="K1667">
        <v>10</v>
      </c>
      <c r="L1667" s="2">
        <v>20.78</v>
      </c>
      <c r="M1667" s="3">
        <v>0.05</v>
      </c>
      <c r="N1667" s="2">
        <v>197.41</v>
      </c>
      <c r="O1667" s="2">
        <v>158.76</v>
      </c>
      <c r="P1667" s="2">
        <v>38.65</v>
      </c>
      <c r="Q1667" t="s">
        <v>57</v>
      </c>
    </row>
    <row r="1668" spans="1:17" x14ac:dyDescent="0.2">
      <c r="A1668" t="s">
        <v>1833</v>
      </c>
      <c r="B1668" s="1">
        <v>45859</v>
      </c>
      <c r="C1668" t="s">
        <v>36</v>
      </c>
      <c r="D1668" t="s">
        <v>73</v>
      </c>
      <c r="E1668" t="s">
        <v>247</v>
      </c>
      <c r="F1668" t="s">
        <v>21</v>
      </c>
      <c r="G1668" t="s">
        <v>75</v>
      </c>
      <c r="H1668" t="s">
        <v>31</v>
      </c>
      <c r="I1668" t="s">
        <v>112</v>
      </c>
      <c r="J1668" t="s">
        <v>136</v>
      </c>
      <c r="K1668">
        <v>7</v>
      </c>
      <c r="L1668" s="2">
        <v>230.6</v>
      </c>
      <c r="M1668" s="3">
        <v>0</v>
      </c>
      <c r="N1668" s="2">
        <v>1614.2</v>
      </c>
      <c r="O1668" s="2">
        <v>911.12</v>
      </c>
      <c r="P1668" s="2">
        <v>703.08</v>
      </c>
      <c r="Q1668" t="s">
        <v>57</v>
      </c>
    </row>
    <row r="1669" spans="1:17" x14ac:dyDescent="0.2">
      <c r="A1669" t="s">
        <v>1834</v>
      </c>
      <c r="B1669" s="1">
        <v>45859</v>
      </c>
      <c r="C1669" t="s">
        <v>43</v>
      </c>
      <c r="D1669" t="s">
        <v>208</v>
      </c>
      <c r="E1669" t="s">
        <v>287</v>
      </c>
      <c r="F1669" t="s">
        <v>130</v>
      </c>
      <c r="G1669" t="s">
        <v>22</v>
      </c>
      <c r="H1669" t="s">
        <v>47</v>
      </c>
      <c r="I1669" t="s">
        <v>89</v>
      </c>
      <c r="J1669" t="s">
        <v>240</v>
      </c>
      <c r="K1669">
        <v>5</v>
      </c>
      <c r="L1669" s="2">
        <v>261.29000000000002</v>
      </c>
      <c r="M1669" s="3">
        <v>0</v>
      </c>
      <c r="N1669" s="2">
        <v>1306.45</v>
      </c>
      <c r="O1669" s="2">
        <v>1064.56</v>
      </c>
      <c r="P1669" s="2">
        <v>241.89</v>
      </c>
      <c r="Q1669" t="s">
        <v>34</v>
      </c>
    </row>
    <row r="1670" spans="1:17" x14ac:dyDescent="0.2">
      <c r="A1670" t="s">
        <v>1835</v>
      </c>
      <c r="B1670" s="1">
        <v>45859</v>
      </c>
      <c r="C1670" t="s">
        <v>18</v>
      </c>
      <c r="D1670" t="s">
        <v>86</v>
      </c>
      <c r="E1670" t="s">
        <v>140</v>
      </c>
      <c r="F1670" t="s">
        <v>30</v>
      </c>
      <c r="G1670" t="s">
        <v>54</v>
      </c>
      <c r="H1670" t="s">
        <v>31</v>
      </c>
      <c r="I1670" t="s">
        <v>112</v>
      </c>
      <c r="J1670" t="s">
        <v>136</v>
      </c>
      <c r="K1670">
        <v>7</v>
      </c>
      <c r="L1670" s="2">
        <v>151.5</v>
      </c>
      <c r="M1670" s="3">
        <v>0</v>
      </c>
      <c r="N1670" s="2">
        <v>1060.5</v>
      </c>
      <c r="O1670" s="2">
        <v>724.84</v>
      </c>
      <c r="P1670" s="2">
        <v>335.66</v>
      </c>
      <c r="Q1670" t="s">
        <v>61</v>
      </c>
    </row>
    <row r="1671" spans="1:17" x14ac:dyDescent="0.2">
      <c r="A1671" t="s">
        <v>1836</v>
      </c>
      <c r="B1671" s="1">
        <v>45859</v>
      </c>
      <c r="C1671" t="s">
        <v>43</v>
      </c>
      <c r="D1671" t="s">
        <v>208</v>
      </c>
      <c r="E1671" t="s">
        <v>287</v>
      </c>
      <c r="F1671" t="s">
        <v>39</v>
      </c>
      <c r="G1671" t="s">
        <v>75</v>
      </c>
      <c r="H1671" t="s">
        <v>23</v>
      </c>
      <c r="I1671" t="s">
        <v>83</v>
      </c>
      <c r="J1671" t="s">
        <v>131</v>
      </c>
      <c r="K1671">
        <v>3</v>
      </c>
      <c r="L1671" s="2">
        <v>32.31</v>
      </c>
      <c r="M1671" s="3">
        <v>0</v>
      </c>
      <c r="N1671" s="2">
        <v>96.93</v>
      </c>
      <c r="O1671" s="2">
        <v>55.14</v>
      </c>
      <c r="P1671" s="2">
        <v>41.79</v>
      </c>
      <c r="Q1671" t="s">
        <v>34</v>
      </c>
    </row>
    <row r="1672" spans="1:17" x14ac:dyDescent="0.2">
      <c r="A1672" t="s">
        <v>1837</v>
      </c>
      <c r="B1672" s="1">
        <v>45860</v>
      </c>
      <c r="C1672" t="s">
        <v>77</v>
      </c>
      <c r="D1672" t="s">
        <v>78</v>
      </c>
      <c r="E1672" t="s">
        <v>295</v>
      </c>
      <c r="F1672" t="s">
        <v>53</v>
      </c>
      <c r="G1672" t="s">
        <v>22</v>
      </c>
      <c r="H1672" t="s">
        <v>47</v>
      </c>
      <c r="I1672" t="s">
        <v>141</v>
      </c>
      <c r="J1672" t="s">
        <v>372</v>
      </c>
      <c r="K1672">
        <v>10</v>
      </c>
      <c r="L1672" s="2">
        <v>786.96</v>
      </c>
      <c r="M1672" s="3">
        <v>0.05</v>
      </c>
      <c r="N1672" s="2">
        <v>7476.12</v>
      </c>
      <c r="O1672" s="2">
        <v>4318.67</v>
      </c>
      <c r="P1672" s="2">
        <v>3157.45</v>
      </c>
      <c r="Q1672" t="s">
        <v>34</v>
      </c>
    </row>
    <row r="1673" spans="1:17" x14ac:dyDescent="0.2">
      <c r="A1673" t="s">
        <v>1838</v>
      </c>
      <c r="B1673" s="1">
        <v>45860</v>
      </c>
      <c r="C1673" t="s">
        <v>43</v>
      </c>
      <c r="D1673" t="s">
        <v>161</v>
      </c>
      <c r="E1673" t="s">
        <v>418</v>
      </c>
      <c r="F1673" t="s">
        <v>60</v>
      </c>
      <c r="G1673" t="s">
        <v>22</v>
      </c>
      <c r="H1673" t="s">
        <v>23</v>
      </c>
      <c r="I1673" t="s">
        <v>79</v>
      </c>
      <c r="J1673" t="s">
        <v>179</v>
      </c>
      <c r="K1673">
        <v>4</v>
      </c>
      <c r="L1673" s="2">
        <v>502.22</v>
      </c>
      <c r="M1673" s="3">
        <v>0.05</v>
      </c>
      <c r="N1673" s="2">
        <v>1908.44</v>
      </c>
      <c r="O1673" s="2">
        <v>1143.6600000000001</v>
      </c>
      <c r="P1673" s="2">
        <v>764.78</v>
      </c>
      <c r="Q1673" t="s">
        <v>26</v>
      </c>
    </row>
    <row r="1674" spans="1:17" x14ac:dyDescent="0.2">
      <c r="A1674" t="s">
        <v>1839</v>
      </c>
      <c r="B1674" s="1">
        <v>45860</v>
      </c>
      <c r="C1674" t="s">
        <v>18</v>
      </c>
      <c r="D1674" t="s">
        <v>133</v>
      </c>
      <c r="E1674" t="s">
        <v>226</v>
      </c>
      <c r="F1674" t="s">
        <v>46</v>
      </c>
      <c r="G1674" t="s">
        <v>22</v>
      </c>
      <c r="H1674" t="s">
        <v>23</v>
      </c>
      <c r="I1674" t="s">
        <v>24</v>
      </c>
      <c r="J1674" t="s">
        <v>25</v>
      </c>
      <c r="K1674">
        <v>4</v>
      </c>
      <c r="L1674" s="2">
        <v>8.64</v>
      </c>
      <c r="M1674" s="3">
        <v>0.1</v>
      </c>
      <c r="N1674" s="2">
        <v>31.1</v>
      </c>
      <c r="O1674" s="2">
        <v>22.3</v>
      </c>
      <c r="P1674" s="2">
        <v>8.8000000000000007</v>
      </c>
      <c r="Q1674" t="s">
        <v>26</v>
      </c>
    </row>
    <row r="1675" spans="1:17" x14ac:dyDescent="0.2">
      <c r="A1675" t="s">
        <v>1840</v>
      </c>
      <c r="B1675" s="1">
        <v>45860</v>
      </c>
      <c r="C1675" t="s">
        <v>36</v>
      </c>
      <c r="D1675" t="s">
        <v>144</v>
      </c>
      <c r="E1675" t="s">
        <v>145</v>
      </c>
      <c r="F1675" t="s">
        <v>69</v>
      </c>
      <c r="G1675" t="s">
        <v>75</v>
      </c>
      <c r="H1675" t="s">
        <v>23</v>
      </c>
      <c r="I1675" t="s">
        <v>79</v>
      </c>
      <c r="J1675" t="s">
        <v>233</v>
      </c>
      <c r="K1675">
        <v>8</v>
      </c>
      <c r="L1675" s="2">
        <v>251.94</v>
      </c>
      <c r="M1675" s="3">
        <v>0.1</v>
      </c>
      <c r="N1675" s="2">
        <v>1813.97</v>
      </c>
      <c r="O1675" s="2">
        <v>1455.93</v>
      </c>
      <c r="P1675" s="2">
        <v>358.04</v>
      </c>
      <c r="Q1675" t="s">
        <v>61</v>
      </c>
    </row>
    <row r="1676" spans="1:17" x14ac:dyDescent="0.2">
      <c r="A1676" t="s">
        <v>1841</v>
      </c>
      <c r="B1676" s="1">
        <v>45860</v>
      </c>
      <c r="C1676" t="s">
        <v>36</v>
      </c>
      <c r="D1676" t="s">
        <v>37</v>
      </c>
      <c r="E1676" t="s">
        <v>38</v>
      </c>
      <c r="F1676" t="s">
        <v>130</v>
      </c>
      <c r="G1676" t="s">
        <v>75</v>
      </c>
      <c r="H1676" t="s">
        <v>23</v>
      </c>
      <c r="I1676" t="s">
        <v>24</v>
      </c>
      <c r="J1676" t="s">
        <v>25</v>
      </c>
      <c r="K1676">
        <v>10</v>
      </c>
      <c r="L1676" s="2">
        <v>24.5</v>
      </c>
      <c r="M1676" s="3">
        <v>0</v>
      </c>
      <c r="N1676" s="2">
        <v>245</v>
      </c>
      <c r="O1676" s="2">
        <v>149.62</v>
      </c>
      <c r="P1676" s="2">
        <v>95.38</v>
      </c>
      <c r="Q1676" t="s">
        <v>26</v>
      </c>
    </row>
    <row r="1677" spans="1:17" x14ac:dyDescent="0.2">
      <c r="A1677" t="s">
        <v>1842</v>
      </c>
      <c r="B1677" s="1">
        <v>45860</v>
      </c>
      <c r="C1677" t="s">
        <v>36</v>
      </c>
      <c r="D1677" t="s">
        <v>67</v>
      </c>
      <c r="E1677" t="s">
        <v>270</v>
      </c>
      <c r="F1677" t="s">
        <v>30</v>
      </c>
      <c r="G1677" t="s">
        <v>22</v>
      </c>
      <c r="H1677" t="s">
        <v>47</v>
      </c>
      <c r="I1677" t="s">
        <v>97</v>
      </c>
      <c r="J1677" t="s">
        <v>168</v>
      </c>
      <c r="K1677">
        <v>2</v>
      </c>
      <c r="L1677" s="2">
        <v>556.79</v>
      </c>
      <c r="M1677" s="3">
        <v>0.05</v>
      </c>
      <c r="N1677" s="2">
        <v>1057.9000000000001</v>
      </c>
      <c r="O1677" s="2">
        <v>767.83</v>
      </c>
      <c r="P1677" s="2">
        <v>290.07</v>
      </c>
      <c r="Q1677" t="s">
        <v>34</v>
      </c>
    </row>
    <row r="1678" spans="1:17" x14ac:dyDescent="0.2">
      <c r="A1678" t="s">
        <v>1843</v>
      </c>
      <c r="B1678" s="1">
        <v>45860</v>
      </c>
      <c r="C1678" t="s">
        <v>18</v>
      </c>
      <c r="D1678" t="s">
        <v>86</v>
      </c>
      <c r="E1678" t="s">
        <v>140</v>
      </c>
      <c r="F1678" t="s">
        <v>71</v>
      </c>
      <c r="G1678" t="s">
        <v>75</v>
      </c>
      <c r="H1678" t="s">
        <v>23</v>
      </c>
      <c r="I1678" t="s">
        <v>79</v>
      </c>
      <c r="J1678" t="s">
        <v>233</v>
      </c>
      <c r="K1678">
        <v>6</v>
      </c>
      <c r="L1678" s="2">
        <v>299.75</v>
      </c>
      <c r="M1678" s="3">
        <v>0.1</v>
      </c>
      <c r="N1678" s="2">
        <v>1618.65</v>
      </c>
      <c r="O1678" s="2">
        <v>1089.0999999999999</v>
      </c>
      <c r="P1678" s="2">
        <v>529.54999999999995</v>
      </c>
      <c r="Q1678" t="s">
        <v>34</v>
      </c>
    </row>
    <row r="1679" spans="1:17" x14ac:dyDescent="0.2">
      <c r="A1679" t="s">
        <v>1844</v>
      </c>
      <c r="B1679" s="1">
        <v>45860</v>
      </c>
      <c r="C1679" t="s">
        <v>43</v>
      </c>
      <c r="D1679" t="s">
        <v>51</v>
      </c>
      <c r="E1679" t="s">
        <v>63</v>
      </c>
      <c r="F1679" t="s">
        <v>130</v>
      </c>
      <c r="G1679" t="s">
        <v>54</v>
      </c>
      <c r="H1679" t="s">
        <v>47</v>
      </c>
      <c r="I1679" t="s">
        <v>48</v>
      </c>
      <c r="J1679" t="s">
        <v>49</v>
      </c>
      <c r="K1679">
        <v>6</v>
      </c>
      <c r="L1679" s="2">
        <v>599.12</v>
      </c>
      <c r="M1679" s="3">
        <v>0.05</v>
      </c>
      <c r="N1679" s="2">
        <v>3414.98</v>
      </c>
      <c r="O1679" s="2">
        <v>2456.9299999999998</v>
      </c>
      <c r="P1679" s="2">
        <v>958.05</v>
      </c>
      <c r="Q1679" t="s">
        <v>34</v>
      </c>
    </row>
    <row r="1680" spans="1:17" x14ac:dyDescent="0.2">
      <c r="A1680" t="s">
        <v>1845</v>
      </c>
      <c r="B1680" s="1">
        <v>45861</v>
      </c>
      <c r="C1680" t="s">
        <v>18</v>
      </c>
      <c r="D1680" t="s">
        <v>28</v>
      </c>
      <c r="E1680" t="s">
        <v>157</v>
      </c>
      <c r="F1680" t="s">
        <v>30</v>
      </c>
      <c r="G1680" t="s">
        <v>54</v>
      </c>
      <c r="H1680" t="s">
        <v>23</v>
      </c>
      <c r="I1680" t="s">
        <v>24</v>
      </c>
      <c r="J1680" t="s">
        <v>220</v>
      </c>
      <c r="K1680">
        <v>8</v>
      </c>
      <c r="L1680" s="2">
        <v>22.71</v>
      </c>
      <c r="M1680" s="3">
        <v>0.15</v>
      </c>
      <c r="N1680" s="2">
        <v>154.43</v>
      </c>
      <c r="O1680" s="2">
        <v>88.05</v>
      </c>
      <c r="P1680" s="2">
        <v>66.38</v>
      </c>
      <c r="Q1680" t="s">
        <v>34</v>
      </c>
    </row>
    <row r="1681" spans="1:17" x14ac:dyDescent="0.2">
      <c r="A1681" t="s">
        <v>1846</v>
      </c>
      <c r="B1681" s="1">
        <v>45861</v>
      </c>
      <c r="C1681" t="s">
        <v>18</v>
      </c>
      <c r="D1681" t="s">
        <v>152</v>
      </c>
      <c r="E1681" t="s">
        <v>153</v>
      </c>
      <c r="F1681" t="s">
        <v>130</v>
      </c>
      <c r="G1681" t="s">
        <v>22</v>
      </c>
      <c r="H1681" t="s">
        <v>23</v>
      </c>
      <c r="I1681" t="s">
        <v>24</v>
      </c>
      <c r="J1681" t="s">
        <v>220</v>
      </c>
      <c r="K1681">
        <v>5</v>
      </c>
      <c r="L1681" s="2">
        <v>16.52</v>
      </c>
      <c r="M1681" s="3">
        <v>0</v>
      </c>
      <c r="N1681" s="2">
        <v>82.6</v>
      </c>
      <c r="O1681" s="2">
        <v>50.03</v>
      </c>
      <c r="P1681" s="2">
        <v>32.57</v>
      </c>
      <c r="Q1681" t="s">
        <v>61</v>
      </c>
    </row>
    <row r="1682" spans="1:17" x14ac:dyDescent="0.2">
      <c r="A1682" t="s">
        <v>1847</v>
      </c>
      <c r="B1682" s="1">
        <v>45861</v>
      </c>
      <c r="C1682" t="s">
        <v>43</v>
      </c>
      <c r="D1682" t="s">
        <v>44</v>
      </c>
      <c r="E1682" t="s">
        <v>147</v>
      </c>
      <c r="F1682" t="s">
        <v>71</v>
      </c>
      <c r="G1682" t="s">
        <v>54</v>
      </c>
      <c r="H1682" t="s">
        <v>23</v>
      </c>
      <c r="I1682" t="s">
        <v>55</v>
      </c>
      <c r="J1682" t="s">
        <v>102</v>
      </c>
      <c r="K1682">
        <v>1</v>
      </c>
      <c r="L1682" s="2">
        <v>24.94</v>
      </c>
      <c r="M1682" s="3">
        <v>0</v>
      </c>
      <c r="N1682" s="2">
        <v>24.94</v>
      </c>
      <c r="O1682" s="2">
        <v>14.65</v>
      </c>
      <c r="P1682" s="2">
        <v>10.29</v>
      </c>
      <c r="Q1682" t="s">
        <v>61</v>
      </c>
    </row>
    <row r="1683" spans="1:17" x14ac:dyDescent="0.2">
      <c r="A1683" t="s">
        <v>1848</v>
      </c>
      <c r="B1683" s="1">
        <v>45861</v>
      </c>
      <c r="C1683" t="s">
        <v>36</v>
      </c>
      <c r="D1683" t="s">
        <v>67</v>
      </c>
      <c r="E1683" t="s">
        <v>270</v>
      </c>
      <c r="F1683" t="s">
        <v>53</v>
      </c>
      <c r="G1683" t="s">
        <v>75</v>
      </c>
      <c r="H1683" t="s">
        <v>23</v>
      </c>
      <c r="I1683" t="s">
        <v>55</v>
      </c>
      <c r="J1683" t="s">
        <v>102</v>
      </c>
      <c r="K1683">
        <v>5</v>
      </c>
      <c r="L1683" s="2">
        <v>10.1</v>
      </c>
      <c r="M1683" s="3">
        <v>0</v>
      </c>
      <c r="N1683" s="2">
        <v>50.5</v>
      </c>
      <c r="O1683" s="2">
        <v>39.11</v>
      </c>
      <c r="P1683" s="2">
        <v>11.39</v>
      </c>
      <c r="Q1683" t="s">
        <v>26</v>
      </c>
    </row>
    <row r="1684" spans="1:17" x14ac:dyDescent="0.2">
      <c r="A1684" t="s">
        <v>1849</v>
      </c>
      <c r="B1684" s="1">
        <v>45862</v>
      </c>
      <c r="C1684" t="s">
        <v>36</v>
      </c>
      <c r="D1684" t="s">
        <v>37</v>
      </c>
      <c r="E1684" t="s">
        <v>38</v>
      </c>
      <c r="F1684" t="s">
        <v>69</v>
      </c>
      <c r="G1684" t="s">
        <v>22</v>
      </c>
      <c r="H1684" t="s">
        <v>23</v>
      </c>
      <c r="I1684" t="s">
        <v>55</v>
      </c>
      <c r="J1684" t="s">
        <v>102</v>
      </c>
      <c r="K1684">
        <v>6</v>
      </c>
      <c r="L1684" s="2">
        <v>24.6</v>
      </c>
      <c r="M1684" s="3">
        <v>0.05</v>
      </c>
      <c r="N1684" s="2">
        <v>140.22</v>
      </c>
      <c r="O1684" s="2">
        <v>112.34</v>
      </c>
      <c r="P1684" s="2">
        <v>27.88</v>
      </c>
      <c r="Q1684" t="s">
        <v>34</v>
      </c>
    </row>
    <row r="1685" spans="1:17" x14ac:dyDescent="0.2">
      <c r="A1685" t="s">
        <v>1850</v>
      </c>
      <c r="B1685" s="1">
        <v>45862</v>
      </c>
      <c r="C1685" t="s">
        <v>18</v>
      </c>
      <c r="D1685" t="s">
        <v>152</v>
      </c>
      <c r="E1685" t="s">
        <v>153</v>
      </c>
      <c r="F1685" t="s">
        <v>130</v>
      </c>
      <c r="G1685" t="s">
        <v>22</v>
      </c>
      <c r="H1685" t="s">
        <v>31</v>
      </c>
      <c r="I1685" t="s">
        <v>112</v>
      </c>
      <c r="J1685" t="s">
        <v>113</v>
      </c>
      <c r="K1685">
        <v>1</v>
      </c>
      <c r="L1685" s="2">
        <v>188.26</v>
      </c>
      <c r="M1685" s="3">
        <v>0.05</v>
      </c>
      <c r="N1685" s="2">
        <v>178.85</v>
      </c>
      <c r="O1685" s="2">
        <v>145.32</v>
      </c>
      <c r="P1685" s="2">
        <v>33.53</v>
      </c>
      <c r="Q1685" t="s">
        <v>26</v>
      </c>
    </row>
    <row r="1686" spans="1:17" x14ac:dyDescent="0.2">
      <c r="A1686" t="s">
        <v>1851</v>
      </c>
      <c r="B1686" s="1">
        <v>45862</v>
      </c>
      <c r="C1686" t="s">
        <v>36</v>
      </c>
      <c r="D1686" t="s">
        <v>144</v>
      </c>
      <c r="E1686" t="s">
        <v>232</v>
      </c>
      <c r="F1686" t="s">
        <v>138</v>
      </c>
      <c r="G1686" t="s">
        <v>22</v>
      </c>
      <c r="H1686" t="s">
        <v>47</v>
      </c>
      <c r="I1686" t="s">
        <v>97</v>
      </c>
      <c r="J1686" t="s">
        <v>116</v>
      </c>
      <c r="K1686">
        <v>7</v>
      </c>
      <c r="L1686" s="2">
        <v>337.03</v>
      </c>
      <c r="M1686" s="3">
        <v>0.05</v>
      </c>
      <c r="N1686" s="2">
        <v>2241.25</v>
      </c>
      <c r="O1686" s="2">
        <v>1510.93</v>
      </c>
      <c r="P1686" s="2">
        <v>730.32</v>
      </c>
      <c r="Q1686" t="s">
        <v>26</v>
      </c>
    </row>
    <row r="1687" spans="1:17" x14ac:dyDescent="0.2">
      <c r="A1687" t="s">
        <v>1852</v>
      </c>
      <c r="B1687" s="1">
        <v>45862</v>
      </c>
      <c r="C1687" t="s">
        <v>36</v>
      </c>
      <c r="D1687" t="s">
        <v>144</v>
      </c>
      <c r="E1687" t="s">
        <v>232</v>
      </c>
      <c r="F1687" t="s">
        <v>53</v>
      </c>
      <c r="G1687" t="s">
        <v>22</v>
      </c>
      <c r="H1687" t="s">
        <v>31</v>
      </c>
      <c r="I1687" t="s">
        <v>32</v>
      </c>
      <c r="J1687" t="s">
        <v>104</v>
      </c>
      <c r="K1687">
        <v>7</v>
      </c>
      <c r="L1687" s="2">
        <v>726.47</v>
      </c>
      <c r="M1687" s="3">
        <v>0</v>
      </c>
      <c r="N1687" s="2">
        <v>5085.29</v>
      </c>
      <c r="O1687" s="2">
        <v>3665.6</v>
      </c>
      <c r="P1687" s="2">
        <v>1419.69</v>
      </c>
      <c r="Q1687" t="s">
        <v>61</v>
      </c>
    </row>
    <row r="1688" spans="1:17" x14ac:dyDescent="0.2">
      <c r="A1688" t="s">
        <v>1853</v>
      </c>
      <c r="B1688" s="1">
        <v>45862</v>
      </c>
      <c r="C1688" t="s">
        <v>43</v>
      </c>
      <c r="D1688" t="s">
        <v>161</v>
      </c>
      <c r="E1688" t="s">
        <v>162</v>
      </c>
      <c r="F1688" t="s">
        <v>71</v>
      </c>
      <c r="G1688" t="s">
        <v>75</v>
      </c>
      <c r="H1688" t="s">
        <v>23</v>
      </c>
      <c r="I1688" t="s">
        <v>55</v>
      </c>
      <c r="J1688" t="s">
        <v>173</v>
      </c>
      <c r="K1688">
        <v>9</v>
      </c>
      <c r="L1688" s="2">
        <v>21.49</v>
      </c>
      <c r="M1688" s="3">
        <v>0.2</v>
      </c>
      <c r="N1688" s="2">
        <v>154.72999999999999</v>
      </c>
      <c r="O1688" s="2">
        <v>113.2</v>
      </c>
      <c r="P1688" s="2">
        <v>41.53</v>
      </c>
      <c r="Q1688" t="s">
        <v>26</v>
      </c>
    </row>
    <row r="1689" spans="1:17" x14ac:dyDescent="0.2">
      <c r="A1689" t="s">
        <v>1854</v>
      </c>
      <c r="B1689" s="1">
        <v>45863</v>
      </c>
      <c r="C1689" t="s">
        <v>43</v>
      </c>
      <c r="D1689" t="s">
        <v>51</v>
      </c>
      <c r="E1689" t="s">
        <v>59</v>
      </c>
      <c r="F1689" t="s">
        <v>46</v>
      </c>
      <c r="G1689" t="s">
        <v>22</v>
      </c>
      <c r="H1689" t="s">
        <v>31</v>
      </c>
      <c r="I1689" t="s">
        <v>40</v>
      </c>
      <c r="J1689" t="s">
        <v>122</v>
      </c>
      <c r="K1689">
        <v>10</v>
      </c>
      <c r="L1689" s="2">
        <v>152.72999999999999</v>
      </c>
      <c r="M1689" s="3">
        <v>0.1</v>
      </c>
      <c r="N1689" s="2">
        <v>1374.57</v>
      </c>
      <c r="O1689" s="2">
        <v>1119.9000000000001</v>
      </c>
      <c r="P1689" s="2">
        <v>254.67</v>
      </c>
      <c r="Q1689" t="s">
        <v>57</v>
      </c>
    </row>
    <row r="1690" spans="1:17" x14ac:dyDescent="0.2">
      <c r="A1690" t="s">
        <v>1855</v>
      </c>
      <c r="B1690" s="1">
        <v>45863</v>
      </c>
      <c r="C1690" t="s">
        <v>36</v>
      </c>
      <c r="D1690" t="s">
        <v>67</v>
      </c>
      <c r="E1690" t="s">
        <v>68</v>
      </c>
      <c r="F1690" t="s">
        <v>46</v>
      </c>
      <c r="G1690" t="s">
        <v>54</v>
      </c>
      <c r="H1690" t="s">
        <v>31</v>
      </c>
      <c r="I1690" t="s">
        <v>32</v>
      </c>
      <c r="J1690" t="s">
        <v>258</v>
      </c>
      <c r="K1690">
        <v>5</v>
      </c>
      <c r="L1690" s="2">
        <v>1617.93</v>
      </c>
      <c r="M1690" s="3">
        <v>0.15</v>
      </c>
      <c r="N1690" s="2">
        <v>6876.2</v>
      </c>
      <c r="O1690" s="2">
        <v>4344.59</v>
      </c>
      <c r="P1690" s="2">
        <v>2531.61</v>
      </c>
      <c r="Q1690" t="s">
        <v>61</v>
      </c>
    </row>
    <row r="1691" spans="1:17" x14ac:dyDescent="0.2">
      <c r="A1691" t="s">
        <v>1856</v>
      </c>
      <c r="B1691" s="1">
        <v>45863</v>
      </c>
      <c r="C1691" t="s">
        <v>43</v>
      </c>
      <c r="D1691" t="s">
        <v>51</v>
      </c>
      <c r="E1691" t="s">
        <v>52</v>
      </c>
      <c r="F1691" t="s">
        <v>138</v>
      </c>
      <c r="G1691" t="s">
        <v>22</v>
      </c>
      <c r="H1691" t="s">
        <v>31</v>
      </c>
      <c r="I1691" t="s">
        <v>40</v>
      </c>
      <c r="J1691" t="s">
        <v>41</v>
      </c>
      <c r="K1691">
        <v>9</v>
      </c>
      <c r="L1691" s="2">
        <v>140.13999999999999</v>
      </c>
      <c r="M1691" s="3">
        <v>0.05</v>
      </c>
      <c r="N1691" s="2">
        <v>1198.2</v>
      </c>
      <c r="O1691" s="2">
        <v>850.51</v>
      </c>
      <c r="P1691" s="2">
        <v>347.69</v>
      </c>
      <c r="Q1691" t="s">
        <v>26</v>
      </c>
    </row>
    <row r="1692" spans="1:17" x14ac:dyDescent="0.2">
      <c r="A1692" t="s">
        <v>1857</v>
      </c>
      <c r="B1692" s="1">
        <v>45863</v>
      </c>
      <c r="C1692" t="s">
        <v>36</v>
      </c>
      <c r="D1692" t="s">
        <v>144</v>
      </c>
      <c r="E1692" t="s">
        <v>145</v>
      </c>
      <c r="F1692" t="s">
        <v>39</v>
      </c>
      <c r="G1692" t="s">
        <v>75</v>
      </c>
      <c r="H1692" t="s">
        <v>31</v>
      </c>
      <c r="I1692" t="s">
        <v>64</v>
      </c>
      <c r="J1692" t="s">
        <v>252</v>
      </c>
      <c r="K1692">
        <v>5</v>
      </c>
      <c r="L1692" s="2">
        <v>109.98</v>
      </c>
      <c r="M1692" s="3">
        <v>0.05</v>
      </c>
      <c r="N1692" s="2">
        <v>522.4</v>
      </c>
      <c r="O1692" s="2">
        <v>386.33</v>
      </c>
      <c r="P1692" s="2">
        <v>136.07</v>
      </c>
      <c r="Q1692" t="s">
        <v>26</v>
      </c>
    </row>
    <row r="1693" spans="1:17" x14ac:dyDescent="0.2">
      <c r="A1693" t="s">
        <v>1858</v>
      </c>
      <c r="B1693" s="1">
        <v>45863</v>
      </c>
      <c r="C1693" t="s">
        <v>43</v>
      </c>
      <c r="D1693" t="s">
        <v>208</v>
      </c>
      <c r="E1693" t="s">
        <v>230</v>
      </c>
      <c r="F1693" t="s">
        <v>46</v>
      </c>
      <c r="G1693" t="s">
        <v>22</v>
      </c>
      <c r="H1693" t="s">
        <v>23</v>
      </c>
      <c r="I1693" t="s">
        <v>79</v>
      </c>
      <c r="J1693" t="s">
        <v>179</v>
      </c>
      <c r="K1693">
        <v>7</v>
      </c>
      <c r="L1693" s="2">
        <v>213.13</v>
      </c>
      <c r="M1693" s="3">
        <v>0.1</v>
      </c>
      <c r="N1693" s="2">
        <v>1342.72</v>
      </c>
      <c r="O1693" s="2">
        <v>758.61</v>
      </c>
      <c r="P1693" s="2">
        <v>584.11</v>
      </c>
      <c r="Q1693" t="s">
        <v>57</v>
      </c>
    </row>
    <row r="1694" spans="1:17" x14ac:dyDescent="0.2">
      <c r="A1694" t="s">
        <v>1859</v>
      </c>
      <c r="B1694" s="1">
        <v>45863</v>
      </c>
      <c r="C1694" t="s">
        <v>43</v>
      </c>
      <c r="D1694" t="s">
        <v>44</v>
      </c>
      <c r="E1694" t="s">
        <v>147</v>
      </c>
      <c r="F1694" t="s">
        <v>138</v>
      </c>
      <c r="G1694" t="s">
        <v>22</v>
      </c>
      <c r="H1694" t="s">
        <v>31</v>
      </c>
      <c r="I1694" t="s">
        <v>40</v>
      </c>
      <c r="J1694" t="s">
        <v>122</v>
      </c>
      <c r="K1694">
        <v>5</v>
      </c>
      <c r="L1694" s="2">
        <v>166.72</v>
      </c>
      <c r="M1694" s="3">
        <v>0.05</v>
      </c>
      <c r="N1694" s="2">
        <v>791.92</v>
      </c>
      <c r="O1694" s="2">
        <v>636.37</v>
      </c>
      <c r="P1694" s="2">
        <v>155.55000000000001</v>
      </c>
      <c r="Q1694" t="s">
        <v>34</v>
      </c>
    </row>
    <row r="1695" spans="1:17" x14ac:dyDescent="0.2">
      <c r="A1695" t="s">
        <v>1860</v>
      </c>
      <c r="B1695" s="1">
        <v>45863</v>
      </c>
      <c r="C1695" t="s">
        <v>43</v>
      </c>
      <c r="D1695" t="s">
        <v>244</v>
      </c>
      <c r="E1695" t="s">
        <v>300</v>
      </c>
      <c r="F1695" t="s">
        <v>130</v>
      </c>
      <c r="G1695" t="s">
        <v>22</v>
      </c>
      <c r="H1695" t="s">
        <v>47</v>
      </c>
      <c r="I1695" t="s">
        <v>89</v>
      </c>
      <c r="J1695" t="s">
        <v>240</v>
      </c>
      <c r="K1695">
        <v>10</v>
      </c>
      <c r="L1695" s="2">
        <v>382.3</v>
      </c>
      <c r="M1695" s="3">
        <v>0</v>
      </c>
      <c r="N1695" s="2">
        <v>3823</v>
      </c>
      <c r="O1695" s="2">
        <v>2789.37</v>
      </c>
      <c r="P1695" s="2">
        <v>1033.6300000000001</v>
      </c>
      <c r="Q1695" t="s">
        <v>34</v>
      </c>
    </row>
    <row r="1696" spans="1:17" x14ac:dyDescent="0.2">
      <c r="A1696" t="s">
        <v>1861</v>
      </c>
      <c r="B1696" s="1">
        <v>45863</v>
      </c>
      <c r="C1696" t="s">
        <v>36</v>
      </c>
      <c r="D1696" t="s">
        <v>73</v>
      </c>
      <c r="E1696" t="s">
        <v>247</v>
      </c>
      <c r="F1696" t="s">
        <v>60</v>
      </c>
      <c r="G1696" t="s">
        <v>22</v>
      </c>
      <c r="H1696" t="s">
        <v>31</v>
      </c>
      <c r="I1696" t="s">
        <v>112</v>
      </c>
      <c r="J1696" t="s">
        <v>136</v>
      </c>
      <c r="K1696">
        <v>8</v>
      </c>
      <c r="L1696" s="2">
        <v>571.86</v>
      </c>
      <c r="M1696" s="3">
        <v>0.1</v>
      </c>
      <c r="N1696" s="2">
        <v>4117.3900000000003</v>
      </c>
      <c r="O1696" s="2">
        <v>2275.84</v>
      </c>
      <c r="P1696" s="2">
        <v>1841.55</v>
      </c>
      <c r="Q1696" t="s">
        <v>34</v>
      </c>
    </row>
    <row r="1697" spans="1:17" x14ac:dyDescent="0.2">
      <c r="A1697" t="s">
        <v>1862</v>
      </c>
      <c r="B1697" s="1">
        <v>45863</v>
      </c>
      <c r="C1697" t="s">
        <v>18</v>
      </c>
      <c r="D1697" t="s">
        <v>133</v>
      </c>
      <c r="E1697" t="s">
        <v>134</v>
      </c>
      <c r="F1697" t="s">
        <v>69</v>
      </c>
      <c r="G1697" t="s">
        <v>54</v>
      </c>
      <c r="H1697" t="s">
        <v>47</v>
      </c>
      <c r="I1697" t="s">
        <v>48</v>
      </c>
      <c r="J1697" t="s">
        <v>93</v>
      </c>
      <c r="K1697">
        <v>1</v>
      </c>
      <c r="L1697" s="2">
        <v>607.4</v>
      </c>
      <c r="M1697" s="3">
        <v>0</v>
      </c>
      <c r="N1697" s="2">
        <v>607.4</v>
      </c>
      <c r="O1697" s="2">
        <v>452.73</v>
      </c>
      <c r="P1697" s="2">
        <v>154.66999999999999</v>
      </c>
      <c r="Q1697" t="s">
        <v>26</v>
      </c>
    </row>
    <row r="1698" spans="1:17" x14ac:dyDescent="0.2">
      <c r="A1698" t="s">
        <v>1863</v>
      </c>
      <c r="B1698" s="1">
        <v>45863</v>
      </c>
      <c r="C1698" t="s">
        <v>36</v>
      </c>
      <c r="D1698" t="s">
        <v>110</v>
      </c>
      <c r="E1698" t="s">
        <v>203</v>
      </c>
      <c r="F1698" t="s">
        <v>138</v>
      </c>
      <c r="G1698" t="s">
        <v>22</v>
      </c>
      <c r="H1698" t="s">
        <v>23</v>
      </c>
      <c r="I1698" t="s">
        <v>79</v>
      </c>
      <c r="J1698" t="s">
        <v>80</v>
      </c>
      <c r="K1698">
        <v>8</v>
      </c>
      <c r="L1698" s="2">
        <v>304.94</v>
      </c>
      <c r="M1698" s="3">
        <v>0</v>
      </c>
      <c r="N1698" s="2">
        <v>2439.52</v>
      </c>
      <c r="O1698" s="2">
        <v>1768.86</v>
      </c>
      <c r="P1698" s="2">
        <v>670.66</v>
      </c>
      <c r="Q1698" t="s">
        <v>34</v>
      </c>
    </row>
    <row r="1699" spans="1:17" x14ac:dyDescent="0.2">
      <c r="A1699" t="s">
        <v>1864</v>
      </c>
      <c r="B1699" s="1">
        <v>45863</v>
      </c>
      <c r="C1699" t="s">
        <v>43</v>
      </c>
      <c r="D1699" t="s">
        <v>208</v>
      </c>
      <c r="E1699" t="s">
        <v>287</v>
      </c>
      <c r="F1699" t="s">
        <v>138</v>
      </c>
      <c r="G1699" t="s">
        <v>75</v>
      </c>
      <c r="H1699" t="s">
        <v>31</v>
      </c>
      <c r="I1699" t="s">
        <v>32</v>
      </c>
      <c r="J1699" t="s">
        <v>104</v>
      </c>
      <c r="K1699">
        <v>10</v>
      </c>
      <c r="L1699" s="2">
        <v>1237.57</v>
      </c>
      <c r="M1699" s="3">
        <v>0.15</v>
      </c>
      <c r="N1699" s="2">
        <v>10519.34</v>
      </c>
      <c r="O1699" s="2">
        <v>7477.37</v>
      </c>
      <c r="P1699" s="2">
        <v>3041.97</v>
      </c>
      <c r="Q1699" t="s">
        <v>34</v>
      </c>
    </row>
    <row r="1700" spans="1:17" x14ac:dyDescent="0.2">
      <c r="A1700" t="s">
        <v>1865</v>
      </c>
      <c r="B1700" s="1">
        <v>45863</v>
      </c>
      <c r="C1700" t="s">
        <v>43</v>
      </c>
      <c r="D1700" t="s">
        <v>244</v>
      </c>
      <c r="E1700" t="s">
        <v>300</v>
      </c>
      <c r="F1700" t="s">
        <v>138</v>
      </c>
      <c r="G1700" t="s">
        <v>75</v>
      </c>
      <c r="H1700" t="s">
        <v>31</v>
      </c>
      <c r="I1700" t="s">
        <v>112</v>
      </c>
      <c r="J1700" t="s">
        <v>136</v>
      </c>
      <c r="K1700">
        <v>5</v>
      </c>
      <c r="L1700" s="2">
        <v>526.19000000000005</v>
      </c>
      <c r="M1700" s="3">
        <v>0</v>
      </c>
      <c r="N1700" s="2">
        <v>2630.95</v>
      </c>
      <c r="O1700" s="2">
        <v>1710.54</v>
      </c>
      <c r="P1700" s="2">
        <v>920.41</v>
      </c>
      <c r="Q1700" t="s">
        <v>34</v>
      </c>
    </row>
    <row r="1701" spans="1:17" x14ac:dyDescent="0.2">
      <c r="A1701" t="s">
        <v>1866</v>
      </c>
      <c r="B1701" s="1">
        <v>45864</v>
      </c>
      <c r="C1701" t="s">
        <v>43</v>
      </c>
      <c r="D1701" t="s">
        <v>244</v>
      </c>
      <c r="E1701" t="s">
        <v>326</v>
      </c>
      <c r="F1701" t="s">
        <v>30</v>
      </c>
      <c r="G1701" t="s">
        <v>22</v>
      </c>
      <c r="H1701" t="s">
        <v>31</v>
      </c>
      <c r="I1701" t="s">
        <v>40</v>
      </c>
      <c r="J1701" t="s">
        <v>216</v>
      </c>
      <c r="K1701">
        <v>2</v>
      </c>
      <c r="L1701" s="2">
        <v>154.37</v>
      </c>
      <c r="M1701" s="3">
        <v>0.05</v>
      </c>
      <c r="N1701" s="2">
        <v>293.3</v>
      </c>
      <c r="O1701" s="2">
        <v>174.71</v>
      </c>
      <c r="P1701" s="2">
        <v>118.59</v>
      </c>
      <c r="Q1701" t="s">
        <v>57</v>
      </c>
    </row>
    <row r="1702" spans="1:17" x14ac:dyDescent="0.2">
      <c r="A1702" t="s">
        <v>1867</v>
      </c>
      <c r="B1702" s="1">
        <v>45864</v>
      </c>
      <c r="C1702" t="s">
        <v>43</v>
      </c>
      <c r="D1702" t="s">
        <v>208</v>
      </c>
      <c r="E1702" t="s">
        <v>209</v>
      </c>
      <c r="F1702" t="s">
        <v>53</v>
      </c>
      <c r="G1702" t="s">
        <v>75</v>
      </c>
      <c r="H1702" t="s">
        <v>47</v>
      </c>
      <c r="I1702" t="s">
        <v>141</v>
      </c>
      <c r="J1702" t="s">
        <v>372</v>
      </c>
      <c r="K1702">
        <v>1</v>
      </c>
      <c r="L1702" s="2">
        <v>372.6</v>
      </c>
      <c r="M1702" s="3">
        <v>0.1</v>
      </c>
      <c r="N1702" s="2">
        <v>335.34</v>
      </c>
      <c r="O1702" s="2">
        <v>258.44</v>
      </c>
      <c r="P1702" s="2">
        <v>76.900000000000006</v>
      </c>
      <c r="Q1702" t="s">
        <v>61</v>
      </c>
    </row>
    <row r="1703" spans="1:17" x14ac:dyDescent="0.2">
      <c r="A1703" t="s">
        <v>1868</v>
      </c>
      <c r="B1703" s="1">
        <v>45864</v>
      </c>
      <c r="C1703" t="s">
        <v>36</v>
      </c>
      <c r="D1703" t="s">
        <v>144</v>
      </c>
      <c r="E1703" t="s">
        <v>232</v>
      </c>
      <c r="F1703" t="s">
        <v>71</v>
      </c>
      <c r="G1703" t="s">
        <v>75</v>
      </c>
      <c r="H1703" t="s">
        <v>23</v>
      </c>
      <c r="I1703" t="s">
        <v>83</v>
      </c>
      <c r="J1703" t="s">
        <v>84</v>
      </c>
      <c r="K1703">
        <v>1</v>
      </c>
      <c r="L1703" s="2">
        <v>20.25</v>
      </c>
      <c r="M1703" s="3">
        <v>0</v>
      </c>
      <c r="N1703" s="2">
        <v>20.25</v>
      </c>
      <c r="O1703" s="2">
        <v>15.38</v>
      </c>
      <c r="P1703" s="2">
        <v>4.87</v>
      </c>
      <c r="Q1703" t="s">
        <v>61</v>
      </c>
    </row>
    <row r="1704" spans="1:17" x14ac:dyDescent="0.2">
      <c r="A1704" t="s">
        <v>1869</v>
      </c>
      <c r="B1704" s="1">
        <v>45864</v>
      </c>
      <c r="C1704" t="s">
        <v>77</v>
      </c>
      <c r="D1704" t="s">
        <v>78</v>
      </c>
      <c r="E1704" t="s">
        <v>52</v>
      </c>
      <c r="F1704" t="s">
        <v>60</v>
      </c>
      <c r="G1704" t="s">
        <v>54</v>
      </c>
      <c r="H1704" t="s">
        <v>47</v>
      </c>
      <c r="I1704" t="s">
        <v>89</v>
      </c>
      <c r="J1704" t="s">
        <v>90</v>
      </c>
      <c r="K1704">
        <v>8</v>
      </c>
      <c r="L1704" s="2">
        <v>439.48</v>
      </c>
      <c r="M1704" s="3">
        <v>0.15</v>
      </c>
      <c r="N1704" s="2">
        <v>2988.46</v>
      </c>
      <c r="O1704" s="2">
        <v>1944.6</v>
      </c>
      <c r="P1704" s="2">
        <v>1043.8599999999999</v>
      </c>
      <c r="Q1704" t="s">
        <v>34</v>
      </c>
    </row>
    <row r="1705" spans="1:17" x14ac:dyDescent="0.2">
      <c r="A1705" t="s">
        <v>1870</v>
      </c>
      <c r="B1705" s="1">
        <v>45864</v>
      </c>
      <c r="C1705" t="s">
        <v>18</v>
      </c>
      <c r="D1705" t="s">
        <v>133</v>
      </c>
      <c r="E1705" t="s">
        <v>197</v>
      </c>
      <c r="F1705" t="s">
        <v>60</v>
      </c>
      <c r="G1705" t="s">
        <v>22</v>
      </c>
      <c r="H1705" t="s">
        <v>47</v>
      </c>
      <c r="I1705" t="s">
        <v>141</v>
      </c>
      <c r="J1705" t="s">
        <v>201</v>
      </c>
      <c r="K1705">
        <v>4</v>
      </c>
      <c r="L1705" s="2">
        <v>173.77</v>
      </c>
      <c r="M1705" s="3">
        <v>0.1</v>
      </c>
      <c r="N1705" s="2">
        <v>625.57000000000005</v>
      </c>
      <c r="O1705" s="2">
        <v>509.63</v>
      </c>
      <c r="P1705" s="2">
        <v>115.94</v>
      </c>
      <c r="Q1705" t="s">
        <v>26</v>
      </c>
    </row>
    <row r="1706" spans="1:17" x14ac:dyDescent="0.2">
      <c r="A1706" t="s">
        <v>1871</v>
      </c>
      <c r="B1706" s="1">
        <v>45864</v>
      </c>
      <c r="C1706" t="s">
        <v>43</v>
      </c>
      <c r="D1706" t="s">
        <v>51</v>
      </c>
      <c r="E1706" t="s">
        <v>63</v>
      </c>
      <c r="F1706" t="s">
        <v>21</v>
      </c>
      <c r="G1706" t="s">
        <v>22</v>
      </c>
      <c r="H1706" t="s">
        <v>31</v>
      </c>
      <c r="I1706" t="s">
        <v>112</v>
      </c>
      <c r="J1706" t="s">
        <v>176</v>
      </c>
      <c r="K1706">
        <v>2</v>
      </c>
      <c r="L1706" s="2">
        <v>642.42999999999995</v>
      </c>
      <c r="M1706" s="3">
        <v>0.15</v>
      </c>
      <c r="N1706" s="2">
        <v>1092.1300000000001</v>
      </c>
      <c r="O1706" s="2">
        <v>805.16</v>
      </c>
      <c r="P1706" s="2">
        <v>286.97000000000003</v>
      </c>
      <c r="Q1706" t="s">
        <v>34</v>
      </c>
    </row>
    <row r="1707" spans="1:17" x14ac:dyDescent="0.2">
      <c r="A1707" t="s">
        <v>1872</v>
      </c>
      <c r="B1707" s="1">
        <v>45864</v>
      </c>
      <c r="C1707" t="s">
        <v>43</v>
      </c>
      <c r="D1707" t="s">
        <v>244</v>
      </c>
      <c r="E1707" t="s">
        <v>326</v>
      </c>
      <c r="F1707" t="s">
        <v>30</v>
      </c>
      <c r="G1707" t="s">
        <v>75</v>
      </c>
      <c r="H1707" t="s">
        <v>47</v>
      </c>
      <c r="I1707" t="s">
        <v>141</v>
      </c>
      <c r="J1707" t="s">
        <v>372</v>
      </c>
      <c r="K1707">
        <v>3</v>
      </c>
      <c r="L1707" s="2">
        <v>681.33</v>
      </c>
      <c r="M1707" s="3">
        <v>0</v>
      </c>
      <c r="N1707" s="2">
        <v>2043.99</v>
      </c>
      <c r="O1707" s="2">
        <v>1212.94</v>
      </c>
      <c r="P1707" s="2">
        <v>831.05</v>
      </c>
      <c r="Q1707" t="s">
        <v>57</v>
      </c>
    </row>
    <row r="1708" spans="1:17" x14ac:dyDescent="0.2">
      <c r="A1708" t="s">
        <v>1873</v>
      </c>
      <c r="B1708" s="1">
        <v>45864</v>
      </c>
      <c r="C1708" t="s">
        <v>77</v>
      </c>
      <c r="D1708" t="s">
        <v>149</v>
      </c>
      <c r="E1708" t="s">
        <v>206</v>
      </c>
      <c r="F1708" t="s">
        <v>130</v>
      </c>
      <c r="G1708" t="s">
        <v>75</v>
      </c>
      <c r="H1708" t="s">
        <v>31</v>
      </c>
      <c r="I1708" t="s">
        <v>40</v>
      </c>
      <c r="J1708" t="s">
        <v>41</v>
      </c>
      <c r="K1708">
        <v>1</v>
      </c>
      <c r="L1708" s="2">
        <v>207.97</v>
      </c>
      <c r="M1708" s="3">
        <v>0.1</v>
      </c>
      <c r="N1708" s="2">
        <v>187.17</v>
      </c>
      <c r="O1708" s="2">
        <v>128.46</v>
      </c>
      <c r="P1708" s="2">
        <v>58.71</v>
      </c>
      <c r="Q1708" t="s">
        <v>34</v>
      </c>
    </row>
    <row r="1709" spans="1:17" x14ac:dyDescent="0.2">
      <c r="A1709" t="s">
        <v>1874</v>
      </c>
      <c r="B1709" s="1">
        <v>45864</v>
      </c>
      <c r="C1709" t="s">
        <v>43</v>
      </c>
      <c r="D1709" t="s">
        <v>208</v>
      </c>
      <c r="E1709" t="s">
        <v>209</v>
      </c>
      <c r="F1709" t="s">
        <v>21</v>
      </c>
      <c r="G1709" t="s">
        <v>75</v>
      </c>
      <c r="H1709" t="s">
        <v>23</v>
      </c>
      <c r="I1709" t="s">
        <v>24</v>
      </c>
      <c r="J1709" t="s">
        <v>220</v>
      </c>
      <c r="K1709">
        <v>6</v>
      </c>
      <c r="L1709" s="2">
        <v>23.65</v>
      </c>
      <c r="M1709" s="3">
        <v>0.15</v>
      </c>
      <c r="N1709" s="2">
        <v>120.61</v>
      </c>
      <c r="O1709" s="2">
        <v>66.92</v>
      </c>
      <c r="P1709" s="2">
        <v>53.69</v>
      </c>
      <c r="Q1709" t="s">
        <v>61</v>
      </c>
    </row>
    <row r="1710" spans="1:17" x14ac:dyDescent="0.2">
      <c r="A1710" t="s">
        <v>1875</v>
      </c>
      <c r="B1710" s="1">
        <v>45864</v>
      </c>
      <c r="C1710" t="s">
        <v>36</v>
      </c>
      <c r="D1710" t="s">
        <v>144</v>
      </c>
      <c r="E1710" t="s">
        <v>214</v>
      </c>
      <c r="F1710" t="s">
        <v>130</v>
      </c>
      <c r="G1710" t="s">
        <v>75</v>
      </c>
      <c r="H1710" t="s">
        <v>31</v>
      </c>
      <c r="I1710" t="s">
        <v>112</v>
      </c>
      <c r="J1710" t="s">
        <v>176</v>
      </c>
      <c r="K1710">
        <v>9</v>
      </c>
      <c r="L1710" s="2">
        <v>514.33000000000004</v>
      </c>
      <c r="M1710" s="3">
        <v>0</v>
      </c>
      <c r="N1710" s="2">
        <v>4628.97</v>
      </c>
      <c r="O1710" s="2">
        <v>3013.03</v>
      </c>
      <c r="P1710" s="2">
        <v>1615.94</v>
      </c>
      <c r="Q1710" t="s">
        <v>61</v>
      </c>
    </row>
    <row r="1711" spans="1:17" x14ac:dyDescent="0.2">
      <c r="A1711" t="s">
        <v>1876</v>
      </c>
      <c r="B1711" s="1">
        <v>45865</v>
      </c>
      <c r="C1711" t="s">
        <v>36</v>
      </c>
      <c r="D1711" t="s">
        <v>73</v>
      </c>
      <c r="E1711" t="s">
        <v>74</v>
      </c>
      <c r="F1711" t="s">
        <v>53</v>
      </c>
      <c r="G1711" t="s">
        <v>75</v>
      </c>
      <c r="H1711" t="s">
        <v>23</v>
      </c>
      <c r="I1711" t="s">
        <v>55</v>
      </c>
      <c r="J1711" t="s">
        <v>102</v>
      </c>
      <c r="K1711">
        <v>5</v>
      </c>
      <c r="L1711" s="2">
        <v>13</v>
      </c>
      <c r="M1711" s="3">
        <v>0</v>
      </c>
      <c r="N1711" s="2">
        <v>65</v>
      </c>
      <c r="O1711" s="2">
        <v>46.14</v>
      </c>
      <c r="P1711" s="2">
        <v>18.86</v>
      </c>
      <c r="Q1711" t="s">
        <v>26</v>
      </c>
    </row>
    <row r="1712" spans="1:17" x14ac:dyDescent="0.2">
      <c r="A1712" t="s">
        <v>1877</v>
      </c>
      <c r="B1712" s="1">
        <v>45865</v>
      </c>
      <c r="C1712" t="s">
        <v>77</v>
      </c>
      <c r="D1712" t="s">
        <v>95</v>
      </c>
      <c r="E1712" t="s">
        <v>96</v>
      </c>
      <c r="F1712" t="s">
        <v>30</v>
      </c>
      <c r="G1712" t="s">
        <v>54</v>
      </c>
      <c r="H1712" t="s">
        <v>31</v>
      </c>
      <c r="I1712" t="s">
        <v>112</v>
      </c>
      <c r="J1712" t="s">
        <v>176</v>
      </c>
      <c r="K1712">
        <v>10</v>
      </c>
      <c r="L1712" s="2">
        <v>465.9</v>
      </c>
      <c r="M1712" s="3">
        <v>0</v>
      </c>
      <c r="N1712" s="2">
        <v>4659</v>
      </c>
      <c r="O1712" s="2">
        <v>2675.84</v>
      </c>
      <c r="P1712" s="2">
        <v>1983.16</v>
      </c>
      <c r="Q1712" t="s">
        <v>61</v>
      </c>
    </row>
    <row r="1713" spans="1:17" x14ac:dyDescent="0.2">
      <c r="A1713" t="s">
        <v>1878</v>
      </c>
      <c r="B1713" s="1">
        <v>45865</v>
      </c>
      <c r="C1713" t="s">
        <v>18</v>
      </c>
      <c r="D1713" t="s">
        <v>133</v>
      </c>
      <c r="E1713" t="s">
        <v>134</v>
      </c>
      <c r="F1713" t="s">
        <v>69</v>
      </c>
      <c r="G1713" t="s">
        <v>75</v>
      </c>
      <c r="H1713" t="s">
        <v>23</v>
      </c>
      <c r="I1713" t="s">
        <v>24</v>
      </c>
      <c r="J1713" t="s">
        <v>220</v>
      </c>
      <c r="K1713">
        <v>7</v>
      </c>
      <c r="L1713" s="2">
        <v>14.25</v>
      </c>
      <c r="M1713" s="3">
        <v>0.05</v>
      </c>
      <c r="N1713" s="2">
        <v>94.76</v>
      </c>
      <c r="O1713" s="2">
        <v>56.52</v>
      </c>
      <c r="P1713" s="2">
        <v>38.24</v>
      </c>
      <c r="Q1713" t="s">
        <v>26</v>
      </c>
    </row>
    <row r="1714" spans="1:17" x14ac:dyDescent="0.2">
      <c r="A1714" t="s">
        <v>1879</v>
      </c>
      <c r="B1714" s="1">
        <v>45865</v>
      </c>
      <c r="C1714" t="s">
        <v>43</v>
      </c>
      <c r="D1714" t="s">
        <v>161</v>
      </c>
      <c r="E1714" t="s">
        <v>162</v>
      </c>
      <c r="F1714" t="s">
        <v>130</v>
      </c>
      <c r="G1714" t="s">
        <v>22</v>
      </c>
      <c r="H1714" t="s">
        <v>23</v>
      </c>
      <c r="I1714" t="s">
        <v>83</v>
      </c>
      <c r="J1714" t="s">
        <v>120</v>
      </c>
      <c r="K1714">
        <v>9</v>
      </c>
      <c r="L1714" s="2">
        <v>19.53</v>
      </c>
      <c r="M1714" s="3">
        <v>0.05</v>
      </c>
      <c r="N1714" s="2">
        <v>166.98</v>
      </c>
      <c r="O1714" s="2">
        <v>124.31</v>
      </c>
      <c r="P1714" s="2">
        <v>42.67</v>
      </c>
      <c r="Q1714" t="s">
        <v>26</v>
      </c>
    </row>
    <row r="1715" spans="1:17" x14ac:dyDescent="0.2">
      <c r="A1715" t="s">
        <v>1880</v>
      </c>
      <c r="B1715" s="1">
        <v>45865</v>
      </c>
      <c r="C1715" t="s">
        <v>18</v>
      </c>
      <c r="D1715" t="s">
        <v>28</v>
      </c>
      <c r="E1715" t="s">
        <v>170</v>
      </c>
      <c r="F1715" t="s">
        <v>30</v>
      </c>
      <c r="G1715" t="s">
        <v>54</v>
      </c>
      <c r="H1715" t="s">
        <v>47</v>
      </c>
      <c r="I1715" t="s">
        <v>97</v>
      </c>
      <c r="J1715" t="s">
        <v>168</v>
      </c>
      <c r="K1715">
        <v>2</v>
      </c>
      <c r="L1715" s="2">
        <v>112.59</v>
      </c>
      <c r="M1715" s="3">
        <v>0.15</v>
      </c>
      <c r="N1715" s="2">
        <v>191.4</v>
      </c>
      <c r="O1715" s="2">
        <v>152.21</v>
      </c>
      <c r="P1715" s="2">
        <v>39.19</v>
      </c>
      <c r="Q1715" t="s">
        <v>57</v>
      </c>
    </row>
    <row r="1716" spans="1:17" x14ac:dyDescent="0.2">
      <c r="A1716" t="s">
        <v>1881</v>
      </c>
      <c r="B1716" s="1">
        <v>45865</v>
      </c>
      <c r="C1716" t="s">
        <v>18</v>
      </c>
      <c r="D1716" t="s">
        <v>19</v>
      </c>
      <c r="E1716" t="s">
        <v>20</v>
      </c>
      <c r="F1716" t="s">
        <v>138</v>
      </c>
      <c r="G1716" t="s">
        <v>54</v>
      </c>
      <c r="H1716" t="s">
        <v>47</v>
      </c>
      <c r="I1716" t="s">
        <v>89</v>
      </c>
      <c r="J1716" t="s">
        <v>204</v>
      </c>
      <c r="K1716">
        <v>10</v>
      </c>
      <c r="L1716" s="2">
        <v>297.18</v>
      </c>
      <c r="M1716" s="3">
        <v>0.1</v>
      </c>
      <c r="N1716" s="2">
        <v>2674.62</v>
      </c>
      <c r="O1716" s="2">
        <v>1817.77</v>
      </c>
      <c r="P1716" s="2">
        <v>856.85</v>
      </c>
      <c r="Q1716" t="s">
        <v>26</v>
      </c>
    </row>
    <row r="1717" spans="1:17" x14ac:dyDescent="0.2">
      <c r="A1717" t="s">
        <v>1882</v>
      </c>
      <c r="B1717" s="1">
        <v>45865</v>
      </c>
      <c r="C1717" t="s">
        <v>18</v>
      </c>
      <c r="D1717" t="s">
        <v>28</v>
      </c>
      <c r="E1717" t="s">
        <v>29</v>
      </c>
      <c r="F1717" t="s">
        <v>30</v>
      </c>
      <c r="G1717" t="s">
        <v>75</v>
      </c>
      <c r="H1717" t="s">
        <v>31</v>
      </c>
      <c r="I1717" t="s">
        <v>32</v>
      </c>
      <c r="J1717" t="s">
        <v>104</v>
      </c>
      <c r="K1717">
        <v>7</v>
      </c>
      <c r="L1717" s="2">
        <v>1349.27</v>
      </c>
      <c r="M1717" s="3">
        <v>0.15</v>
      </c>
      <c r="N1717" s="2">
        <v>8028.16</v>
      </c>
      <c r="O1717" s="2">
        <v>4838.42</v>
      </c>
      <c r="P1717" s="2">
        <v>3189.74</v>
      </c>
      <c r="Q1717" t="s">
        <v>26</v>
      </c>
    </row>
    <row r="1718" spans="1:17" x14ac:dyDescent="0.2">
      <c r="A1718" t="s">
        <v>1883</v>
      </c>
      <c r="B1718" s="1">
        <v>45865</v>
      </c>
      <c r="C1718" t="s">
        <v>43</v>
      </c>
      <c r="D1718" t="s">
        <v>244</v>
      </c>
      <c r="E1718" t="s">
        <v>326</v>
      </c>
      <c r="F1718" t="s">
        <v>60</v>
      </c>
      <c r="G1718" t="s">
        <v>22</v>
      </c>
      <c r="H1718" t="s">
        <v>23</v>
      </c>
      <c r="I1718" t="s">
        <v>24</v>
      </c>
      <c r="J1718" t="s">
        <v>220</v>
      </c>
      <c r="K1718">
        <v>8</v>
      </c>
      <c r="L1718" s="2">
        <v>7.44</v>
      </c>
      <c r="M1718" s="3">
        <v>0.05</v>
      </c>
      <c r="N1718" s="2">
        <v>56.54</v>
      </c>
      <c r="O1718" s="2">
        <v>44.06</v>
      </c>
      <c r="P1718" s="2">
        <v>12.48</v>
      </c>
      <c r="Q1718" t="s">
        <v>61</v>
      </c>
    </row>
    <row r="1719" spans="1:17" x14ac:dyDescent="0.2">
      <c r="A1719" t="s">
        <v>1884</v>
      </c>
      <c r="B1719" s="1">
        <v>45866</v>
      </c>
      <c r="C1719" t="s">
        <v>18</v>
      </c>
      <c r="D1719" t="s">
        <v>133</v>
      </c>
      <c r="E1719" t="s">
        <v>197</v>
      </c>
      <c r="F1719" t="s">
        <v>53</v>
      </c>
      <c r="G1719" t="s">
        <v>22</v>
      </c>
      <c r="H1719" t="s">
        <v>31</v>
      </c>
      <c r="I1719" t="s">
        <v>40</v>
      </c>
      <c r="J1719" t="s">
        <v>41</v>
      </c>
      <c r="K1719">
        <v>8</v>
      </c>
      <c r="L1719" s="2">
        <v>64.77</v>
      </c>
      <c r="M1719" s="3">
        <v>0</v>
      </c>
      <c r="N1719" s="2">
        <v>518.16</v>
      </c>
      <c r="O1719" s="2">
        <v>316.98</v>
      </c>
      <c r="P1719" s="2">
        <v>201.18</v>
      </c>
      <c r="Q1719" t="s">
        <v>57</v>
      </c>
    </row>
    <row r="1720" spans="1:17" x14ac:dyDescent="0.2">
      <c r="A1720" t="s">
        <v>1885</v>
      </c>
      <c r="B1720" s="1">
        <v>45866</v>
      </c>
      <c r="C1720" t="s">
        <v>36</v>
      </c>
      <c r="D1720" t="s">
        <v>110</v>
      </c>
      <c r="E1720" t="s">
        <v>111</v>
      </c>
      <c r="F1720" t="s">
        <v>71</v>
      </c>
      <c r="G1720" t="s">
        <v>75</v>
      </c>
      <c r="H1720" t="s">
        <v>23</v>
      </c>
      <c r="I1720" t="s">
        <v>79</v>
      </c>
      <c r="J1720" t="s">
        <v>233</v>
      </c>
      <c r="K1720">
        <v>5</v>
      </c>
      <c r="L1720" s="2">
        <v>324.86</v>
      </c>
      <c r="M1720" s="3">
        <v>0</v>
      </c>
      <c r="N1720" s="2">
        <v>1624.3</v>
      </c>
      <c r="O1720" s="2">
        <v>1140.99</v>
      </c>
      <c r="P1720" s="2">
        <v>483.31</v>
      </c>
      <c r="Q1720" t="s">
        <v>57</v>
      </c>
    </row>
    <row r="1721" spans="1:17" x14ac:dyDescent="0.2">
      <c r="A1721" t="s">
        <v>1886</v>
      </c>
      <c r="B1721" s="1">
        <v>45866</v>
      </c>
      <c r="C1721" t="s">
        <v>43</v>
      </c>
      <c r="D1721" t="s">
        <v>244</v>
      </c>
      <c r="E1721" t="s">
        <v>245</v>
      </c>
      <c r="F1721" t="s">
        <v>30</v>
      </c>
      <c r="G1721" t="s">
        <v>75</v>
      </c>
      <c r="H1721" t="s">
        <v>23</v>
      </c>
      <c r="I1721" t="s">
        <v>79</v>
      </c>
      <c r="J1721" t="s">
        <v>233</v>
      </c>
      <c r="K1721">
        <v>7</v>
      </c>
      <c r="L1721" s="2">
        <v>138.75</v>
      </c>
      <c r="M1721" s="3">
        <v>0.15</v>
      </c>
      <c r="N1721" s="2">
        <v>825.56</v>
      </c>
      <c r="O1721" s="2">
        <v>601.9</v>
      </c>
      <c r="P1721" s="2">
        <v>223.66</v>
      </c>
      <c r="Q1721" t="s">
        <v>34</v>
      </c>
    </row>
    <row r="1722" spans="1:17" x14ac:dyDescent="0.2">
      <c r="A1722" t="s">
        <v>1887</v>
      </c>
      <c r="B1722" s="1">
        <v>45866</v>
      </c>
      <c r="C1722" t="s">
        <v>77</v>
      </c>
      <c r="D1722" t="s">
        <v>95</v>
      </c>
      <c r="E1722" t="s">
        <v>367</v>
      </c>
      <c r="F1722" t="s">
        <v>30</v>
      </c>
      <c r="G1722" t="s">
        <v>75</v>
      </c>
      <c r="H1722" t="s">
        <v>47</v>
      </c>
      <c r="I1722" t="s">
        <v>141</v>
      </c>
      <c r="J1722" t="s">
        <v>142</v>
      </c>
      <c r="K1722">
        <v>2</v>
      </c>
      <c r="L1722" s="2">
        <v>388.27</v>
      </c>
      <c r="M1722" s="3">
        <v>0.05</v>
      </c>
      <c r="N1722" s="2">
        <v>737.71</v>
      </c>
      <c r="O1722" s="2">
        <v>524.05999999999995</v>
      </c>
      <c r="P1722" s="2">
        <v>213.65</v>
      </c>
      <c r="Q1722" t="s">
        <v>57</v>
      </c>
    </row>
    <row r="1723" spans="1:17" x14ac:dyDescent="0.2">
      <c r="A1723" t="s">
        <v>1888</v>
      </c>
      <c r="B1723" s="1">
        <v>45866</v>
      </c>
      <c r="C1723" t="s">
        <v>77</v>
      </c>
      <c r="D1723" t="s">
        <v>95</v>
      </c>
      <c r="E1723" t="s">
        <v>367</v>
      </c>
      <c r="F1723" t="s">
        <v>130</v>
      </c>
      <c r="G1723" t="s">
        <v>22</v>
      </c>
      <c r="H1723" t="s">
        <v>31</v>
      </c>
      <c r="I1723" t="s">
        <v>40</v>
      </c>
      <c r="J1723" t="s">
        <v>216</v>
      </c>
      <c r="K1723">
        <v>1</v>
      </c>
      <c r="L1723" s="2">
        <v>227.45</v>
      </c>
      <c r="M1723" s="3">
        <v>0.05</v>
      </c>
      <c r="N1723" s="2">
        <v>216.08</v>
      </c>
      <c r="O1723" s="2">
        <v>124.21</v>
      </c>
      <c r="P1723" s="2">
        <v>91.87</v>
      </c>
      <c r="Q1723" t="s">
        <v>34</v>
      </c>
    </row>
    <row r="1724" spans="1:17" x14ac:dyDescent="0.2">
      <c r="A1724" t="s">
        <v>1889</v>
      </c>
      <c r="B1724" s="1">
        <v>45866</v>
      </c>
      <c r="C1724" t="s">
        <v>43</v>
      </c>
      <c r="D1724" t="s">
        <v>51</v>
      </c>
      <c r="E1724" t="s">
        <v>52</v>
      </c>
      <c r="F1724" t="s">
        <v>71</v>
      </c>
      <c r="G1724" t="s">
        <v>22</v>
      </c>
      <c r="H1724" t="s">
        <v>31</v>
      </c>
      <c r="I1724" t="s">
        <v>112</v>
      </c>
      <c r="J1724" t="s">
        <v>176</v>
      </c>
      <c r="K1724">
        <v>10</v>
      </c>
      <c r="L1724" s="2">
        <v>615.54</v>
      </c>
      <c r="M1724" s="3">
        <v>0</v>
      </c>
      <c r="N1724" s="2">
        <v>6155.4</v>
      </c>
      <c r="O1724" s="2">
        <v>4064.64</v>
      </c>
      <c r="P1724" s="2">
        <v>2090.7600000000002</v>
      </c>
      <c r="Q1724" t="s">
        <v>26</v>
      </c>
    </row>
    <row r="1725" spans="1:17" x14ac:dyDescent="0.2">
      <c r="A1725" t="s">
        <v>1890</v>
      </c>
      <c r="B1725" s="1">
        <v>45866</v>
      </c>
      <c r="C1725" t="s">
        <v>43</v>
      </c>
      <c r="D1725" t="s">
        <v>161</v>
      </c>
      <c r="E1725" t="s">
        <v>162</v>
      </c>
      <c r="F1725" t="s">
        <v>69</v>
      </c>
      <c r="G1725" t="s">
        <v>22</v>
      </c>
      <c r="H1725" t="s">
        <v>23</v>
      </c>
      <c r="I1725" t="s">
        <v>55</v>
      </c>
      <c r="J1725" t="s">
        <v>173</v>
      </c>
      <c r="K1725">
        <v>9</v>
      </c>
      <c r="L1725" s="2">
        <v>20.11</v>
      </c>
      <c r="M1725" s="3">
        <v>0</v>
      </c>
      <c r="N1725" s="2">
        <v>180.99</v>
      </c>
      <c r="O1725" s="2">
        <v>138.13</v>
      </c>
      <c r="P1725" s="2">
        <v>42.86</v>
      </c>
      <c r="Q1725" t="s">
        <v>26</v>
      </c>
    </row>
    <row r="1726" spans="1:17" x14ac:dyDescent="0.2">
      <c r="A1726" t="s">
        <v>1891</v>
      </c>
      <c r="B1726" s="1">
        <v>45866</v>
      </c>
      <c r="C1726" t="s">
        <v>77</v>
      </c>
      <c r="D1726" t="s">
        <v>78</v>
      </c>
      <c r="E1726" t="s">
        <v>295</v>
      </c>
      <c r="F1726" t="s">
        <v>69</v>
      </c>
      <c r="G1726" t="s">
        <v>75</v>
      </c>
      <c r="H1726" t="s">
        <v>31</v>
      </c>
      <c r="I1726" t="s">
        <v>32</v>
      </c>
      <c r="J1726" t="s">
        <v>104</v>
      </c>
      <c r="K1726">
        <v>8</v>
      </c>
      <c r="L1726" s="2">
        <v>1004.79</v>
      </c>
      <c r="M1726" s="3">
        <v>0.05</v>
      </c>
      <c r="N1726" s="2">
        <v>7636.4</v>
      </c>
      <c r="O1726" s="2">
        <v>4656.37</v>
      </c>
      <c r="P1726" s="2">
        <v>2980.03</v>
      </c>
      <c r="Q1726" t="s">
        <v>34</v>
      </c>
    </row>
    <row r="1727" spans="1:17" x14ac:dyDescent="0.2">
      <c r="A1727" t="s">
        <v>1892</v>
      </c>
      <c r="B1727" s="1">
        <v>45866</v>
      </c>
      <c r="C1727" t="s">
        <v>77</v>
      </c>
      <c r="D1727" t="s">
        <v>106</v>
      </c>
      <c r="E1727" t="s">
        <v>107</v>
      </c>
      <c r="F1727" t="s">
        <v>39</v>
      </c>
      <c r="G1727" t="s">
        <v>22</v>
      </c>
      <c r="H1727" t="s">
        <v>31</v>
      </c>
      <c r="I1727" t="s">
        <v>64</v>
      </c>
      <c r="J1727" t="s">
        <v>65</v>
      </c>
      <c r="K1727">
        <v>2</v>
      </c>
      <c r="L1727" s="2">
        <v>105.31</v>
      </c>
      <c r="M1727" s="3">
        <v>0.15</v>
      </c>
      <c r="N1727" s="2">
        <v>179.03</v>
      </c>
      <c r="O1727" s="2">
        <v>141.47999999999999</v>
      </c>
      <c r="P1727" s="2">
        <v>37.549999999999997</v>
      </c>
      <c r="Q1727" t="s">
        <v>61</v>
      </c>
    </row>
    <row r="1728" spans="1:17" x14ac:dyDescent="0.2">
      <c r="A1728" t="s">
        <v>1893</v>
      </c>
      <c r="B1728" s="1">
        <v>45867</v>
      </c>
      <c r="C1728" t="s">
        <v>18</v>
      </c>
      <c r="D1728" t="s">
        <v>28</v>
      </c>
      <c r="E1728" t="s">
        <v>157</v>
      </c>
      <c r="F1728" t="s">
        <v>53</v>
      </c>
      <c r="G1728" t="s">
        <v>54</v>
      </c>
      <c r="H1728" t="s">
        <v>23</v>
      </c>
      <c r="I1728" t="s">
        <v>79</v>
      </c>
      <c r="J1728" t="s">
        <v>80</v>
      </c>
      <c r="K1728">
        <v>10</v>
      </c>
      <c r="L1728" s="2">
        <v>514.15</v>
      </c>
      <c r="M1728" s="3">
        <v>0.05</v>
      </c>
      <c r="N1728" s="2">
        <v>4884.42</v>
      </c>
      <c r="O1728" s="2">
        <v>2927.68</v>
      </c>
      <c r="P1728" s="2">
        <v>1956.74</v>
      </c>
      <c r="Q1728" t="s">
        <v>26</v>
      </c>
    </row>
    <row r="1729" spans="1:17" x14ac:dyDescent="0.2">
      <c r="A1729" t="s">
        <v>1894</v>
      </c>
      <c r="B1729" s="1">
        <v>45867</v>
      </c>
      <c r="C1729" t="s">
        <v>43</v>
      </c>
      <c r="D1729" t="s">
        <v>44</v>
      </c>
      <c r="E1729" t="s">
        <v>147</v>
      </c>
      <c r="F1729" t="s">
        <v>21</v>
      </c>
      <c r="G1729" t="s">
        <v>22</v>
      </c>
      <c r="H1729" t="s">
        <v>47</v>
      </c>
      <c r="I1729" t="s">
        <v>89</v>
      </c>
      <c r="J1729" t="s">
        <v>90</v>
      </c>
      <c r="K1729">
        <v>8</v>
      </c>
      <c r="L1729" s="2">
        <v>364.82</v>
      </c>
      <c r="M1729" s="3">
        <v>0</v>
      </c>
      <c r="N1729" s="2">
        <v>2918.56</v>
      </c>
      <c r="O1729" s="2">
        <v>1715.99</v>
      </c>
      <c r="P1729" s="2">
        <v>1202.57</v>
      </c>
      <c r="Q1729" t="s">
        <v>57</v>
      </c>
    </row>
    <row r="1730" spans="1:17" x14ac:dyDescent="0.2">
      <c r="A1730" t="s">
        <v>1895</v>
      </c>
      <c r="B1730" s="1">
        <v>45867</v>
      </c>
      <c r="C1730" t="s">
        <v>43</v>
      </c>
      <c r="D1730" t="s">
        <v>244</v>
      </c>
      <c r="E1730" t="s">
        <v>300</v>
      </c>
      <c r="F1730" t="s">
        <v>30</v>
      </c>
      <c r="G1730" t="s">
        <v>75</v>
      </c>
      <c r="H1730" t="s">
        <v>47</v>
      </c>
      <c r="I1730" t="s">
        <v>48</v>
      </c>
      <c r="J1730" t="s">
        <v>49</v>
      </c>
      <c r="K1730">
        <v>3</v>
      </c>
      <c r="L1730" s="2">
        <v>865.15</v>
      </c>
      <c r="M1730" s="3">
        <v>0.1</v>
      </c>
      <c r="N1730" s="2">
        <v>2335.9</v>
      </c>
      <c r="O1730" s="2">
        <v>1741.55</v>
      </c>
      <c r="P1730" s="2">
        <v>594.35</v>
      </c>
      <c r="Q1730" t="s">
        <v>57</v>
      </c>
    </row>
    <row r="1731" spans="1:17" x14ac:dyDescent="0.2">
      <c r="A1731" t="s">
        <v>1896</v>
      </c>
      <c r="B1731" s="1">
        <v>45867</v>
      </c>
      <c r="C1731" t="s">
        <v>43</v>
      </c>
      <c r="D1731" t="s">
        <v>208</v>
      </c>
      <c r="E1731" t="s">
        <v>287</v>
      </c>
      <c r="F1731" t="s">
        <v>138</v>
      </c>
      <c r="G1731" t="s">
        <v>75</v>
      </c>
      <c r="H1731" t="s">
        <v>47</v>
      </c>
      <c r="I1731" t="s">
        <v>141</v>
      </c>
      <c r="J1731" t="s">
        <v>201</v>
      </c>
      <c r="K1731">
        <v>2</v>
      </c>
      <c r="L1731" s="2">
        <v>752.73</v>
      </c>
      <c r="M1731" s="3">
        <v>0.15</v>
      </c>
      <c r="N1731" s="2">
        <v>1279.6400000000001</v>
      </c>
      <c r="O1731" s="2">
        <v>708.23</v>
      </c>
      <c r="P1731" s="2">
        <v>571.41</v>
      </c>
      <c r="Q1731" t="s">
        <v>57</v>
      </c>
    </row>
    <row r="1732" spans="1:17" x14ac:dyDescent="0.2">
      <c r="A1732" t="s">
        <v>1897</v>
      </c>
      <c r="B1732" s="1">
        <v>45867</v>
      </c>
      <c r="C1732" t="s">
        <v>43</v>
      </c>
      <c r="D1732" t="s">
        <v>208</v>
      </c>
      <c r="E1732" t="s">
        <v>287</v>
      </c>
      <c r="F1732" t="s">
        <v>69</v>
      </c>
      <c r="G1732" t="s">
        <v>22</v>
      </c>
      <c r="H1732" t="s">
        <v>23</v>
      </c>
      <c r="I1732" t="s">
        <v>83</v>
      </c>
      <c r="J1732" t="s">
        <v>84</v>
      </c>
      <c r="K1732">
        <v>5</v>
      </c>
      <c r="L1732" s="2">
        <v>29.32</v>
      </c>
      <c r="M1732" s="3">
        <v>0.05</v>
      </c>
      <c r="N1732" s="2">
        <v>139.27000000000001</v>
      </c>
      <c r="O1732" s="2">
        <v>108.36</v>
      </c>
      <c r="P1732" s="2">
        <v>30.91</v>
      </c>
      <c r="Q1732" t="s">
        <v>26</v>
      </c>
    </row>
    <row r="1733" spans="1:17" x14ac:dyDescent="0.2">
      <c r="A1733" t="s">
        <v>1898</v>
      </c>
      <c r="B1733" s="1">
        <v>45868</v>
      </c>
      <c r="C1733" t="s">
        <v>18</v>
      </c>
      <c r="D1733" t="s">
        <v>19</v>
      </c>
      <c r="E1733" t="s">
        <v>20</v>
      </c>
      <c r="F1733" t="s">
        <v>69</v>
      </c>
      <c r="G1733" t="s">
        <v>22</v>
      </c>
      <c r="H1733" t="s">
        <v>31</v>
      </c>
      <c r="I1733" t="s">
        <v>32</v>
      </c>
      <c r="J1733" t="s">
        <v>104</v>
      </c>
      <c r="K1733">
        <v>6</v>
      </c>
      <c r="L1733" s="2">
        <v>1331.79</v>
      </c>
      <c r="M1733" s="3">
        <v>0</v>
      </c>
      <c r="N1733" s="2">
        <v>7990.74</v>
      </c>
      <c r="O1733" s="2">
        <v>5039.9399999999996</v>
      </c>
      <c r="P1733" s="2">
        <v>2950.8</v>
      </c>
      <c r="Q1733" t="s">
        <v>61</v>
      </c>
    </row>
    <row r="1734" spans="1:17" x14ac:dyDescent="0.2">
      <c r="A1734" t="s">
        <v>1899</v>
      </c>
      <c r="B1734" s="1">
        <v>45868</v>
      </c>
      <c r="C1734" t="s">
        <v>43</v>
      </c>
      <c r="D1734" t="s">
        <v>44</v>
      </c>
      <c r="E1734" t="s">
        <v>147</v>
      </c>
      <c r="F1734" t="s">
        <v>39</v>
      </c>
      <c r="G1734" t="s">
        <v>75</v>
      </c>
      <c r="H1734" t="s">
        <v>23</v>
      </c>
      <c r="I1734" t="s">
        <v>55</v>
      </c>
      <c r="J1734" t="s">
        <v>56</v>
      </c>
      <c r="K1734">
        <v>6</v>
      </c>
      <c r="L1734" s="2">
        <v>22.16</v>
      </c>
      <c r="M1734" s="3">
        <v>0.1</v>
      </c>
      <c r="N1734" s="2">
        <v>119.66</v>
      </c>
      <c r="O1734" s="2">
        <v>86.49</v>
      </c>
      <c r="P1734" s="2">
        <v>33.17</v>
      </c>
      <c r="Q1734" t="s">
        <v>57</v>
      </c>
    </row>
    <row r="1735" spans="1:17" x14ac:dyDescent="0.2">
      <c r="A1735" t="s">
        <v>1900</v>
      </c>
      <c r="B1735" s="1">
        <v>45868</v>
      </c>
      <c r="C1735" t="s">
        <v>36</v>
      </c>
      <c r="D1735" t="s">
        <v>37</v>
      </c>
      <c r="E1735" t="s">
        <v>255</v>
      </c>
      <c r="F1735" t="s">
        <v>39</v>
      </c>
      <c r="G1735" t="s">
        <v>22</v>
      </c>
      <c r="H1735" t="s">
        <v>23</v>
      </c>
      <c r="I1735" t="s">
        <v>83</v>
      </c>
      <c r="J1735" t="s">
        <v>84</v>
      </c>
      <c r="K1735">
        <v>7</v>
      </c>
      <c r="L1735" s="2">
        <v>21.74</v>
      </c>
      <c r="M1735" s="3">
        <v>0.15</v>
      </c>
      <c r="N1735" s="2">
        <v>129.35</v>
      </c>
      <c r="O1735" s="2">
        <v>85.49</v>
      </c>
      <c r="P1735" s="2">
        <v>43.86</v>
      </c>
      <c r="Q1735" t="s">
        <v>26</v>
      </c>
    </row>
    <row r="1736" spans="1:17" x14ac:dyDescent="0.2">
      <c r="A1736" t="s">
        <v>1901</v>
      </c>
      <c r="B1736" s="1">
        <v>45869</v>
      </c>
      <c r="C1736" t="s">
        <v>18</v>
      </c>
      <c r="D1736" t="s">
        <v>28</v>
      </c>
      <c r="E1736" t="s">
        <v>29</v>
      </c>
      <c r="F1736" t="s">
        <v>53</v>
      </c>
      <c r="G1736" t="s">
        <v>75</v>
      </c>
      <c r="H1736" t="s">
        <v>31</v>
      </c>
      <c r="I1736" t="s">
        <v>32</v>
      </c>
      <c r="J1736" t="s">
        <v>33</v>
      </c>
      <c r="K1736">
        <v>3</v>
      </c>
      <c r="L1736" s="2">
        <v>732.51</v>
      </c>
      <c r="M1736" s="3">
        <v>0.05</v>
      </c>
      <c r="N1736" s="2">
        <v>2087.65</v>
      </c>
      <c r="O1736" s="2">
        <v>1582.68</v>
      </c>
      <c r="P1736" s="2">
        <v>504.97</v>
      </c>
      <c r="Q1736" t="s">
        <v>57</v>
      </c>
    </row>
    <row r="1737" spans="1:17" x14ac:dyDescent="0.2">
      <c r="A1737" t="s">
        <v>1902</v>
      </c>
      <c r="B1737" s="1">
        <v>45869</v>
      </c>
      <c r="C1737" t="s">
        <v>36</v>
      </c>
      <c r="D1737" t="s">
        <v>67</v>
      </c>
      <c r="E1737" t="s">
        <v>270</v>
      </c>
      <c r="F1737" t="s">
        <v>138</v>
      </c>
      <c r="G1737" t="s">
        <v>22</v>
      </c>
      <c r="H1737" t="s">
        <v>31</v>
      </c>
      <c r="I1737" t="s">
        <v>112</v>
      </c>
      <c r="J1737" t="s">
        <v>136</v>
      </c>
      <c r="K1737">
        <v>6</v>
      </c>
      <c r="L1737" s="2">
        <v>588.6</v>
      </c>
      <c r="M1737" s="3">
        <v>0</v>
      </c>
      <c r="N1737" s="2">
        <v>3531.6</v>
      </c>
      <c r="O1737" s="2">
        <v>2194.06</v>
      </c>
      <c r="P1737" s="2">
        <v>1337.54</v>
      </c>
      <c r="Q1737" t="s">
        <v>34</v>
      </c>
    </row>
    <row r="1738" spans="1:17" x14ac:dyDescent="0.2">
      <c r="A1738" t="s">
        <v>1903</v>
      </c>
      <c r="B1738" s="1">
        <v>45869</v>
      </c>
      <c r="C1738" t="s">
        <v>18</v>
      </c>
      <c r="D1738" t="s">
        <v>133</v>
      </c>
      <c r="E1738" t="s">
        <v>134</v>
      </c>
      <c r="F1738" t="s">
        <v>46</v>
      </c>
      <c r="G1738" t="s">
        <v>75</v>
      </c>
      <c r="H1738" t="s">
        <v>47</v>
      </c>
      <c r="I1738" t="s">
        <v>89</v>
      </c>
      <c r="J1738" t="s">
        <v>204</v>
      </c>
      <c r="K1738">
        <v>6</v>
      </c>
      <c r="L1738" s="2">
        <v>376.21</v>
      </c>
      <c r="M1738" s="3">
        <v>0.05</v>
      </c>
      <c r="N1738" s="2">
        <v>2144.4</v>
      </c>
      <c r="O1738" s="2">
        <v>1515.87</v>
      </c>
      <c r="P1738" s="2">
        <v>628.53</v>
      </c>
      <c r="Q1738" t="s">
        <v>61</v>
      </c>
    </row>
    <row r="1739" spans="1:17" x14ac:dyDescent="0.2">
      <c r="A1739" t="s">
        <v>1904</v>
      </c>
      <c r="B1739" s="1">
        <v>45869</v>
      </c>
      <c r="C1739" t="s">
        <v>43</v>
      </c>
      <c r="D1739" t="s">
        <v>208</v>
      </c>
      <c r="E1739" t="s">
        <v>209</v>
      </c>
      <c r="F1739" t="s">
        <v>60</v>
      </c>
      <c r="G1739" t="s">
        <v>22</v>
      </c>
      <c r="H1739" t="s">
        <v>31</v>
      </c>
      <c r="I1739" t="s">
        <v>32</v>
      </c>
      <c r="J1739" t="s">
        <v>104</v>
      </c>
      <c r="K1739">
        <v>8</v>
      </c>
      <c r="L1739" s="2">
        <v>1139.79</v>
      </c>
      <c r="M1739" s="3">
        <v>0</v>
      </c>
      <c r="N1739" s="2">
        <v>9118.32</v>
      </c>
      <c r="O1739" s="2">
        <v>5039.6000000000004</v>
      </c>
      <c r="P1739" s="2">
        <v>4078.72</v>
      </c>
      <c r="Q1739" t="s">
        <v>34</v>
      </c>
    </row>
    <row r="1740" spans="1:17" x14ac:dyDescent="0.2">
      <c r="A1740" t="s">
        <v>1905</v>
      </c>
      <c r="B1740" s="1">
        <v>45869</v>
      </c>
      <c r="C1740" t="s">
        <v>43</v>
      </c>
      <c r="D1740" t="s">
        <v>161</v>
      </c>
      <c r="E1740" t="s">
        <v>172</v>
      </c>
      <c r="F1740" t="s">
        <v>71</v>
      </c>
      <c r="G1740" t="s">
        <v>22</v>
      </c>
      <c r="H1740" t="s">
        <v>47</v>
      </c>
      <c r="I1740" t="s">
        <v>141</v>
      </c>
      <c r="J1740" t="s">
        <v>142</v>
      </c>
      <c r="K1740">
        <v>2</v>
      </c>
      <c r="L1740" s="2">
        <v>289.67</v>
      </c>
      <c r="M1740" s="3">
        <v>0.15</v>
      </c>
      <c r="N1740" s="2">
        <v>492.44</v>
      </c>
      <c r="O1740" s="2">
        <v>401</v>
      </c>
      <c r="P1740" s="2">
        <v>91.44</v>
      </c>
      <c r="Q1740" t="s">
        <v>61</v>
      </c>
    </row>
    <row r="1741" spans="1:17" x14ac:dyDescent="0.2">
      <c r="A1741" t="s">
        <v>1906</v>
      </c>
      <c r="B1741" s="1">
        <v>45869</v>
      </c>
      <c r="C1741" t="s">
        <v>18</v>
      </c>
      <c r="D1741" t="s">
        <v>86</v>
      </c>
      <c r="E1741" t="s">
        <v>92</v>
      </c>
      <c r="F1741" t="s">
        <v>60</v>
      </c>
      <c r="G1741" t="s">
        <v>22</v>
      </c>
      <c r="H1741" t="s">
        <v>47</v>
      </c>
      <c r="I1741" t="s">
        <v>97</v>
      </c>
      <c r="J1741" t="s">
        <v>116</v>
      </c>
      <c r="K1741">
        <v>3</v>
      </c>
      <c r="L1741" s="2">
        <v>388.2</v>
      </c>
      <c r="M1741" s="3">
        <v>0</v>
      </c>
      <c r="N1741" s="2">
        <v>1164.5999999999999</v>
      </c>
      <c r="O1741" s="2">
        <v>838.18</v>
      </c>
      <c r="P1741" s="2">
        <v>326.42</v>
      </c>
      <c r="Q1741" t="s">
        <v>26</v>
      </c>
    </row>
    <row r="1742" spans="1:17" x14ac:dyDescent="0.2">
      <c r="A1742" t="s">
        <v>1907</v>
      </c>
      <c r="B1742" s="1">
        <v>45869</v>
      </c>
      <c r="C1742" t="s">
        <v>43</v>
      </c>
      <c r="D1742" t="s">
        <v>244</v>
      </c>
      <c r="E1742" t="s">
        <v>326</v>
      </c>
      <c r="F1742" t="s">
        <v>69</v>
      </c>
      <c r="G1742" t="s">
        <v>75</v>
      </c>
      <c r="H1742" t="s">
        <v>23</v>
      </c>
      <c r="I1742" t="s">
        <v>83</v>
      </c>
      <c r="J1742" t="s">
        <v>84</v>
      </c>
      <c r="K1742">
        <v>6</v>
      </c>
      <c r="L1742" s="2">
        <v>25.74</v>
      </c>
      <c r="M1742" s="3">
        <v>0.15</v>
      </c>
      <c r="N1742" s="2">
        <v>131.27000000000001</v>
      </c>
      <c r="O1742" s="2">
        <v>98.78</v>
      </c>
      <c r="P1742" s="2">
        <v>32.49</v>
      </c>
      <c r="Q1742" t="s">
        <v>26</v>
      </c>
    </row>
    <row r="1743" spans="1:17" x14ac:dyDescent="0.2">
      <c r="A1743" t="s">
        <v>1908</v>
      </c>
      <c r="B1743" s="1">
        <v>45869</v>
      </c>
      <c r="C1743" t="s">
        <v>36</v>
      </c>
      <c r="D1743" t="s">
        <v>67</v>
      </c>
      <c r="E1743" t="s">
        <v>323</v>
      </c>
      <c r="F1743" t="s">
        <v>130</v>
      </c>
      <c r="G1743" t="s">
        <v>75</v>
      </c>
      <c r="H1743" t="s">
        <v>47</v>
      </c>
      <c r="I1743" t="s">
        <v>48</v>
      </c>
      <c r="J1743" t="s">
        <v>49</v>
      </c>
      <c r="K1743">
        <v>2</v>
      </c>
      <c r="L1743" s="2">
        <v>284.48</v>
      </c>
      <c r="M1743" s="3">
        <v>0</v>
      </c>
      <c r="N1743" s="2">
        <v>568.96</v>
      </c>
      <c r="O1743" s="2">
        <v>464.1</v>
      </c>
      <c r="P1743" s="2">
        <v>104.86</v>
      </c>
      <c r="Q1743" t="s">
        <v>26</v>
      </c>
    </row>
    <row r="1744" spans="1:17" x14ac:dyDescent="0.2">
      <c r="A1744" t="s">
        <v>1909</v>
      </c>
      <c r="B1744" s="1">
        <v>45870</v>
      </c>
      <c r="C1744" t="s">
        <v>36</v>
      </c>
      <c r="D1744" t="s">
        <v>37</v>
      </c>
      <c r="E1744" t="s">
        <v>255</v>
      </c>
      <c r="F1744" t="s">
        <v>30</v>
      </c>
      <c r="G1744" t="s">
        <v>54</v>
      </c>
      <c r="H1744" t="s">
        <v>47</v>
      </c>
      <c r="I1744" t="s">
        <v>97</v>
      </c>
      <c r="J1744" t="s">
        <v>168</v>
      </c>
      <c r="K1744">
        <v>6</v>
      </c>
      <c r="L1744" s="2">
        <v>577.35</v>
      </c>
      <c r="M1744" s="3">
        <v>0</v>
      </c>
      <c r="N1744" s="2">
        <v>3464.1</v>
      </c>
      <c r="O1744" s="2">
        <v>2741.4</v>
      </c>
      <c r="P1744" s="2">
        <v>722.7</v>
      </c>
      <c r="Q1744" t="s">
        <v>57</v>
      </c>
    </row>
    <row r="1745" spans="1:17" x14ac:dyDescent="0.2">
      <c r="A1745" t="s">
        <v>1910</v>
      </c>
      <c r="B1745" s="1">
        <v>45870</v>
      </c>
      <c r="C1745" t="s">
        <v>43</v>
      </c>
      <c r="D1745" t="s">
        <v>44</v>
      </c>
      <c r="E1745" t="s">
        <v>45</v>
      </c>
      <c r="F1745" t="s">
        <v>46</v>
      </c>
      <c r="G1745" t="s">
        <v>54</v>
      </c>
      <c r="H1745" t="s">
        <v>47</v>
      </c>
      <c r="I1745" t="s">
        <v>141</v>
      </c>
      <c r="J1745" t="s">
        <v>372</v>
      </c>
      <c r="K1745">
        <v>7</v>
      </c>
      <c r="L1745" s="2">
        <v>247.9</v>
      </c>
      <c r="M1745" s="3">
        <v>0</v>
      </c>
      <c r="N1745" s="2">
        <v>1735.3</v>
      </c>
      <c r="O1745" s="2">
        <v>1226.95</v>
      </c>
      <c r="P1745" s="2">
        <v>508.35</v>
      </c>
      <c r="Q1745" t="s">
        <v>57</v>
      </c>
    </row>
    <row r="1746" spans="1:17" x14ac:dyDescent="0.2">
      <c r="A1746" t="s">
        <v>1911</v>
      </c>
      <c r="B1746" s="1">
        <v>45870</v>
      </c>
      <c r="C1746" t="s">
        <v>18</v>
      </c>
      <c r="D1746" t="s">
        <v>86</v>
      </c>
      <c r="E1746" t="s">
        <v>140</v>
      </c>
      <c r="F1746" t="s">
        <v>30</v>
      </c>
      <c r="G1746" t="s">
        <v>75</v>
      </c>
      <c r="H1746" t="s">
        <v>47</v>
      </c>
      <c r="I1746" t="s">
        <v>48</v>
      </c>
      <c r="J1746" t="s">
        <v>164</v>
      </c>
      <c r="K1746">
        <v>4</v>
      </c>
      <c r="L1746" s="2">
        <v>655.21</v>
      </c>
      <c r="M1746" s="3">
        <v>0.05</v>
      </c>
      <c r="N1746" s="2">
        <v>2489.8000000000002</v>
      </c>
      <c r="O1746" s="2">
        <v>1388.04</v>
      </c>
      <c r="P1746" s="2">
        <v>1101.76</v>
      </c>
      <c r="Q1746" t="s">
        <v>26</v>
      </c>
    </row>
    <row r="1747" spans="1:17" x14ac:dyDescent="0.2">
      <c r="A1747" t="s">
        <v>1912</v>
      </c>
      <c r="B1747" s="1">
        <v>45870</v>
      </c>
      <c r="C1747" t="s">
        <v>36</v>
      </c>
      <c r="D1747" t="s">
        <v>144</v>
      </c>
      <c r="E1747" t="s">
        <v>232</v>
      </c>
      <c r="F1747" t="s">
        <v>138</v>
      </c>
      <c r="G1747" t="s">
        <v>22</v>
      </c>
      <c r="H1747" t="s">
        <v>31</v>
      </c>
      <c r="I1747" t="s">
        <v>40</v>
      </c>
      <c r="J1747" t="s">
        <v>122</v>
      </c>
      <c r="K1747">
        <v>9</v>
      </c>
      <c r="L1747" s="2">
        <v>208.64</v>
      </c>
      <c r="M1747" s="3">
        <v>0.05</v>
      </c>
      <c r="N1747" s="2">
        <v>1783.87</v>
      </c>
      <c r="O1747" s="2">
        <v>1289.26</v>
      </c>
      <c r="P1747" s="2">
        <v>494.61</v>
      </c>
      <c r="Q1747" t="s">
        <v>57</v>
      </c>
    </row>
    <row r="1748" spans="1:17" x14ac:dyDescent="0.2">
      <c r="A1748" t="s">
        <v>1913</v>
      </c>
      <c r="B1748" s="1">
        <v>45870</v>
      </c>
      <c r="C1748" t="s">
        <v>43</v>
      </c>
      <c r="D1748" t="s">
        <v>208</v>
      </c>
      <c r="E1748" t="s">
        <v>209</v>
      </c>
      <c r="F1748" t="s">
        <v>53</v>
      </c>
      <c r="G1748" t="s">
        <v>75</v>
      </c>
      <c r="H1748" t="s">
        <v>47</v>
      </c>
      <c r="I1748" t="s">
        <v>89</v>
      </c>
      <c r="J1748" t="s">
        <v>204</v>
      </c>
      <c r="K1748">
        <v>5</v>
      </c>
      <c r="L1748" s="2">
        <v>452.47</v>
      </c>
      <c r="M1748" s="3">
        <v>0.2</v>
      </c>
      <c r="N1748" s="2">
        <v>1809.88</v>
      </c>
      <c r="O1748" s="2">
        <v>1163.98</v>
      </c>
      <c r="P1748" s="2">
        <v>645.9</v>
      </c>
      <c r="Q1748" t="s">
        <v>61</v>
      </c>
    </row>
    <row r="1749" spans="1:17" x14ac:dyDescent="0.2">
      <c r="A1749" t="s">
        <v>1914</v>
      </c>
      <c r="B1749" s="1">
        <v>45870</v>
      </c>
      <c r="C1749" t="s">
        <v>18</v>
      </c>
      <c r="D1749" t="s">
        <v>86</v>
      </c>
      <c r="E1749" t="s">
        <v>140</v>
      </c>
      <c r="F1749" t="s">
        <v>138</v>
      </c>
      <c r="G1749" t="s">
        <v>54</v>
      </c>
      <c r="H1749" t="s">
        <v>31</v>
      </c>
      <c r="I1749" t="s">
        <v>40</v>
      </c>
      <c r="J1749" t="s">
        <v>122</v>
      </c>
      <c r="K1749">
        <v>8</v>
      </c>
      <c r="L1749" s="2">
        <v>101.01</v>
      </c>
      <c r="M1749" s="3">
        <v>0.05</v>
      </c>
      <c r="N1749" s="2">
        <v>767.68</v>
      </c>
      <c r="O1749" s="2">
        <v>588.48</v>
      </c>
      <c r="P1749" s="2">
        <v>179.2</v>
      </c>
      <c r="Q1749" t="s">
        <v>26</v>
      </c>
    </row>
    <row r="1750" spans="1:17" x14ac:dyDescent="0.2">
      <c r="A1750" t="s">
        <v>1915</v>
      </c>
      <c r="B1750" s="1">
        <v>45870</v>
      </c>
      <c r="C1750" t="s">
        <v>43</v>
      </c>
      <c r="D1750" t="s">
        <v>44</v>
      </c>
      <c r="E1750" t="s">
        <v>147</v>
      </c>
      <c r="F1750" t="s">
        <v>71</v>
      </c>
      <c r="G1750" t="s">
        <v>22</v>
      </c>
      <c r="H1750" t="s">
        <v>23</v>
      </c>
      <c r="I1750" t="s">
        <v>83</v>
      </c>
      <c r="J1750" t="s">
        <v>84</v>
      </c>
      <c r="K1750">
        <v>5</v>
      </c>
      <c r="L1750" s="2">
        <v>27.6</v>
      </c>
      <c r="M1750" s="3">
        <v>0.15</v>
      </c>
      <c r="N1750" s="2">
        <v>117.3</v>
      </c>
      <c r="O1750" s="2">
        <v>68.09</v>
      </c>
      <c r="P1750" s="2">
        <v>49.21</v>
      </c>
      <c r="Q1750" t="s">
        <v>61</v>
      </c>
    </row>
    <row r="1751" spans="1:17" x14ac:dyDescent="0.2">
      <c r="A1751" t="s">
        <v>1916</v>
      </c>
      <c r="B1751" s="1">
        <v>45871</v>
      </c>
      <c r="C1751" t="s">
        <v>18</v>
      </c>
      <c r="D1751" t="s">
        <v>86</v>
      </c>
      <c r="E1751" t="s">
        <v>92</v>
      </c>
      <c r="F1751" t="s">
        <v>53</v>
      </c>
      <c r="G1751" t="s">
        <v>22</v>
      </c>
      <c r="H1751" t="s">
        <v>23</v>
      </c>
      <c r="I1751" t="s">
        <v>24</v>
      </c>
      <c r="J1751" t="s">
        <v>108</v>
      </c>
      <c r="K1751">
        <v>3</v>
      </c>
      <c r="L1751" s="2">
        <v>26.58</v>
      </c>
      <c r="M1751" s="3">
        <v>0.1</v>
      </c>
      <c r="N1751" s="2">
        <v>71.77</v>
      </c>
      <c r="O1751" s="2">
        <v>46.75</v>
      </c>
      <c r="P1751" s="2">
        <v>25.02</v>
      </c>
      <c r="Q1751" t="s">
        <v>57</v>
      </c>
    </row>
    <row r="1752" spans="1:17" x14ac:dyDescent="0.2">
      <c r="A1752" t="s">
        <v>1917</v>
      </c>
      <c r="B1752" s="1">
        <v>45871</v>
      </c>
      <c r="C1752" t="s">
        <v>36</v>
      </c>
      <c r="D1752" t="s">
        <v>37</v>
      </c>
      <c r="E1752" t="s">
        <v>38</v>
      </c>
      <c r="F1752" t="s">
        <v>46</v>
      </c>
      <c r="G1752" t="s">
        <v>54</v>
      </c>
      <c r="H1752" t="s">
        <v>31</v>
      </c>
      <c r="I1752" t="s">
        <v>64</v>
      </c>
      <c r="J1752" t="s">
        <v>252</v>
      </c>
      <c r="K1752">
        <v>10</v>
      </c>
      <c r="L1752" s="2">
        <v>158.28</v>
      </c>
      <c r="M1752" s="3">
        <v>0.05</v>
      </c>
      <c r="N1752" s="2">
        <v>1503.66</v>
      </c>
      <c r="O1752" s="2">
        <v>858.25</v>
      </c>
      <c r="P1752" s="2">
        <v>645.41</v>
      </c>
      <c r="Q1752" t="s">
        <v>34</v>
      </c>
    </row>
    <row r="1753" spans="1:17" x14ac:dyDescent="0.2">
      <c r="A1753" t="s">
        <v>1918</v>
      </c>
      <c r="B1753" s="1">
        <v>45871</v>
      </c>
      <c r="C1753" t="s">
        <v>18</v>
      </c>
      <c r="D1753" t="s">
        <v>133</v>
      </c>
      <c r="E1753" t="s">
        <v>134</v>
      </c>
      <c r="F1753" t="s">
        <v>30</v>
      </c>
      <c r="G1753" t="s">
        <v>75</v>
      </c>
      <c r="H1753" t="s">
        <v>47</v>
      </c>
      <c r="I1753" t="s">
        <v>141</v>
      </c>
      <c r="J1753" t="s">
        <v>201</v>
      </c>
      <c r="K1753">
        <v>5</v>
      </c>
      <c r="L1753" s="2">
        <v>365.49</v>
      </c>
      <c r="M1753" s="3">
        <v>0.05</v>
      </c>
      <c r="N1753" s="2">
        <v>1736.08</v>
      </c>
      <c r="O1753" s="2">
        <v>1352.15</v>
      </c>
      <c r="P1753" s="2">
        <v>383.93</v>
      </c>
      <c r="Q1753" t="s">
        <v>26</v>
      </c>
    </row>
    <row r="1754" spans="1:17" x14ac:dyDescent="0.2">
      <c r="A1754" t="s">
        <v>1919</v>
      </c>
      <c r="B1754" s="1">
        <v>45871</v>
      </c>
      <c r="C1754" t="s">
        <v>43</v>
      </c>
      <c r="D1754" t="s">
        <v>208</v>
      </c>
      <c r="E1754" t="s">
        <v>230</v>
      </c>
      <c r="F1754" t="s">
        <v>60</v>
      </c>
      <c r="G1754" t="s">
        <v>75</v>
      </c>
      <c r="H1754" t="s">
        <v>31</v>
      </c>
      <c r="I1754" t="s">
        <v>32</v>
      </c>
      <c r="J1754" t="s">
        <v>104</v>
      </c>
      <c r="K1754">
        <v>8</v>
      </c>
      <c r="L1754" s="2">
        <v>1133</v>
      </c>
      <c r="M1754" s="3">
        <v>0</v>
      </c>
      <c r="N1754" s="2">
        <v>9064</v>
      </c>
      <c r="O1754" s="2">
        <v>6129.65</v>
      </c>
      <c r="P1754" s="2">
        <v>2934.35</v>
      </c>
      <c r="Q1754" t="s">
        <v>26</v>
      </c>
    </row>
    <row r="1755" spans="1:17" x14ac:dyDescent="0.2">
      <c r="A1755" t="s">
        <v>1920</v>
      </c>
      <c r="B1755" s="1">
        <v>45871</v>
      </c>
      <c r="C1755" t="s">
        <v>36</v>
      </c>
      <c r="D1755" t="s">
        <v>73</v>
      </c>
      <c r="E1755" t="s">
        <v>212</v>
      </c>
      <c r="F1755" t="s">
        <v>53</v>
      </c>
      <c r="G1755" t="s">
        <v>75</v>
      </c>
      <c r="H1755" t="s">
        <v>23</v>
      </c>
      <c r="I1755" t="s">
        <v>79</v>
      </c>
      <c r="J1755" t="s">
        <v>80</v>
      </c>
      <c r="K1755">
        <v>5</v>
      </c>
      <c r="L1755" s="2">
        <v>523.39</v>
      </c>
      <c r="M1755" s="3">
        <v>0.15</v>
      </c>
      <c r="N1755" s="2">
        <v>2224.41</v>
      </c>
      <c r="O1755" s="2">
        <v>1450.94</v>
      </c>
      <c r="P1755" s="2">
        <v>773.47</v>
      </c>
      <c r="Q1755" t="s">
        <v>61</v>
      </c>
    </row>
    <row r="1756" spans="1:17" x14ac:dyDescent="0.2">
      <c r="A1756" t="s">
        <v>1921</v>
      </c>
      <c r="B1756" s="1">
        <v>45871</v>
      </c>
      <c r="C1756" t="s">
        <v>36</v>
      </c>
      <c r="D1756" t="s">
        <v>144</v>
      </c>
      <c r="E1756" t="s">
        <v>232</v>
      </c>
      <c r="F1756" t="s">
        <v>71</v>
      </c>
      <c r="G1756" t="s">
        <v>75</v>
      </c>
      <c r="H1756" t="s">
        <v>23</v>
      </c>
      <c r="I1756" t="s">
        <v>79</v>
      </c>
      <c r="J1756" t="s">
        <v>179</v>
      </c>
      <c r="K1756">
        <v>7</v>
      </c>
      <c r="L1756" s="2">
        <v>499.5</v>
      </c>
      <c r="M1756" s="3">
        <v>0.15</v>
      </c>
      <c r="N1756" s="2">
        <v>2972.02</v>
      </c>
      <c r="O1756" s="2">
        <v>2422.9499999999998</v>
      </c>
      <c r="P1756" s="2">
        <v>549.07000000000005</v>
      </c>
      <c r="Q1756" t="s">
        <v>61</v>
      </c>
    </row>
    <row r="1757" spans="1:17" x14ac:dyDescent="0.2">
      <c r="A1757" t="s">
        <v>1922</v>
      </c>
      <c r="B1757" s="1">
        <v>45871</v>
      </c>
      <c r="C1757" t="s">
        <v>77</v>
      </c>
      <c r="D1757" t="s">
        <v>106</v>
      </c>
      <c r="E1757" t="s">
        <v>236</v>
      </c>
      <c r="F1757" t="s">
        <v>21</v>
      </c>
      <c r="G1757" t="s">
        <v>75</v>
      </c>
      <c r="H1757" t="s">
        <v>47</v>
      </c>
      <c r="I1757" t="s">
        <v>141</v>
      </c>
      <c r="J1757" t="s">
        <v>372</v>
      </c>
      <c r="K1757">
        <v>1</v>
      </c>
      <c r="L1757" s="2">
        <v>262.54000000000002</v>
      </c>
      <c r="M1757" s="3">
        <v>0.1</v>
      </c>
      <c r="N1757" s="2">
        <v>236.29</v>
      </c>
      <c r="O1757" s="2">
        <v>155.66999999999999</v>
      </c>
      <c r="P1757" s="2">
        <v>80.62</v>
      </c>
      <c r="Q1757" t="s">
        <v>26</v>
      </c>
    </row>
    <row r="1758" spans="1:17" x14ac:dyDescent="0.2">
      <c r="A1758" t="s">
        <v>1923</v>
      </c>
      <c r="B1758" s="1">
        <v>45871</v>
      </c>
      <c r="C1758" t="s">
        <v>43</v>
      </c>
      <c r="D1758" t="s">
        <v>161</v>
      </c>
      <c r="E1758" t="s">
        <v>162</v>
      </c>
      <c r="F1758" t="s">
        <v>46</v>
      </c>
      <c r="G1758" t="s">
        <v>75</v>
      </c>
      <c r="H1758" t="s">
        <v>31</v>
      </c>
      <c r="I1758" t="s">
        <v>32</v>
      </c>
      <c r="J1758" t="s">
        <v>258</v>
      </c>
      <c r="K1758">
        <v>1</v>
      </c>
      <c r="L1758" s="2">
        <v>683.14</v>
      </c>
      <c r="M1758" s="3">
        <v>0.15</v>
      </c>
      <c r="N1758" s="2">
        <v>580.66999999999996</v>
      </c>
      <c r="O1758" s="2">
        <v>336.72</v>
      </c>
      <c r="P1758" s="2">
        <v>243.95</v>
      </c>
      <c r="Q1758" t="s">
        <v>26</v>
      </c>
    </row>
    <row r="1759" spans="1:17" x14ac:dyDescent="0.2">
      <c r="A1759" t="s">
        <v>1924</v>
      </c>
      <c r="B1759" s="1">
        <v>45871</v>
      </c>
      <c r="C1759" t="s">
        <v>36</v>
      </c>
      <c r="D1759" t="s">
        <v>110</v>
      </c>
      <c r="E1759" t="s">
        <v>111</v>
      </c>
      <c r="F1759" t="s">
        <v>138</v>
      </c>
      <c r="G1759" t="s">
        <v>54</v>
      </c>
      <c r="H1759" t="s">
        <v>47</v>
      </c>
      <c r="I1759" t="s">
        <v>89</v>
      </c>
      <c r="J1759" t="s">
        <v>90</v>
      </c>
      <c r="K1759">
        <v>6</v>
      </c>
      <c r="L1759" s="2">
        <v>489.11</v>
      </c>
      <c r="M1759" s="3">
        <v>0.05</v>
      </c>
      <c r="N1759" s="2">
        <v>2787.93</v>
      </c>
      <c r="O1759" s="2">
        <v>2077.0500000000002</v>
      </c>
      <c r="P1759" s="2">
        <v>710.88</v>
      </c>
      <c r="Q1759" t="s">
        <v>26</v>
      </c>
    </row>
    <row r="1760" spans="1:17" x14ac:dyDescent="0.2">
      <c r="A1760" t="s">
        <v>1925</v>
      </c>
      <c r="B1760" s="1">
        <v>45872</v>
      </c>
      <c r="C1760" t="s">
        <v>77</v>
      </c>
      <c r="D1760" t="s">
        <v>106</v>
      </c>
      <c r="E1760" t="s">
        <v>107</v>
      </c>
      <c r="F1760" t="s">
        <v>46</v>
      </c>
      <c r="G1760" t="s">
        <v>22</v>
      </c>
      <c r="H1760" t="s">
        <v>23</v>
      </c>
      <c r="I1760" t="s">
        <v>79</v>
      </c>
      <c r="J1760" t="s">
        <v>80</v>
      </c>
      <c r="K1760">
        <v>5</v>
      </c>
      <c r="L1760" s="2">
        <v>482.17</v>
      </c>
      <c r="M1760" s="3">
        <v>0.05</v>
      </c>
      <c r="N1760" s="2">
        <v>2290.31</v>
      </c>
      <c r="O1760" s="2">
        <v>1512.37</v>
      </c>
      <c r="P1760" s="2">
        <v>777.94</v>
      </c>
      <c r="Q1760" t="s">
        <v>34</v>
      </c>
    </row>
    <row r="1761" spans="1:17" x14ac:dyDescent="0.2">
      <c r="A1761" t="s">
        <v>1926</v>
      </c>
      <c r="B1761" s="1">
        <v>45872</v>
      </c>
      <c r="C1761" t="s">
        <v>77</v>
      </c>
      <c r="D1761" t="s">
        <v>78</v>
      </c>
      <c r="E1761" t="s">
        <v>261</v>
      </c>
      <c r="F1761" t="s">
        <v>130</v>
      </c>
      <c r="G1761" t="s">
        <v>22</v>
      </c>
      <c r="H1761" t="s">
        <v>23</v>
      </c>
      <c r="I1761" t="s">
        <v>83</v>
      </c>
      <c r="J1761" t="s">
        <v>120</v>
      </c>
      <c r="K1761">
        <v>4</v>
      </c>
      <c r="L1761" s="2">
        <v>18.3</v>
      </c>
      <c r="M1761" s="3">
        <v>0.05</v>
      </c>
      <c r="N1761" s="2">
        <v>69.540000000000006</v>
      </c>
      <c r="O1761" s="2">
        <v>42.95</v>
      </c>
      <c r="P1761" s="2">
        <v>26.59</v>
      </c>
      <c r="Q1761" t="s">
        <v>26</v>
      </c>
    </row>
    <row r="1762" spans="1:17" x14ac:dyDescent="0.2">
      <c r="A1762" t="s">
        <v>1927</v>
      </c>
      <c r="B1762" s="1">
        <v>45872</v>
      </c>
      <c r="C1762" t="s">
        <v>18</v>
      </c>
      <c r="D1762" t="s">
        <v>152</v>
      </c>
      <c r="E1762" t="s">
        <v>166</v>
      </c>
      <c r="F1762" t="s">
        <v>60</v>
      </c>
      <c r="G1762" t="s">
        <v>22</v>
      </c>
      <c r="H1762" t="s">
        <v>23</v>
      </c>
      <c r="I1762" t="s">
        <v>83</v>
      </c>
      <c r="J1762" t="s">
        <v>84</v>
      </c>
      <c r="K1762">
        <v>8</v>
      </c>
      <c r="L1762" s="2">
        <v>30.61</v>
      </c>
      <c r="M1762" s="3">
        <v>0.1</v>
      </c>
      <c r="N1762" s="2">
        <v>220.39</v>
      </c>
      <c r="O1762" s="2">
        <v>136.87</v>
      </c>
      <c r="P1762" s="2">
        <v>83.52</v>
      </c>
      <c r="Q1762" t="s">
        <v>26</v>
      </c>
    </row>
    <row r="1763" spans="1:17" x14ac:dyDescent="0.2">
      <c r="A1763" t="s">
        <v>1928</v>
      </c>
      <c r="B1763" s="1">
        <v>45872</v>
      </c>
      <c r="C1763" t="s">
        <v>43</v>
      </c>
      <c r="D1763" t="s">
        <v>244</v>
      </c>
      <c r="E1763" t="s">
        <v>300</v>
      </c>
      <c r="F1763" t="s">
        <v>69</v>
      </c>
      <c r="G1763" t="s">
        <v>75</v>
      </c>
      <c r="H1763" t="s">
        <v>23</v>
      </c>
      <c r="I1763" t="s">
        <v>83</v>
      </c>
      <c r="J1763" t="s">
        <v>120</v>
      </c>
      <c r="K1763">
        <v>10</v>
      </c>
      <c r="L1763" s="2">
        <v>10.11</v>
      </c>
      <c r="M1763" s="3">
        <v>0</v>
      </c>
      <c r="N1763" s="2">
        <v>101.1</v>
      </c>
      <c r="O1763" s="2">
        <v>77.75</v>
      </c>
      <c r="P1763" s="2">
        <v>23.35</v>
      </c>
      <c r="Q1763" t="s">
        <v>34</v>
      </c>
    </row>
    <row r="1764" spans="1:17" x14ac:dyDescent="0.2">
      <c r="A1764" t="s">
        <v>1929</v>
      </c>
      <c r="B1764" s="1">
        <v>45872</v>
      </c>
      <c r="C1764" t="s">
        <v>36</v>
      </c>
      <c r="D1764" t="s">
        <v>110</v>
      </c>
      <c r="E1764" t="s">
        <v>203</v>
      </c>
      <c r="F1764" t="s">
        <v>21</v>
      </c>
      <c r="G1764" t="s">
        <v>22</v>
      </c>
      <c r="H1764" t="s">
        <v>31</v>
      </c>
      <c r="I1764" t="s">
        <v>64</v>
      </c>
      <c r="J1764" t="s">
        <v>65</v>
      </c>
      <c r="K1764">
        <v>6</v>
      </c>
      <c r="L1764" s="2">
        <v>66.56</v>
      </c>
      <c r="M1764" s="3">
        <v>0.1</v>
      </c>
      <c r="N1764" s="2">
        <v>359.42</v>
      </c>
      <c r="O1764" s="2">
        <v>204.09</v>
      </c>
      <c r="P1764" s="2">
        <v>155.33000000000001</v>
      </c>
      <c r="Q1764" t="s">
        <v>61</v>
      </c>
    </row>
    <row r="1765" spans="1:17" x14ac:dyDescent="0.2">
      <c r="A1765" t="s">
        <v>1930</v>
      </c>
      <c r="B1765" s="1">
        <v>45872</v>
      </c>
      <c r="C1765" t="s">
        <v>36</v>
      </c>
      <c r="D1765" t="s">
        <v>110</v>
      </c>
      <c r="E1765" t="s">
        <v>111</v>
      </c>
      <c r="F1765" t="s">
        <v>69</v>
      </c>
      <c r="G1765" t="s">
        <v>75</v>
      </c>
      <c r="H1765" t="s">
        <v>23</v>
      </c>
      <c r="I1765" t="s">
        <v>55</v>
      </c>
      <c r="J1765" t="s">
        <v>56</v>
      </c>
      <c r="K1765">
        <v>9</v>
      </c>
      <c r="L1765" s="2">
        <v>9.98</v>
      </c>
      <c r="M1765" s="3">
        <v>0.1</v>
      </c>
      <c r="N1765" s="2">
        <v>80.84</v>
      </c>
      <c r="O1765" s="2">
        <v>64.25</v>
      </c>
      <c r="P1765" s="2">
        <v>16.59</v>
      </c>
      <c r="Q1765" t="s">
        <v>61</v>
      </c>
    </row>
    <row r="1766" spans="1:17" x14ac:dyDescent="0.2">
      <c r="A1766" t="s">
        <v>1931</v>
      </c>
      <c r="B1766" s="1">
        <v>45873</v>
      </c>
      <c r="C1766" t="s">
        <v>77</v>
      </c>
      <c r="D1766" t="s">
        <v>128</v>
      </c>
      <c r="E1766" t="s">
        <v>159</v>
      </c>
      <c r="F1766" t="s">
        <v>130</v>
      </c>
      <c r="G1766" t="s">
        <v>54</v>
      </c>
      <c r="H1766" t="s">
        <v>47</v>
      </c>
      <c r="I1766" t="s">
        <v>48</v>
      </c>
      <c r="J1766" t="s">
        <v>164</v>
      </c>
      <c r="K1766">
        <v>4</v>
      </c>
      <c r="L1766" s="2">
        <v>835.16</v>
      </c>
      <c r="M1766" s="3">
        <v>0.15</v>
      </c>
      <c r="N1766" s="2">
        <v>2839.54</v>
      </c>
      <c r="O1766" s="2">
        <v>2163.08</v>
      </c>
      <c r="P1766" s="2">
        <v>676.46</v>
      </c>
      <c r="Q1766" t="s">
        <v>57</v>
      </c>
    </row>
    <row r="1767" spans="1:17" x14ac:dyDescent="0.2">
      <c r="A1767" t="s">
        <v>1932</v>
      </c>
      <c r="B1767" s="1">
        <v>45873</v>
      </c>
      <c r="C1767" t="s">
        <v>43</v>
      </c>
      <c r="D1767" t="s">
        <v>244</v>
      </c>
      <c r="E1767" t="s">
        <v>300</v>
      </c>
      <c r="F1767" t="s">
        <v>46</v>
      </c>
      <c r="G1767" t="s">
        <v>75</v>
      </c>
      <c r="H1767" t="s">
        <v>31</v>
      </c>
      <c r="I1767" t="s">
        <v>40</v>
      </c>
      <c r="J1767" t="s">
        <v>122</v>
      </c>
      <c r="K1767">
        <v>3</v>
      </c>
      <c r="L1767" s="2">
        <v>191.47</v>
      </c>
      <c r="M1767" s="3">
        <v>0.05</v>
      </c>
      <c r="N1767" s="2">
        <v>545.69000000000005</v>
      </c>
      <c r="O1767" s="2">
        <v>413.04</v>
      </c>
      <c r="P1767" s="2">
        <v>132.65</v>
      </c>
      <c r="Q1767" t="s">
        <v>61</v>
      </c>
    </row>
    <row r="1768" spans="1:17" x14ac:dyDescent="0.2">
      <c r="A1768" t="s">
        <v>1933</v>
      </c>
      <c r="B1768" s="1">
        <v>45873</v>
      </c>
      <c r="C1768" t="s">
        <v>18</v>
      </c>
      <c r="D1768" t="s">
        <v>133</v>
      </c>
      <c r="E1768" t="s">
        <v>134</v>
      </c>
      <c r="F1768" t="s">
        <v>21</v>
      </c>
      <c r="G1768" t="s">
        <v>22</v>
      </c>
      <c r="H1768" t="s">
        <v>31</v>
      </c>
      <c r="I1768" t="s">
        <v>40</v>
      </c>
      <c r="J1768" t="s">
        <v>122</v>
      </c>
      <c r="K1768">
        <v>3</v>
      </c>
      <c r="L1768" s="2">
        <v>89.07</v>
      </c>
      <c r="M1768" s="3">
        <v>0.05</v>
      </c>
      <c r="N1768" s="2">
        <v>253.85</v>
      </c>
      <c r="O1768" s="2">
        <v>192.55</v>
      </c>
      <c r="P1768" s="2">
        <v>61.3</v>
      </c>
      <c r="Q1768" t="s">
        <v>61</v>
      </c>
    </row>
    <row r="1769" spans="1:17" x14ac:dyDescent="0.2">
      <c r="A1769" t="s">
        <v>1934</v>
      </c>
      <c r="B1769" s="1">
        <v>45873</v>
      </c>
      <c r="C1769" t="s">
        <v>77</v>
      </c>
      <c r="D1769" t="s">
        <v>78</v>
      </c>
      <c r="E1769" t="s">
        <v>295</v>
      </c>
      <c r="F1769" t="s">
        <v>53</v>
      </c>
      <c r="G1769" t="s">
        <v>75</v>
      </c>
      <c r="H1769" t="s">
        <v>31</v>
      </c>
      <c r="I1769" t="s">
        <v>40</v>
      </c>
      <c r="J1769" t="s">
        <v>122</v>
      </c>
      <c r="K1769">
        <v>8</v>
      </c>
      <c r="L1769" s="2">
        <v>157.35</v>
      </c>
      <c r="M1769" s="3">
        <v>0.15</v>
      </c>
      <c r="N1769" s="2">
        <v>1069.98</v>
      </c>
      <c r="O1769" s="2">
        <v>606.62</v>
      </c>
      <c r="P1769" s="2">
        <v>463.36</v>
      </c>
      <c r="Q1769" t="s">
        <v>57</v>
      </c>
    </row>
    <row r="1770" spans="1:17" x14ac:dyDescent="0.2">
      <c r="A1770" t="s">
        <v>1935</v>
      </c>
      <c r="B1770" s="1">
        <v>45873</v>
      </c>
      <c r="C1770" t="s">
        <v>36</v>
      </c>
      <c r="D1770" t="s">
        <v>67</v>
      </c>
      <c r="E1770" t="s">
        <v>68</v>
      </c>
      <c r="F1770" t="s">
        <v>53</v>
      </c>
      <c r="G1770" t="s">
        <v>22</v>
      </c>
      <c r="H1770" t="s">
        <v>47</v>
      </c>
      <c r="I1770" t="s">
        <v>97</v>
      </c>
      <c r="J1770" t="s">
        <v>116</v>
      </c>
      <c r="K1770">
        <v>9</v>
      </c>
      <c r="L1770" s="2">
        <v>313.89</v>
      </c>
      <c r="M1770" s="3">
        <v>0.15</v>
      </c>
      <c r="N1770" s="2">
        <v>2401.2600000000002</v>
      </c>
      <c r="O1770" s="2">
        <v>1341.72</v>
      </c>
      <c r="P1770" s="2">
        <v>1059.54</v>
      </c>
      <c r="Q1770" t="s">
        <v>26</v>
      </c>
    </row>
    <row r="1771" spans="1:17" x14ac:dyDescent="0.2">
      <c r="A1771" t="s">
        <v>1936</v>
      </c>
      <c r="B1771" s="1">
        <v>45873</v>
      </c>
      <c r="C1771" t="s">
        <v>18</v>
      </c>
      <c r="D1771" t="s">
        <v>28</v>
      </c>
      <c r="E1771" t="s">
        <v>170</v>
      </c>
      <c r="F1771" t="s">
        <v>30</v>
      </c>
      <c r="G1771" t="s">
        <v>75</v>
      </c>
      <c r="H1771" t="s">
        <v>47</v>
      </c>
      <c r="I1771" t="s">
        <v>97</v>
      </c>
      <c r="J1771" t="s">
        <v>98</v>
      </c>
      <c r="K1771">
        <v>3</v>
      </c>
      <c r="L1771" s="2">
        <v>310.43</v>
      </c>
      <c r="M1771" s="3">
        <v>0.15</v>
      </c>
      <c r="N1771" s="2">
        <v>791.6</v>
      </c>
      <c r="O1771" s="2">
        <v>466.03</v>
      </c>
      <c r="P1771" s="2">
        <v>325.57</v>
      </c>
      <c r="Q1771" t="s">
        <v>26</v>
      </c>
    </row>
    <row r="1772" spans="1:17" x14ac:dyDescent="0.2">
      <c r="A1772" t="s">
        <v>1937</v>
      </c>
      <c r="B1772" s="1">
        <v>45873</v>
      </c>
      <c r="C1772" t="s">
        <v>18</v>
      </c>
      <c r="D1772" t="s">
        <v>19</v>
      </c>
      <c r="E1772" t="s">
        <v>100</v>
      </c>
      <c r="F1772" t="s">
        <v>60</v>
      </c>
      <c r="G1772" t="s">
        <v>54</v>
      </c>
      <c r="H1772" t="s">
        <v>31</v>
      </c>
      <c r="I1772" t="s">
        <v>112</v>
      </c>
      <c r="J1772" t="s">
        <v>136</v>
      </c>
      <c r="K1772">
        <v>2</v>
      </c>
      <c r="L1772" s="2">
        <v>576.24</v>
      </c>
      <c r="M1772" s="3">
        <v>0.15</v>
      </c>
      <c r="N1772" s="2">
        <v>979.61</v>
      </c>
      <c r="O1772" s="2">
        <v>599.65</v>
      </c>
      <c r="P1772" s="2">
        <v>379.96</v>
      </c>
      <c r="Q1772" t="s">
        <v>34</v>
      </c>
    </row>
    <row r="1773" spans="1:17" x14ac:dyDescent="0.2">
      <c r="A1773" t="s">
        <v>1938</v>
      </c>
      <c r="B1773" s="1">
        <v>45873</v>
      </c>
      <c r="C1773" t="s">
        <v>36</v>
      </c>
      <c r="D1773" t="s">
        <v>67</v>
      </c>
      <c r="E1773" t="s">
        <v>68</v>
      </c>
      <c r="F1773" t="s">
        <v>21</v>
      </c>
      <c r="G1773" t="s">
        <v>75</v>
      </c>
      <c r="H1773" t="s">
        <v>31</v>
      </c>
      <c r="I1773" t="s">
        <v>40</v>
      </c>
      <c r="J1773" t="s">
        <v>216</v>
      </c>
      <c r="K1773">
        <v>5</v>
      </c>
      <c r="L1773" s="2">
        <v>65.02</v>
      </c>
      <c r="M1773" s="3">
        <v>0.1</v>
      </c>
      <c r="N1773" s="2">
        <v>292.58999999999997</v>
      </c>
      <c r="O1773" s="2">
        <v>188.53</v>
      </c>
      <c r="P1773" s="2">
        <v>104.06</v>
      </c>
      <c r="Q1773" t="s">
        <v>34</v>
      </c>
    </row>
    <row r="1774" spans="1:17" x14ac:dyDescent="0.2">
      <c r="A1774" t="s">
        <v>1939</v>
      </c>
      <c r="B1774" s="1">
        <v>45873</v>
      </c>
      <c r="C1774" t="s">
        <v>18</v>
      </c>
      <c r="D1774" t="s">
        <v>86</v>
      </c>
      <c r="E1774" t="s">
        <v>87</v>
      </c>
      <c r="F1774" t="s">
        <v>71</v>
      </c>
      <c r="G1774" t="s">
        <v>54</v>
      </c>
      <c r="H1774" t="s">
        <v>47</v>
      </c>
      <c r="I1774" t="s">
        <v>141</v>
      </c>
      <c r="J1774" t="s">
        <v>142</v>
      </c>
      <c r="K1774">
        <v>1</v>
      </c>
      <c r="L1774" s="2">
        <v>605.83000000000004</v>
      </c>
      <c r="M1774" s="3">
        <v>0.15</v>
      </c>
      <c r="N1774" s="2">
        <v>514.96</v>
      </c>
      <c r="O1774" s="2">
        <v>382.5</v>
      </c>
      <c r="P1774" s="2">
        <v>132.46</v>
      </c>
      <c r="Q1774" t="s">
        <v>26</v>
      </c>
    </row>
    <row r="1775" spans="1:17" x14ac:dyDescent="0.2">
      <c r="A1775" t="s">
        <v>1940</v>
      </c>
      <c r="B1775" s="1">
        <v>45873</v>
      </c>
      <c r="C1775" t="s">
        <v>43</v>
      </c>
      <c r="D1775" t="s">
        <v>161</v>
      </c>
      <c r="E1775" t="s">
        <v>418</v>
      </c>
      <c r="F1775" t="s">
        <v>30</v>
      </c>
      <c r="G1775" t="s">
        <v>22</v>
      </c>
      <c r="H1775" t="s">
        <v>23</v>
      </c>
      <c r="I1775" t="s">
        <v>55</v>
      </c>
      <c r="J1775" t="s">
        <v>173</v>
      </c>
      <c r="K1775">
        <v>2</v>
      </c>
      <c r="L1775" s="2">
        <v>15.91</v>
      </c>
      <c r="M1775" s="3">
        <v>0</v>
      </c>
      <c r="N1775" s="2">
        <v>31.82</v>
      </c>
      <c r="O1775" s="2">
        <v>20.68</v>
      </c>
      <c r="P1775" s="2">
        <v>11.14</v>
      </c>
      <c r="Q1775" t="s">
        <v>61</v>
      </c>
    </row>
    <row r="1776" spans="1:17" x14ac:dyDescent="0.2">
      <c r="A1776" t="s">
        <v>1941</v>
      </c>
      <c r="B1776" s="1">
        <v>45873</v>
      </c>
      <c r="C1776" t="s">
        <v>18</v>
      </c>
      <c r="D1776" t="s">
        <v>152</v>
      </c>
      <c r="E1776" t="s">
        <v>166</v>
      </c>
      <c r="F1776" t="s">
        <v>21</v>
      </c>
      <c r="G1776" t="s">
        <v>75</v>
      </c>
      <c r="H1776" t="s">
        <v>23</v>
      </c>
      <c r="I1776" t="s">
        <v>55</v>
      </c>
      <c r="J1776" t="s">
        <v>56</v>
      </c>
      <c r="K1776">
        <v>10</v>
      </c>
      <c r="L1776" s="2">
        <v>24.75</v>
      </c>
      <c r="M1776" s="3">
        <v>0.15</v>
      </c>
      <c r="N1776" s="2">
        <v>210.38</v>
      </c>
      <c r="O1776" s="2">
        <v>146.79</v>
      </c>
      <c r="P1776" s="2">
        <v>63.59</v>
      </c>
      <c r="Q1776" t="s">
        <v>26</v>
      </c>
    </row>
    <row r="1777" spans="1:17" x14ac:dyDescent="0.2">
      <c r="A1777" t="s">
        <v>1942</v>
      </c>
      <c r="B1777" s="1">
        <v>45874</v>
      </c>
      <c r="C1777" t="s">
        <v>43</v>
      </c>
      <c r="D1777" t="s">
        <v>44</v>
      </c>
      <c r="E1777" t="s">
        <v>147</v>
      </c>
      <c r="F1777" t="s">
        <v>46</v>
      </c>
      <c r="G1777" t="s">
        <v>75</v>
      </c>
      <c r="H1777" t="s">
        <v>23</v>
      </c>
      <c r="I1777" t="s">
        <v>83</v>
      </c>
      <c r="J1777" t="s">
        <v>120</v>
      </c>
      <c r="K1777">
        <v>4</v>
      </c>
      <c r="L1777" s="2">
        <v>12.29</v>
      </c>
      <c r="M1777" s="3">
        <v>0</v>
      </c>
      <c r="N1777" s="2">
        <v>49.16</v>
      </c>
      <c r="O1777" s="2">
        <v>35.69</v>
      </c>
      <c r="P1777" s="2">
        <v>13.47</v>
      </c>
      <c r="Q1777" t="s">
        <v>57</v>
      </c>
    </row>
    <row r="1778" spans="1:17" x14ac:dyDescent="0.2">
      <c r="A1778" t="s">
        <v>1943</v>
      </c>
      <c r="B1778" s="1">
        <v>45874</v>
      </c>
      <c r="C1778" t="s">
        <v>18</v>
      </c>
      <c r="D1778" t="s">
        <v>19</v>
      </c>
      <c r="E1778" t="s">
        <v>100</v>
      </c>
      <c r="F1778" t="s">
        <v>21</v>
      </c>
      <c r="G1778" t="s">
        <v>22</v>
      </c>
      <c r="H1778" t="s">
        <v>23</v>
      </c>
      <c r="I1778" t="s">
        <v>24</v>
      </c>
      <c r="J1778" t="s">
        <v>25</v>
      </c>
      <c r="K1778">
        <v>6</v>
      </c>
      <c r="L1778" s="2">
        <v>24.55</v>
      </c>
      <c r="M1778" s="3">
        <v>0.1</v>
      </c>
      <c r="N1778" s="2">
        <v>132.57</v>
      </c>
      <c r="O1778" s="2">
        <v>79.510000000000005</v>
      </c>
      <c r="P1778" s="2">
        <v>53.06</v>
      </c>
      <c r="Q1778" t="s">
        <v>26</v>
      </c>
    </row>
    <row r="1779" spans="1:17" x14ac:dyDescent="0.2">
      <c r="A1779" t="s">
        <v>1944</v>
      </c>
      <c r="B1779" s="1">
        <v>45874</v>
      </c>
      <c r="C1779" t="s">
        <v>18</v>
      </c>
      <c r="D1779" t="s">
        <v>19</v>
      </c>
      <c r="E1779" t="s">
        <v>100</v>
      </c>
      <c r="F1779" t="s">
        <v>130</v>
      </c>
      <c r="G1779" t="s">
        <v>75</v>
      </c>
      <c r="H1779" t="s">
        <v>23</v>
      </c>
      <c r="I1779" t="s">
        <v>55</v>
      </c>
      <c r="J1779" t="s">
        <v>173</v>
      </c>
      <c r="K1779">
        <v>5</v>
      </c>
      <c r="L1779" s="2">
        <v>9.48</v>
      </c>
      <c r="M1779" s="3">
        <v>0</v>
      </c>
      <c r="N1779" s="2">
        <v>47.4</v>
      </c>
      <c r="O1779" s="2">
        <v>31.22</v>
      </c>
      <c r="P1779" s="2">
        <v>16.18</v>
      </c>
      <c r="Q1779" t="s">
        <v>57</v>
      </c>
    </row>
    <row r="1780" spans="1:17" x14ac:dyDescent="0.2">
      <c r="A1780" t="s">
        <v>1945</v>
      </c>
      <c r="B1780" s="1">
        <v>45874</v>
      </c>
      <c r="C1780" t="s">
        <v>77</v>
      </c>
      <c r="D1780" t="s">
        <v>106</v>
      </c>
      <c r="E1780" t="s">
        <v>303</v>
      </c>
      <c r="F1780" t="s">
        <v>69</v>
      </c>
      <c r="G1780" t="s">
        <v>22</v>
      </c>
      <c r="H1780" t="s">
        <v>31</v>
      </c>
      <c r="I1780" t="s">
        <v>32</v>
      </c>
      <c r="J1780" t="s">
        <v>33</v>
      </c>
      <c r="K1780">
        <v>6</v>
      </c>
      <c r="L1780" s="2">
        <v>1433.31</v>
      </c>
      <c r="M1780" s="3">
        <v>0.1</v>
      </c>
      <c r="N1780" s="2">
        <v>7739.87</v>
      </c>
      <c r="O1780" s="2">
        <v>5636.34</v>
      </c>
      <c r="P1780" s="2">
        <v>2103.5300000000002</v>
      </c>
      <c r="Q1780" t="s">
        <v>57</v>
      </c>
    </row>
    <row r="1781" spans="1:17" x14ac:dyDescent="0.2">
      <c r="A1781" t="s">
        <v>1946</v>
      </c>
      <c r="B1781" s="1">
        <v>45874</v>
      </c>
      <c r="C1781" t="s">
        <v>43</v>
      </c>
      <c r="D1781" t="s">
        <v>208</v>
      </c>
      <c r="E1781" t="s">
        <v>230</v>
      </c>
      <c r="F1781" t="s">
        <v>60</v>
      </c>
      <c r="G1781" t="s">
        <v>75</v>
      </c>
      <c r="H1781" t="s">
        <v>23</v>
      </c>
      <c r="I1781" t="s">
        <v>55</v>
      </c>
      <c r="J1781" t="s">
        <v>56</v>
      </c>
      <c r="K1781">
        <v>3</v>
      </c>
      <c r="L1781" s="2">
        <v>19.21</v>
      </c>
      <c r="M1781" s="3">
        <v>0</v>
      </c>
      <c r="N1781" s="2">
        <v>57.63</v>
      </c>
      <c r="O1781" s="2">
        <v>33.909999999999997</v>
      </c>
      <c r="P1781" s="2">
        <v>23.72</v>
      </c>
      <c r="Q1781" t="s">
        <v>57</v>
      </c>
    </row>
    <row r="1782" spans="1:17" x14ac:dyDescent="0.2">
      <c r="A1782" t="s">
        <v>1947</v>
      </c>
      <c r="B1782" s="1">
        <v>45874</v>
      </c>
      <c r="C1782" t="s">
        <v>77</v>
      </c>
      <c r="D1782" t="s">
        <v>95</v>
      </c>
      <c r="E1782" t="s">
        <v>96</v>
      </c>
      <c r="F1782" t="s">
        <v>130</v>
      </c>
      <c r="G1782" t="s">
        <v>22</v>
      </c>
      <c r="H1782" t="s">
        <v>31</v>
      </c>
      <c r="I1782" t="s">
        <v>40</v>
      </c>
      <c r="J1782" t="s">
        <v>41</v>
      </c>
      <c r="K1782">
        <v>9</v>
      </c>
      <c r="L1782" s="2">
        <v>108.99</v>
      </c>
      <c r="M1782" s="3">
        <v>0</v>
      </c>
      <c r="N1782" s="2">
        <v>980.91</v>
      </c>
      <c r="O1782" s="2">
        <v>582.01</v>
      </c>
      <c r="P1782" s="2">
        <v>398.9</v>
      </c>
      <c r="Q1782" t="s">
        <v>57</v>
      </c>
    </row>
    <row r="1783" spans="1:17" x14ac:dyDescent="0.2">
      <c r="A1783" t="s">
        <v>1948</v>
      </c>
      <c r="B1783" s="1">
        <v>45874</v>
      </c>
      <c r="C1783" t="s">
        <v>18</v>
      </c>
      <c r="D1783" t="s">
        <v>133</v>
      </c>
      <c r="E1783" t="s">
        <v>197</v>
      </c>
      <c r="F1783" t="s">
        <v>71</v>
      </c>
      <c r="G1783" t="s">
        <v>22</v>
      </c>
      <c r="H1783" t="s">
        <v>23</v>
      </c>
      <c r="I1783" t="s">
        <v>55</v>
      </c>
      <c r="J1783" t="s">
        <v>173</v>
      </c>
      <c r="K1783">
        <v>6</v>
      </c>
      <c r="L1783" s="2">
        <v>5.22</v>
      </c>
      <c r="M1783" s="3">
        <v>0.15</v>
      </c>
      <c r="N1783" s="2">
        <v>26.62</v>
      </c>
      <c r="O1783" s="2">
        <v>15.08</v>
      </c>
      <c r="P1783" s="2">
        <v>11.54</v>
      </c>
      <c r="Q1783" t="s">
        <v>57</v>
      </c>
    </row>
    <row r="1784" spans="1:17" x14ac:dyDescent="0.2">
      <c r="A1784" t="s">
        <v>1949</v>
      </c>
      <c r="B1784" s="1">
        <v>45875</v>
      </c>
      <c r="C1784" t="s">
        <v>18</v>
      </c>
      <c r="D1784" t="s">
        <v>133</v>
      </c>
      <c r="E1784" t="s">
        <v>226</v>
      </c>
      <c r="F1784" t="s">
        <v>30</v>
      </c>
      <c r="G1784" t="s">
        <v>22</v>
      </c>
      <c r="H1784" t="s">
        <v>23</v>
      </c>
      <c r="I1784" t="s">
        <v>83</v>
      </c>
      <c r="J1784" t="s">
        <v>120</v>
      </c>
      <c r="K1784">
        <v>10</v>
      </c>
      <c r="L1784" s="2">
        <v>14.48</v>
      </c>
      <c r="M1784" s="3">
        <v>0.15</v>
      </c>
      <c r="N1784" s="2">
        <v>123.08</v>
      </c>
      <c r="O1784" s="2">
        <v>77.989999999999995</v>
      </c>
      <c r="P1784" s="2">
        <v>45.09</v>
      </c>
      <c r="Q1784" t="s">
        <v>26</v>
      </c>
    </row>
    <row r="1785" spans="1:17" x14ac:dyDescent="0.2">
      <c r="A1785" t="s">
        <v>1950</v>
      </c>
      <c r="B1785" s="1">
        <v>45875</v>
      </c>
      <c r="C1785" t="s">
        <v>36</v>
      </c>
      <c r="D1785" t="s">
        <v>73</v>
      </c>
      <c r="E1785" t="s">
        <v>212</v>
      </c>
      <c r="F1785" t="s">
        <v>71</v>
      </c>
      <c r="G1785" t="s">
        <v>22</v>
      </c>
      <c r="H1785" t="s">
        <v>23</v>
      </c>
      <c r="I1785" t="s">
        <v>24</v>
      </c>
      <c r="J1785" t="s">
        <v>25</v>
      </c>
      <c r="K1785">
        <v>6</v>
      </c>
      <c r="L1785" s="2">
        <v>21.29</v>
      </c>
      <c r="M1785" s="3">
        <v>0</v>
      </c>
      <c r="N1785" s="2">
        <v>127.74</v>
      </c>
      <c r="O1785" s="2">
        <v>77.06</v>
      </c>
      <c r="P1785" s="2">
        <v>50.68</v>
      </c>
      <c r="Q1785" t="s">
        <v>57</v>
      </c>
    </row>
    <row r="1786" spans="1:17" x14ac:dyDescent="0.2">
      <c r="A1786" t="s">
        <v>1951</v>
      </c>
      <c r="B1786" s="1">
        <v>45875</v>
      </c>
      <c r="C1786" t="s">
        <v>18</v>
      </c>
      <c r="D1786" t="s">
        <v>19</v>
      </c>
      <c r="E1786" t="s">
        <v>118</v>
      </c>
      <c r="F1786" t="s">
        <v>30</v>
      </c>
      <c r="G1786" t="s">
        <v>75</v>
      </c>
      <c r="H1786" t="s">
        <v>23</v>
      </c>
      <c r="I1786" t="s">
        <v>24</v>
      </c>
      <c r="J1786" t="s">
        <v>25</v>
      </c>
      <c r="K1786">
        <v>7</v>
      </c>
      <c r="L1786" s="2">
        <v>28.52</v>
      </c>
      <c r="M1786" s="3">
        <v>0.2</v>
      </c>
      <c r="N1786" s="2">
        <v>159.71</v>
      </c>
      <c r="O1786" s="2">
        <v>103.44</v>
      </c>
      <c r="P1786" s="2">
        <v>56.27</v>
      </c>
      <c r="Q1786" t="s">
        <v>57</v>
      </c>
    </row>
    <row r="1787" spans="1:17" x14ac:dyDescent="0.2">
      <c r="A1787" t="s">
        <v>1952</v>
      </c>
      <c r="B1787" s="1">
        <v>45875</v>
      </c>
      <c r="C1787" t="s">
        <v>18</v>
      </c>
      <c r="D1787" t="s">
        <v>152</v>
      </c>
      <c r="E1787" t="s">
        <v>153</v>
      </c>
      <c r="F1787" t="s">
        <v>53</v>
      </c>
      <c r="G1787" t="s">
        <v>22</v>
      </c>
      <c r="H1787" t="s">
        <v>23</v>
      </c>
      <c r="I1787" t="s">
        <v>24</v>
      </c>
      <c r="J1787" t="s">
        <v>108</v>
      </c>
      <c r="K1787">
        <v>5</v>
      </c>
      <c r="L1787" s="2">
        <v>18.62</v>
      </c>
      <c r="M1787" s="3">
        <v>0.15</v>
      </c>
      <c r="N1787" s="2">
        <v>79.14</v>
      </c>
      <c r="O1787" s="2">
        <v>56.01</v>
      </c>
      <c r="P1787" s="2">
        <v>23.13</v>
      </c>
      <c r="Q1787" t="s">
        <v>57</v>
      </c>
    </row>
    <row r="1788" spans="1:17" x14ac:dyDescent="0.2">
      <c r="A1788" t="s">
        <v>1953</v>
      </c>
      <c r="B1788" s="1">
        <v>45875</v>
      </c>
      <c r="C1788" t="s">
        <v>18</v>
      </c>
      <c r="D1788" t="s">
        <v>133</v>
      </c>
      <c r="E1788" t="s">
        <v>226</v>
      </c>
      <c r="F1788" t="s">
        <v>138</v>
      </c>
      <c r="G1788" t="s">
        <v>22</v>
      </c>
      <c r="H1788" t="s">
        <v>31</v>
      </c>
      <c r="I1788" t="s">
        <v>40</v>
      </c>
      <c r="J1788" t="s">
        <v>122</v>
      </c>
      <c r="K1788">
        <v>9</v>
      </c>
      <c r="L1788" s="2">
        <v>216.3</v>
      </c>
      <c r="M1788" s="3">
        <v>0.05</v>
      </c>
      <c r="N1788" s="2">
        <v>1849.36</v>
      </c>
      <c r="O1788" s="2">
        <v>1188.5999999999999</v>
      </c>
      <c r="P1788" s="2">
        <v>660.76</v>
      </c>
      <c r="Q1788" t="s">
        <v>34</v>
      </c>
    </row>
    <row r="1789" spans="1:17" x14ac:dyDescent="0.2">
      <c r="A1789" t="s">
        <v>1954</v>
      </c>
      <c r="B1789" s="1">
        <v>45875</v>
      </c>
      <c r="C1789" t="s">
        <v>36</v>
      </c>
      <c r="D1789" t="s">
        <v>73</v>
      </c>
      <c r="E1789" t="s">
        <v>74</v>
      </c>
      <c r="F1789" t="s">
        <v>46</v>
      </c>
      <c r="G1789" t="s">
        <v>22</v>
      </c>
      <c r="H1789" t="s">
        <v>47</v>
      </c>
      <c r="I1789" t="s">
        <v>141</v>
      </c>
      <c r="J1789" t="s">
        <v>201</v>
      </c>
      <c r="K1789">
        <v>10</v>
      </c>
      <c r="L1789" s="2">
        <v>316.68</v>
      </c>
      <c r="M1789" s="3">
        <v>0.1</v>
      </c>
      <c r="N1789" s="2">
        <v>2850.12</v>
      </c>
      <c r="O1789" s="2">
        <v>2091.8000000000002</v>
      </c>
      <c r="P1789" s="2">
        <v>758.32</v>
      </c>
      <c r="Q1789" t="s">
        <v>57</v>
      </c>
    </row>
    <row r="1790" spans="1:17" x14ac:dyDescent="0.2">
      <c r="A1790" t="s">
        <v>1955</v>
      </c>
      <c r="B1790" s="1">
        <v>45876</v>
      </c>
      <c r="C1790" t="s">
        <v>36</v>
      </c>
      <c r="D1790" t="s">
        <v>110</v>
      </c>
      <c r="E1790" t="s">
        <v>203</v>
      </c>
      <c r="F1790" t="s">
        <v>39</v>
      </c>
      <c r="G1790" t="s">
        <v>75</v>
      </c>
      <c r="H1790" t="s">
        <v>23</v>
      </c>
      <c r="I1790" t="s">
        <v>55</v>
      </c>
      <c r="J1790" t="s">
        <v>102</v>
      </c>
      <c r="K1790">
        <v>9</v>
      </c>
      <c r="L1790" s="2">
        <v>8.82</v>
      </c>
      <c r="M1790" s="3">
        <v>0</v>
      </c>
      <c r="N1790" s="2">
        <v>79.38</v>
      </c>
      <c r="O1790" s="2">
        <v>45.62</v>
      </c>
      <c r="P1790" s="2">
        <v>33.76</v>
      </c>
      <c r="Q1790" t="s">
        <v>57</v>
      </c>
    </row>
    <row r="1791" spans="1:17" x14ac:dyDescent="0.2">
      <c r="A1791" t="s">
        <v>1956</v>
      </c>
      <c r="B1791" s="1">
        <v>45876</v>
      </c>
      <c r="C1791" t="s">
        <v>18</v>
      </c>
      <c r="D1791" t="s">
        <v>86</v>
      </c>
      <c r="E1791" t="s">
        <v>140</v>
      </c>
      <c r="F1791" t="s">
        <v>46</v>
      </c>
      <c r="G1791" t="s">
        <v>75</v>
      </c>
      <c r="H1791" t="s">
        <v>47</v>
      </c>
      <c r="I1791" t="s">
        <v>141</v>
      </c>
      <c r="J1791" t="s">
        <v>372</v>
      </c>
      <c r="K1791">
        <v>10</v>
      </c>
      <c r="L1791" s="2">
        <v>402.18</v>
      </c>
      <c r="M1791" s="3">
        <v>0</v>
      </c>
      <c r="N1791" s="2">
        <v>4021.8</v>
      </c>
      <c r="O1791" s="2">
        <v>2403.5100000000002</v>
      </c>
      <c r="P1791" s="2">
        <v>1618.29</v>
      </c>
      <c r="Q1791" t="s">
        <v>57</v>
      </c>
    </row>
    <row r="1792" spans="1:17" x14ac:dyDescent="0.2">
      <c r="A1792" t="s">
        <v>1957</v>
      </c>
      <c r="B1792" s="1">
        <v>45876</v>
      </c>
      <c r="C1792" t="s">
        <v>77</v>
      </c>
      <c r="D1792" t="s">
        <v>95</v>
      </c>
      <c r="E1792" t="s">
        <v>367</v>
      </c>
      <c r="F1792" t="s">
        <v>39</v>
      </c>
      <c r="G1792" t="s">
        <v>75</v>
      </c>
      <c r="H1792" t="s">
        <v>31</v>
      </c>
      <c r="I1792" t="s">
        <v>32</v>
      </c>
      <c r="J1792" t="s">
        <v>104</v>
      </c>
      <c r="K1792">
        <v>4</v>
      </c>
      <c r="L1792" s="2">
        <v>1722.44</v>
      </c>
      <c r="M1792" s="3">
        <v>0</v>
      </c>
      <c r="N1792" s="2">
        <v>6889.76</v>
      </c>
      <c r="O1792" s="2">
        <v>5569.43</v>
      </c>
      <c r="P1792" s="2">
        <v>1320.33</v>
      </c>
      <c r="Q1792" t="s">
        <v>26</v>
      </c>
    </row>
    <row r="1793" spans="1:17" x14ac:dyDescent="0.2">
      <c r="A1793" t="s">
        <v>1958</v>
      </c>
      <c r="B1793" s="1">
        <v>45876</v>
      </c>
      <c r="C1793" t="s">
        <v>36</v>
      </c>
      <c r="D1793" t="s">
        <v>37</v>
      </c>
      <c r="E1793" t="s">
        <v>38</v>
      </c>
      <c r="F1793" t="s">
        <v>138</v>
      </c>
      <c r="G1793" t="s">
        <v>75</v>
      </c>
      <c r="H1793" t="s">
        <v>23</v>
      </c>
      <c r="I1793" t="s">
        <v>83</v>
      </c>
      <c r="J1793" t="s">
        <v>120</v>
      </c>
      <c r="K1793">
        <v>10</v>
      </c>
      <c r="L1793" s="2">
        <v>21.2</v>
      </c>
      <c r="M1793" s="3">
        <v>0.05</v>
      </c>
      <c r="N1793" s="2">
        <v>201.4</v>
      </c>
      <c r="O1793" s="2">
        <v>119.89</v>
      </c>
      <c r="P1793" s="2">
        <v>81.510000000000005</v>
      </c>
      <c r="Q1793" t="s">
        <v>57</v>
      </c>
    </row>
    <row r="1794" spans="1:17" x14ac:dyDescent="0.2">
      <c r="A1794" t="s">
        <v>1959</v>
      </c>
      <c r="B1794" s="1">
        <v>45876</v>
      </c>
      <c r="C1794" t="s">
        <v>36</v>
      </c>
      <c r="D1794" t="s">
        <v>110</v>
      </c>
      <c r="E1794" t="s">
        <v>111</v>
      </c>
      <c r="F1794" t="s">
        <v>53</v>
      </c>
      <c r="G1794" t="s">
        <v>54</v>
      </c>
      <c r="H1794" t="s">
        <v>23</v>
      </c>
      <c r="I1794" t="s">
        <v>79</v>
      </c>
      <c r="J1794" t="s">
        <v>233</v>
      </c>
      <c r="K1794">
        <v>7</v>
      </c>
      <c r="L1794" s="2">
        <v>274.43</v>
      </c>
      <c r="M1794" s="3">
        <v>0.1</v>
      </c>
      <c r="N1794" s="2">
        <v>1728.91</v>
      </c>
      <c r="O1794" s="2">
        <v>1058.5999999999999</v>
      </c>
      <c r="P1794" s="2">
        <v>670.31</v>
      </c>
      <c r="Q1794" t="s">
        <v>26</v>
      </c>
    </row>
    <row r="1795" spans="1:17" x14ac:dyDescent="0.2">
      <c r="A1795" t="s">
        <v>1960</v>
      </c>
      <c r="B1795" s="1">
        <v>45876</v>
      </c>
      <c r="C1795" t="s">
        <v>36</v>
      </c>
      <c r="D1795" t="s">
        <v>37</v>
      </c>
      <c r="E1795" t="s">
        <v>38</v>
      </c>
      <c r="F1795" t="s">
        <v>71</v>
      </c>
      <c r="G1795" t="s">
        <v>22</v>
      </c>
      <c r="H1795" t="s">
        <v>47</v>
      </c>
      <c r="I1795" t="s">
        <v>48</v>
      </c>
      <c r="J1795" t="s">
        <v>49</v>
      </c>
      <c r="K1795">
        <v>10</v>
      </c>
      <c r="L1795" s="2">
        <v>225.49</v>
      </c>
      <c r="M1795" s="3">
        <v>0.15</v>
      </c>
      <c r="N1795" s="2">
        <v>1916.66</v>
      </c>
      <c r="O1795" s="2">
        <v>1313.45</v>
      </c>
      <c r="P1795" s="2">
        <v>603.21</v>
      </c>
      <c r="Q1795" t="s">
        <v>61</v>
      </c>
    </row>
    <row r="1796" spans="1:17" x14ac:dyDescent="0.2">
      <c r="A1796" t="s">
        <v>1961</v>
      </c>
      <c r="B1796" s="1">
        <v>45876</v>
      </c>
      <c r="C1796" t="s">
        <v>43</v>
      </c>
      <c r="D1796" t="s">
        <v>51</v>
      </c>
      <c r="E1796" t="s">
        <v>63</v>
      </c>
      <c r="F1796" t="s">
        <v>30</v>
      </c>
      <c r="G1796" t="s">
        <v>75</v>
      </c>
      <c r="H1796" t="s">
        <v>47</v>
      </c>
      <c r="I1796" t="s">
        <v>141</v>
      </c>
      <c r="J1796" t="s">
        <v>201</v>
      </c>
      <c r="K1796">
        <v>2</v>
      </c>
      <c r="L1796" s="2">
        <v>549.83000000000004</v>
      </c>
      <c r="M1796" s="3">
        <v>0</v>
      </c>
      <c r="N1796" s="2">
        <v>1099.6600000000001</v>
      </c>
      <c r="O1796" s="2">
        <v>758.73</v>
      </c>
      <c r="P1796" s="2">
        <v>340.93</v>
      </c>
      <c r="Q1796" t="s">
        <v>61</v>
      </c>
    </row>
    <row r="1797" spans="1:17" x14ac:dyDescent="0.2">
      <c r="A1797" t="s">
        <v>1962</v>
      </c>
      <c r="B1797" s="1">
        <v>45876</v>
      </c>
      <c r="C1797" t="s">
        <v>36</v>
      </c>
      <c r="D1797" t="s">
        <v>110</v>
      </c>
      <c r="E1797" t="s">
        <v>115</v>
      </c>
      <c r="F1797" t="s">
        <v>69</v>
      </c>
      <c r="G1797" t="s">
        <v>22</v>
      </c>
      <c r="H1797" t="s">
        <v>47</v>
      </c>
      <c r="I1797" t="s">
        <v>89</v>
      </c>
      <c r="J1797" t="s">
        <v>240</v>
      </c>
      <c r="K1797">
        <v>10</v>
      </c>
      <c r="L1797" s="2">
        <v>389.03</v>
      </c>
      <c r="M1797" s="3">
        <v>0</v>
      </c>
      <c r="N1797" s="2">
        <v>3890.3</v>
      </c>
      <c r="O1797" s="2">
        <v>2958.28</v>
      </c>
      <c r="P1797" s="2">
        <v>932.02</v>
      </c>
      <c r="Q1797" t="s">
        <v>57</v>
      </c>
    </row>
    <row r="1798" spans="1:17" x14ac:dyDescent="0.2">
      <c r="A1798" t="s">
        <v>1963</v>
      </c>
      <c r="B1798" s="1">
        <v>45876</v>
      </c>
      <c r="C1798" t="s">
        <v>43</v>
      </c>
      <c r="D1798" t="s">
        <v>51</v>
      </c>
      <c r="E1798" t="s">
        <v>59</v>
      </c>
      <c r="F1798" t="s">
        <v>71</v>
      </c>
      <c r="G1798" t="s">
        <v>54</v>
      </c>
      <c r="H1798" t="s">
        <v>23</v>
      </c>
      <c r="I1798" t="s">
        <v>24</v>
      </c>
      <c r="J1798" t="s">
        <v>220</v>
      </c>
      <c r="K1798">
        <v>3</v>
      </c>
      <c r="L1798" s="2">
        <v>25.7</v>
      </c>
      <c r="M1798" s="3">
        <v>0.15</v>
      </c>
      <c r="N1798" s="2">
        <v>65.540000000000006</v>
      </c>
      <c r="O1798" s="2">
        <v>47.37</v>
      </c>
      <c r="P1798" s="2">
        <v>18.170000000000002</v>
      </c>
      <c r="Q1798" t="s">
        <v>34</v>
      </c>
    </row>
    <row r="1799" spans="1:17" x14ac:dyDescent="0.2">
      <c r="A1799" t="s">
        <v>1964</v>
      </c>
      <c r="B1799" s="1">
        <v>45876</v>
      </c>
      <c r="C1799" t="s">
        <v>77</v>
      </c>
      <c r="D1799" t="s">
        <v>149</v>
      </c>
      <c r="E1799" t="s">
        <v>309</v>
      </c>
      <c r="F1799" t="s">
        <v>130</v>
      </c>
      <c r="G1799" t="s">
        <v>22</v>
      </c>
      <c r="H1799" t="s">
        <v>31</v>
      </c>
      <c r="I1799" t="s">
        <v>112</v>
      </c>
      <c r="J1799" t="s">
        <v>136</v>
      </c>
      <c r="K1799">
        <v>2</v>
      </c>
      <c r="L1799" s="2">
        <v>688.69</v>
      </c>
      <c r="M1799" s="3">
        <v>0.1</v>
      </c>
      <c r="N1799" s="2">
        <v>1239.6400000000001</v>
      </c>
      <c r="O1799" s="2">
        <v>937.32</v>
      </c>
      <c r="P1799" s="2">
        <v>302.32</v>
      </c>
      <c r="Q1799" t="s">
        <v>61</v>
      </c>
    </row>
    <row r="1800" spans="1:17" x14ac:dyDescent="0.2">
      <c r="A1800" t="s">
        <v>1965</v>
      </c>
      <c r="B1800" s="1">
        <v>45876</v>
      </c>
      <c r="C1800" t="s">
        <v>36</v>
      </c>
      <c r="D1800" t="s">
        <v>73</v>
      </c>
      <c r="E1800" t="s">
        <v>247</v>
      </c>
      <c r="F1800" t="s">
        <v>71</v>
      </c>
      <c r="G1800" t="s">
        <v>75</v>
      </c>
      <c r="H1800" t="s">
        <v>31</v>
      </c>
      <c r="I1800" t="s">
        <v>64</v>
      </c>
      <c r="J1800" t="s">
        <v>252</v>
      </c>
      <c r="K1800">
        <v>4</v>
      </c>
      <c r="L1800" s="2">
        <v>140.94</v>
      </c>
      <c r="M1800" s="3">
        <v>0.1</v>
      </c>
      <c r="N1800" s="2">
        <v>507.38</v>
      </c>
      <c r="O1800" s="2">
        <v>415.42</v>
      </c>
      <c r="P1800" s="2">
        <v>91.96</v>
      </c>
      <c r="Q1800" t="s">
        <v>61</v>
      </c>
    </row>
    <row r="1801" spans="1:17" x14ac:dyDescent="0.2">
      <c r="A1801" t="s">
        <v>1966</v>
      </c>
      <c r="B1801" s="1">
        <v>45876</v>
      </c>
      <c r="C1801" t="s">
        <v>18</v>
      </c>
      <c r="D1801" t="s">
        <v>19</v>
      </c>
      <c r="E1801" t="s">
        <v>100</v>
      </c>
      <c r="F1801" t="s">
        <v>71</v>
      </c>
      <c r="G1801" t="s">
        <v>54</v>
      </c>
      <c r="H1801" t="s">
        <v>31</v>
      </c>
      <c r="I1801" t="s">
        <v>64</v>
      </c>
      <c r="J1801" t="s">
        <v>252</v>
      </c>
      <c r="K1801">
        <v>4</v>
      </c>
      <c r="L1801" s="2">
        <v>129.11000000000001</v>
      </c>
      <c r="M1801" s="3">
        <v>0.15</v>
      </c>
      <c r="N1801" s="2">
        <v>438.97</v>
      </c>
      <c r="O1801" s="2">
        <v>354.92</v>
      </c>
      <c r="P1801" s="2">
        <v>84.05</v>
      </c>
      <c r="Q1801" t="s">
        <v>61</v>
      </c>
    </row>
    <row r="1802" spans="1:17" x14ac:dyDescent="0.2">
      <c r="A1802" t="s">
        <v>1967</v>
      </c>
      <c r="B1802" s="1">
        <v>45876</v>
      </c>
      <c r="C1802" t="s">
        <v>18</v>
      </c>
      <c r="D1802" t="s">
        <v>133</v>
      </c>
      <c r="E1802" t="s">
        <v>226</v>
      </c>
      <c r="F1802" t="s">
        <v>71</v>
      </c>
      <c r="G1802" t="s">
        <v>75</v>
      </c>
      <c r="H1802" t="s">
        <v>23</v>
      </c>
      <c r="I1802" t="s">
        <v>24</v>
      </c>
      <c r="J1802" t="s">
        <v>25</v>
      </c>
      <c r="K1802">
        <v>6</v>
      </c>
      <c r="L1802" s="2">
        <v>5.0599999999999996</v>
      </c>
      <c r="M1802" s="3">
        <v>0.05</v>
      </c>
      <c r="N1802" s="2">
        <v>28.84</v>
      </c>
      <c r="O1802" s="2">
        <v>17.27</v>
      </c>
      <c r="P1802" s="2">
        <v>11.57</v>
      </c>
      <c r="Q1802" t="s">
        <v>61</v>
      </c>
    </row>
    <row r="1803" spans="1:17" x14ac:dyDescent="0.2">
      <c r="A1803" t="s">
        <v>1968</v>
      </c>
      <c r="B1803" s="1">
        <v>45877</v>
      </c>
      <c r="C1803" t="s">
        <v>18</v>
      </c>
      <c r="D1803" t="s">
        <v>28</v>
      </c>
      <c r="E1803" t="s">
        <v>29</v>
      </c>
      <c r="F1803" t="s">
        <v>30</v>
      </c>
      <c r="G1803" t="s">
        <v>22</v>
      </c>
      <c r="H1803" t="s">
        <v>23</v>
      </c>
      <c r="I1803" t="s">
        <v>83</v>
      </c>
      <c r="J1803" t="s">
        <v>84</v>
      </c>
      <c r="K1803">
        <v>1</v>
      </c>
      <c r="L1803" s="2">
        <v>22.9</v>
      </c>
      <c r="M1803" s="3">
        <v>0.05</v>
      </c>
      <c r="N1803" s="2">
        <v>21.76</v>
      </c>
      <c r="O1803" s="2">
        <v>14.28</v>
      </c>
      <c r="P1803" s="2">
        <v>7.48</v>
      </c>
      <c r="Q1803" t="s">
        <v>34</v>
      </c>
    </row>
    <row r="1804" spans="1:17" x14ac:dyDescent="0.2">
      <c r="A1804" t="s">
        <v>1969</v>
      </c>
      <c r="B1804" s="1">
        <v>45877</v>
      </c>
      <c r="C1804" t="s">
        <v>36</v>
      </c>
      <c r="D1804" t="s">
        <v>67</v>
      </c>
      <c r="E1804" t="s">
        <v>270</v>
      </c>
      <c r="F1804" t="s">
        <v>69</v>
      </c>
      <c r="G1804" t="s">
        <v>75</v>
      </c>
      <c r="H1804" t="s">
        <v>23</v>
      </c>
      <c r="I1804" t="s">
        <v>83</v>
      </c>
      <c r="J1804" t="s">
        <v>131</v>
      </c>
      <c r="K1804">
        <v>10</v>
      </c>
      <c r="L1804" s="2">
        <v>21.41</v>
      </c>
      <c r="M1804" s="3">
        <v>0</v>
      </c>
      <c r="N1804" s="2">
        <v>214.1</v>
      </c>
      <c r="O1804" s="2">
        <v>118.37</v>
      </c>
      <c r="P1804" s="2">
        <v>95.73</v>
      </c>
      <c r="Q1804" t="s">
        <v>57</v>
      </c>
    </row>
    <row r="1805" spans="1:17" x14ac:dyDescent="0.2">
      <c r="A1805" t="s">
        <v>1970</v>
      </c>
      <c r="B1805" s="1">
        <v>45877</v>
      </c>
      <c r="C1805" t="s">
        <v>18</v>
      </c>
      <c r="D1805" t="s">
        <v>152</v>
      </c>
      <c r="E1805" t="s">
        <v>185</v>
      </c>
      <c r="F1805" t="s">
        <v>138</v>
      </c>
      <c r="G1805" t="s">
        <v>75</v>
      </c>
      <c r="H1805" t="s">
        <v>23</v>
      </c>
      <c r="I1805" t="s">
        <v>79</v>
      </c>
      <c r="J1805" t="s">
        <v>179</v>
      </c>
      <c r="K1805">
        <v>3</v>
      </c>
      <c r="L1805" s="2">
        <v>184.8</v>
      </c>
      <c r="M1805" s="3">
        <v>0.15</v>
      </c>
      <c r="N1805" s="2">
        <v>471.24</v>
      </c>
      <c r="O1805" s="2">
        <v>295.24</v>
      </c>
      <c r="P1805" s="2">
        <v>176</v>
      </c>
      <c r="Q1805" t="s">
        <v>34</v>
      </c>
    </row>
    <row r="1806" spans="1:17" x14ac:dyDescent="0.2">
      <c r="A1806" t="s">
        <v>1971</v>
      </c>
      <c r="B1806" s="1">
        <v>45877</v>
      </c>
      <c r="C1806" t="s">
        <v>43</v>
      </c>
      <c r="D1806" t="s">
        <v>161</v>
      </c>
      <c r="E1806" t="s">
        <v>162</v>
      </c>
      <c r="F1806" t="s">
        <v>39</v>
      </c>
      <c r="G1806" t="s">
        <v>75</v>
      </c>
      <c r="H1806" t="s">
        <v>23</v>
      </c>
      <c r="I1806" t="s">
        <v>24</v>
      </c>
      <c r="J1806" t="s">
        <v>108</v>
      </c>
      <c r="K1806">
        <v>1</v>
      </c>
      <c r="L1806" s="2">
        <v>15.07</v>
      </c>
      <c r="M1806" s="3">
        <v>0.15</v>
      </c>
      <c r="N1806" s="2">
        <v>12.81</v>
      </c>
      <c r="O1806" s="2">
        <v>9.2100000000000009</v>
      </c>
      <c r="P1806" s="2">
        <v>3.6</v>
      </c>
      <c r="Q1806" t="s">
        <v>34</v>
      </c>
    </row>
    <row r="1807" spans="1:17" x14ac:dyDescent="0.2">
      <c r="A1807" t="s">
        <v>1972</v>
      </c>
      <c r="B1807" s="1">
        <v>45877</v>
      </c>
      <c r="C1807" t="s">
        <v>18</v>
      </c>
      <c r="D1807" t="s">
        <v>19</v>
      </c>
      <c r="E1807" t="s">
        <v>20</v>
      </c>
      <c r="F1807" t="s">
        <v>71</v>
      </c>
      <c r="G1807" t="s">
        <v>75</v>
      </c>
      <c r="H1807" t="s">
        <v>31</v>
      </c>
      <c r="I1807" t="s">
        <v>64</v>
      </c>
      <c r="J1807" t="s">
        <v>252</v>
      </c>
      <c r="K1807">
        <v>6</v>
      </c>
      <c r="L1807" s="2">
        <v>157.02000000000001</v>
      </c>
      <c r="M1807" s="3">
        <v>0</v>
      </c>
      <c r="N1807" s="2">
        <v>942.12</v>
      </c>
      <c r="O1807" s="2">
        <v>690.74</v>
      </c>
      <c r="P1807" s="2">
        <v>251.38</v>
      </c>
      <c r="Q1807" t="s">
        <v>26</v>
      </c>
    </row>
    <row r="1808" spans="1:17" x14ac:dyDescent="0.2">
      <c r="A1808" t="s">
        <v>1973</v>
      </c>
      <c r="B1808" s="1">
        <v>45877</v>
      </c>
      <c r="C1808" t="s">
        <v>77</v>
      </c>
      <c r="D1808" t="s">
        <v>95</v>
      </c>
      <c r="E1808" t="s">
        <v>96</v>
      </c>
      <c r="F1808" t="s">
        <v>138</v>
      </c>
      <c r="G1808" t="s">
        <v>75</v>
      </c>
      <c r="H1808" t="s">
        <v>31</v>
      </c>
      <c r="I1808" t="s">
        <v>64</v>
      </c>
      <c r="J1808" t="s">
        <v>252</v>
      </c>
      <c r="K1808">
        <v>3</v>
      </c>
      <c r="L1808" s="2">
        <v>163.63999999999999</v>
      </c>
      <c r="M1808" s="3">
        <v>0.15</v>
      </c>
      <c r="N1808" s="2">
        <v>417.28</v>
      </c>
      <c r="O1808" s="2">
        <v>242.5</v>
      </c>
      <c r="P1808" s="2">
        <v>174.78</v>
      </c>
      <c r="Q1808" t="s">
        <v>57</v>
      </c>
    </row>
    <row r="1809" spans="1:17" x14ac:dyDescent="0.2">
      <c r="A1809" t="s">
        <v>1974</v>
      </c>
      <c r="B1809" s="1">
        <v>45877</v>
      </c>
      <c r="C1809" t="s">
        <v>43</v>
      </c>
      <c r="D1809" t="s">
        <v>244</v>
      </c>
      <c r="E1809" t="s">
        <v>300</v>
      </c>
      <c r="F1809" t="s">
        <v>60</v>
      </c>
      <c r="G1809" t="s">
        <v>54</v>
      </c>
      <c r="H1809" t="s">
        <v>23</v>
      </c>
      <c r="I1809" t="s">
        <v>79</v>
      </c>
      <c r="J1809" t="s">
        <v>179</v>
      </c>
      <c r="K1809">
        <v>7</v>
      </c>
      <c r="L1809" s="2">
        <v>346.71</v>
      </c>
      <c r="M1809" s="3">
        <v>0.1</v>
      </c>
      <c r="N1809" s="2">
        <v>2184.27</v>
      </c>
      <c r="O1809" s="2">
        <v>1593.26</v>
      </c>
      <c r="P1809" s="2">
        <v>591.01</v>
      </c>
      <c r="Q1809" t="s">
        <v>57</v>
      </c>
    </row>
    <row r="1810" spans="1:17" x14ac:dyDescent="0.2">
      <c r="A1810" t="s">
        <v>1975</v>
      </c>
      <c r="B1810" s="1">
        <v>45877</v>
      </c>
      <c r="C1810" t="s">
        <v>43</v>
      </c>
      <c r="D1810" t="s">
        <v>244</v>
      </c>
      <c r="E1810" t="s">
        <v>326</v>
      </c>
      <c r="F1810" t="s">
        <v>138</v>
      </c>
      <c r="G1810" t="s">
        <v>22</v>
      </c>
      <c r="H1810" t="s">
        <v>23</v>
      </c>
      <c r="I1810" t="s">
        <v>83</v>
      </c>
      <c r="J1810" t="s">
        <v>131</v>
      </c>
      <c r="K1810">
        <v>8</v>
      </c>
      <c r="L1810" s="2">
        <v>8.59</v>
      </c>
      <c r="M1810" s="3">
        <v>0</v>
      </c>
      <c r="N1810" s="2">
        <v>68.72</v>
      </c>
      <c r="O1810" s="2">
        <v>45.1</v>
      </c>
      <c r="P1810" s="2">
        <v>23.62</v>
      </c>
      <c r="Q1810" t="s">
        <v>57</v>
      </c>
    </row>
    <row r="1811" spans="1:17" x14ac:dyDescent="0.2">
      <c r="A1811" t="s">
        <v>1976</v>
      </c>
      <c r="B1811" s="1">
        <v>45878</v>
      </c>
      <c r="C1811" t="s">
        <v>77</v>
      </c>
      <c r="D1811" t="s">
        <v>106</v>
      </c>
      <c r="E1811" t="s">
        <v>236</v>
      </c>
      <c r="F1811" t="s">
        <v>60</v>
      </c>
      <c r="G1811" t="s">
        <v>75</v>
      </c>
      <c r="H1811" t="s">
        <v>23</v>
      </c>
      <c r="I1811" t="s">
        <v>24</v>
      </c>
      <c r="J1811" t="s">
        <v>108</v>
      </c>
      <c r="K1811">
        <v>10</v>
      </c>
      <c r="L1811" s="2">
        <v>10.51</v>
      </c>
      <c r="M1811" s="3">
        <v>0</v>
      </c>
      <c r="N1811" s="2">
        <v>105.1</v>
      </c>
      <c r="O1811" s="2">
        <v>85.65</v>
      </c>
      <c r="P1811" s="2">
        <v>19.45</v>
      </c>
      <c r="Q1811" t="s">
        <v>61</v>
      </c>
    </row>
    <row r="1812" spans="1:17" x14ac:dyDescent="0.2">
      <c r="A1812" t="s">
        <v>1977</v>
      </c>
      <c r="B1812" s="1">
        <v>45878</v>
      </c>
      <c r="C1812" t="s">
        <v>77</v>
      </c>
      <c r="D1812" t="s">
        <v>78</v>
      </c>
      <c r="E1812" t="s">
        <v>261</v>
      </c>
      <c r="F1812" t="s">
        <v>60</v>
      </c>
      <c r="G1812" t="s">
        <v>75</v>
      </c>
      <c r="H1812" t="s">
        <v>31</v>
      </c>
      <c r="I1812" t="s">
        <v>32</v>
      </c>
      <c r="J1812" t="s">
        <v>33</v>
      </c>
      <c r="K1812">
        <v>5</v>
      </c>
      <c r="L1812" s="2">
        <v>1199.3499999999999</v>
      </c>
      <c r="M1812" s="3">
        <v>0.1</v>
      </c>
      <c r="N1812" s="2">
        <v>5397.08</v>
      </c>
      <c r="O1812" s="2">
        <v>4295.4799999999996</v>
      </c>
      <c r="P1812" s="2">
        <v>1101.5999999999999</v>
      </c>
      <c r="Q1812" t="s">
        <v>57</v>
      </c>
    </row>
    <row r="1813" spans="1:17" x14ac:dyDescent="0.2">
      <c r="A1813" t="s">
        <v>1978</v>
      </c>
      <c r="B1813" s="1">
        <v>45878</v>
      </c>
      <c r="C1813" t="s">
        <v>43</v>
      </c>
      <c r="D1813" t="s">
        <v>208</v>
      </c>
      <c r="E1813" t="s">
        <v>209</v>
      </c>
      <c r="F1813" t="s">
        <v>130</v>
      </c>
      <c r="G1813" t="s">
        <v>75</v>
      </c>
      <c r="H1813" t="s">
        <v>47</v>
      </c>
      <c r="I1813" t="s">
        <v>97</v>
      </c>
      <c r="J1813" t="s">
        <v>116</v>
      </c>
      <c r="K1813">
        <v>7</v>
      </c>
      <c r="L1813" s="2">
        <v>464.39</v>
      </c>
      <c r="M1813" s="3">
        <v>0</v>
      </c>
      <c r="N1813" s="2">
        <v>3250.73</v>
      </c>
      <c r="O1813" s="2">
        <v>2534.3000000000002</v>
      </c>
      <c r="P1813" s="2">
        <v>716.43</v>
      </c>
      <c r="Q1813" t="s">
        <v>57</v>
      </c>
    </row>
    <row r="1814" spans="1:17" x14ac:dyDescent="0.2">
      <c r="A1814" t="s">
        <v>1979</v>
      </c>
      <c r="B1814" s="1">
        <v>45878</v>
      </c>
      <c r="C1814" t="s">
        <v>77</v>
      </c>
      <c r="D1814" t="s">
        <v>149</v>
      </c>
      <c r="E1814" t="s">
        <v>309</v>
      </c>
      <c r="F1814" t="s">
        <v>60</v>
      </c>
      <c r="G1814" t="s">
        <v>22</v>
      </c>
      <c r="H1814" t="s">
        <v>47</v>
      </c>
      <c r="I1814" t="s">
        <v>48</v>
      </c>
      <c r="J1814" t="s">
        <v>164</v>
      </c>
      <c r="K1814">
        <v>8</v>
      </c>
      <c r="L1814" s="2">
        <v>768.87</v>
      </c>
      <c r="M1814" s="3">
        <v>0.05</v>
      </c>
      <c r="N1814" s="2">
        <v>5843.41</v>
      </c>
      <c r="O1814" s="2">
        <v>3332.75</v>
      </c>
      <c r="P1814" s="2">
        <v>2510.66</v>
      </c>
      <c r="Q1814" t="s">
        <v>61</v>
      </c>
    </row>
    <row r="1815" spans="1:17" x14ac:dyDescent="0.2">
      <c r="A1815" t="s">
        <v>1980</v>
      </c>
      <c r="B1815" s="1">
        <v>45878</v>
      </c>
      <c r="C1815" t="s">
        <v>18</v>
      </c>
      <c r="D1815" t="s">
        <v>86</v>
      </c>
      <c r="E1815" t="s">
        <v>140</v>
      </c>
      <c r="F1815" t="s">
        <v>21</v>
      </c>
      <c r="G1815" t="s">
        <v>22</v>
      </c>
      <c r="H1815" t="s">
        <v>47</v>
      </c>
      <c r="I1815" t="s">
        <v>89</v>
      </c>
      <c r="J1815" t="s">
        <v>90</v>
      </c>
      <c r="K1815">
        <v>6</v>
      </c>
      <c r="L1815" s="2">
        <v>388.68</v>
      </c>
      <c r="M1815" s="3">
        <v>0</v>
      </c>
      <c r="N1815" s="2">
        <v>2332.08</v>
      </c>
      <c r="O1815" s="2">
        <v>1693.87</v>
      </c>
      <c r="P1815" s="2">
        <v>638.21</v>
      </c>
      <c r="Q1815" t="s">
        <v>57</v>
      </c>
    </row>
    <row r="1816" spans="1:17" x14ac:dyDescent="0.2">
      <c r="A1816" t="s">
        <v>1981</v>
      </c>
      <c r="B1816" s="1">
        <v>45878</v>
      </c>
      <c r="C1816" t="s">
        <v>43</v>
      </c>
      <c r="D1816" t="s">
        <v>44</v>
      </c>
      <c r="E1816" t="s">
        <v>82</v>
      </c>
      <c r="F1816" t="s">
        <v>53</v>
      </c>
      <c r="G1816" t="s">
        <v>22</v>
      </c>
      <c r="H1816" t="s">
        <v>47</v>
      </c>
      <c r="I1816" t="s">
        <v>97</v>
      </c>
      <c r="J1816" t="s">
        <v>116</v>
      </c>
      <c r="K1816">
        <v>5</v>
      </c>
      <c r="L1816" s="2">
        <v>142.97</v>
      </c>
      <c r="M1816" s="3">
        <v>0.1</v>
      </c>
      <c r="N1816" s="2">
        <v>643.36</v>
      </c>
      <c r="O1816" s="2">
        <v>444.09</v>
      </c>
      <c r="P1816" s="2">
        <v>199.27</v>
      </c>
      <c r="Q1816" t="s">
        <v>34</v>
      </c>
    </row>
    <row r="1817" spans="1:17" x14ac:dyDescent="0.2">
      <c r="A1817" t="s">
        <v>1982</v>
      </c>
      <c r="B1817" s="1">
        <v>45878</v>
      </c>
      <c r="C1817" t="s">
        <v>43</v>
      </c>
      <c r="D1817" t="s">
        <v>208</v>
      </c>
      <c r="E1817" t="s">
        <v>287</v>
      </c>
      <c r="F1817" t="s">
        <v>138</v>
      </c>
      <c r="G1817" t="s">
        <v>22</v>
      </c>
      <c r="H1817" t="s">
        <v>31</v>
      </c>
      <c r="I1817" t="s">
        <v>112</v>
      </c>
      <c r="J1817" t="s">
        <v>176</v>
      </c>
      <c r="K1817">
        <v>4</v>
      </c>
      <c r="L1817" s="2">
        <v>505.88</v>
      </c>
      <c r="M1817" s="3">
        <v>0.1</v>
      </c>
      <c r="N1817" s="2">
        <v>1821.17</v>
      </c>
      <c r="O1817" s="2">
        <v>1053.5999999999999</v>
      </c>
      <c r="P1817" s="2">
        <v>767.57</v>
      </c>
      <c r="Q1817" t="s">
        <v>57</v>
      </c>
    </row>
    <row r="1818" spans="1:17" x14ac:dyDescent="0.2">
      <c r="A1818" t="s">
        <v>1983</v>
      </c>
      <c r="B1818" s="1">
        <v>45878</v>
      </c>
      <c r="C1818" t="s">
        <v>43</v>
      </c>
      <c r="D1818" t="s">
        <v>244</v>
      </c>
      <c r="E1818" t="s">
        <v>326</v>
      </c>
      <c r="F1818" t="s">
        <v>39</v>
      </c>
      <c r="G1818" t="s">
        <v>75</v>
      </c>
      <c r="H1818" t="s">
        <v>23</v>
      </c>
      <c r="I1818" t="s">
        <v>55</v>
      </c>
      <c r="J1818" t="s">
        <v>56</v>
      </c>
      <c r="K1818">
        <v>1</v>
      </c>
      <c r="L1818" s="2">
        <v>8.4600000000000009</v>
      </c>
      <c r="M1818" s="3">
        <v>0</v>
      </c>
      <c r="N1818" s="2">
        <v>8.4600000000000009</v>
      </c>
      <c r="O1818" s="2">
        <v>5.1100000000000003</v>
      </c>
      <c r="P1818" s="2">
        <v>3.35</v>
      </c>
      <c r="Q1818" t="s">
        <v>34</v>
      </c>
    </row>
    <row r="1819" spans="1:17" x14ac:dyDescent="0.2">
      <c r="A1819" t="s">
        <v>1984</v>
      </c>
      <c r="B1819" s="1">
        <v>45878</v>
      </c>
      <c r="C1819" t="s">
        <v>18</v>
      </c>
      <c r="D1819" t="s">
        <v>133</v>
      </c>
      <c r="E1819" t="s">
        <v>197</v>
      </c>
      <c r="F1819" t="s">
        <v>21</v>
      </c>
      <c r="G1819" t="s">
        <v>54</v>
      </c>
      <c r="H1819" t="s">
        <v>23</v>
      </c>
      <c r="I1819" t="s">
        <v>55</v>
      </c>
      <c r="J1819" t="s">
        <v>102</v>
      </c>
      <c r="K1819">
        <v>9</v>
      </c>
      <c r="L1819" s="2">
        <v>10.23</v>
      </c>
      <c r="M1819" s="3">
        <v>0.1</v>
      </c>
      <c r="N1819" s="2">
        <v>82.86</v>
      </c>
      <c r="O1819" s="2">
        <v>47.09</v>
      </c>
      <c r="P1819" s="2">
        <v>35.770000000000003</v>
      </c>
      <c r="Q1819" t="s">
        <v>34</v>
      </c>
    </row>
    <row r="1820" spans="1:17" x14ac:dyDescent="0.2">
      <c r="A1820" t="s">
        <v>1985</v>
      </c>
      <c r="B1820" s="1">
        <v>45878</v>
      </c>
      <c r="C1820" t="s">
        <v>43</v>
      </c>
      <c r="D1820" t="s">
        <v>51</v>
      </c>
      <c r="E1820" t="s">
        <v>63</v>
      </c>
      <c r="F1820" t="s">
        <v>30</v>
      </c>
      <c r="G1820" t="s">
        <v>75</v>
      </c>
      <c r="H1820" t="s">
        <v>31</v>
      </c>
      <c r="I1820" t="s">
        <v>112</v>
      </c>
      <c r="J1820" t="s">
        <v>136</v>
      </c>
      <c r="K1820">
        <v>8</v>
      </c>
      <c r="L1820" s="2">
        <v>624.69000000000005</v>
      </c>
      <c r="M1820" s="3">
        <v>0.05</v>
      </c>
      <c r="N1820" s="2">
        <v>4747.6400000000003</v>
      </c>
      <c r="O1820" s="2">
        <v>3505.03</v>
      </c>
      <c r="P1820" s="2">
        <v>1242.6099999999999</v>
      </c>
      <c r="Q1820" t="s">
        <v>34</v>
      </c>
    </row>
    <row r="1821" spans="1:17" x14ac:dyDescent="0.2">
      <c r="A1821" t="s">
        <v>1986</v>
      </c>
      <c r="B1821" s="1">
        <v>45879</v>
      </c>
      <c r="C1821" t="s">
        <v>77</v>
      </c>
      <c r="D1821" t="s">
        <v>95</v>
      </c>
      <c r="E1821" t="s">
        <v>367</v>
      </c>
      <c r="F1821" t="s">
        <v>53</v>
      </c>
      <c r="G1821" t="s">
        <v>22</v>
      </c>
      <c r="H1821" t="s">
        <v>47</v>
      </c>
      <c r="I1821" t="s">
        <v>97</v>
      </c>
      <c r="J1821" t="s">
        <v>98</v>
      </c>
      <c r="K1821">
        <v>9</v>
      </c>
      <c r="L1821" s="2">
        <v>114.9</v>
      </c>
      <c r="M1821" s="3">
        <v>0.15</v>
      </c>
      <c r="N1821" s="2">
        <v>878.99</v>
      </c>
      <c r="O1821" s="2">
        <v>596.47</v>
      </c>
      <c r="P1821" s="2">
        <v>282.52</v>
      </c>
      <c r="Q1821" t="s">
        <v>57</v>
      </c>
    </row>
    <row r="1822" spans="1:17" x14ac:dyDescent="0.2">
      <c r="A1822" t="s">
        <v>1987</v>
      </c>
      <c r="B1822" s="1">
        <v>45879</v>
      </c>
      <c r="C1822" t="s">
        <v>36</v>
      </c>
      <c r="D1822" t="s">
        <v>73</v>
      </c>
      <c r="E1822" t="s">
        <v>212</v>
      </c>
      <c r="F1822" t="s">
        <v>130</v>
      </c>
      <c r="G1822" t="s">
        <v>75</v>
      </c>
      <c r="H1822" t="s">
        <v>47</v>
      </c>
      <c r="I1822" t="s">
        <v>48</v>
      </c>
      <c r="J1822" t="s">
        <v>164</v>
      </c>
      <c r="K1822">
        <v>3</v>
      </c>
      <c r="L1822" s="2">
        <v>278.94</v>
      </c>
      <c r="M1822" s="3">
        <v>0</v>
      </c>
      <c r="N1822" s="2">
        <v>836.82</v>
      </c>
      <c r="O1822" s="2">
        <v>460.27</v>
      </c>
      <c r="P1822" s="2">
        <v>376.55</v>
      </c>
      <c r="Q1822" t="s">
        <v>61</v>
      </c>
    </row>
    <row r="1823" spans="1:17" x14ac:dyDescent="0.2">
      <c r="A1823" t="s">
        <v>1988</v>
      </c>
      <c r="B1823" s="1">
        <v>45880</v>
      </c>
      <c r="C1823" t="s">
        <v>36</v>
      </c>
      <c r="D1823" t="s">
        <v>37</v>
      </c>
      <c r="E1823" t="s">
        <v>38</v>
      </c>
      <c r="F1823" t="s">
        <v>71</v>
      </c>
      <c r="G1823" t="s">
        <v>22</v>
      </c>
      <c r="H1823" t="s">
        <v>31</v>
      </c>
      <c r="I1823" t="s">
        <v>40</v>
      </c>
      <c r="J1823" t="s">
        <v>216</v>
      </c>
      <c r="K1823">
        <v>2</v>
      </c>
      <c r="L1823" s="2">
        <v>186.54</v>
      </c>
      <c r="M1823" s="3">
        <v>0.15</v>
      </c>
      <c r="N1823" s="2">
        <v>317.12</v>
      </c>
      <c r="O1823" s="2">
        <v>221.94</v>
      </c>
      <c r="P1823" s="2">
        <v>95.18</v>
      </c>
      <c r="Q1823" t="s">
        <v>26</v>
      </c>
    </row>
    <row r="1824" spans="1:17" x14ac:dyDescent="0.2">
      <c r="A1824" t="s">
        <v>1989</v>
      </c>
      <c r="B1824" s="1">
        <v>45880</v>
      </c>
      <c r="C1824" t="s">
        <v>36</v>
      </c>
      <c r="D1824" t="s">
        <v>144</v>
      </c>
      <c r="E1824" t="s">
        <v>145</v>
      </c>
      <c r="F1824" t="s">
        <v>53</v>
      </c>
      <c r="G1824" t="s">
        <v>75</v>
      </c>
      <c r="H1824" t="s">
        <v>23</v>
      </c>
      <c r="I1824" t="s">
        <v>83</v>
      </c>
      <c r="J1824" t="s">
        <v>84</v>
      </c>
      <c r="K1824">
        <v>1</v>
      </c>
      <c r="L1824" s="2">
        <v>18.329999999999998</v>
      </c>
      <c r="M1824" s="3">
        <v>0.15</v>
      </c>
      <c r="N1824" s="2">
        <v>15.58</v>
      </c>
      <c r="O1824" s="2">
        <v>8.67</v>
      </c>
      <c r="P1824" s="2">
        <v>6.91</v>
      </c>
      <c r="Q1824" t="s">
        <v>34</v>
      </c>
    </row>
    <row r="1825" spans="1:17" x14ac:dyDescent="0.2">
      <c r="A1825" t="s">
        <v>1990</v>
      </c>
      <c r="B1825" s="1">
        <v>45880</v>
      </c>
      <c r="C1825" t="s">
        <v>43</v>
      </c>
      <c r="D1825" t="s">
        <v>161</v>
      </c>
      <c r="E1825" t="s">
        <v>162</v>
      </c>
      <c r="F1825" t="s">
        <v>21</v>
      </c>
      <c r="G1825" t="s">
        <v>75</v>
      </c>
      <c r="H1825" t="s">
        <v>47</v>
      </c>
      <c r="I1825" t="s">
        <v>48</v>
      </c>
      <c r="J1825" t="s">
        <v>164</v>
      </c>
      <c r="K1825">
        <v>8</v>
      </c>
      <c r="L1825" s="2">
        <v>241.22</v>
      </c>
      <c r="M1825" s="3">
        <v>0.05</v>
      </c>
      <c r="N1825" s="2">
        <v>1833.27</v>
      </c>
      <c r="O1825" s="2">
        <v>1173.04</v>
      </c>
      <c r="P1825" s="2">
        <v>660.23</v>
      </c>
      <c r="Q1825" t="s">
        <v>61</v>
      </c>
    </row>
    <row r="1826" spans="1:17" x14ac:dyDescent="0.2">
      <c r="A1826" t="s">
        <v>1991</v>
      </c>
      <c r="B1826" s="1">
        <v>45880</v>
      </c>
      <c r="C1826" t="s">
        <v>36</v>
      </c>
      <c r="D1826" t="s">
        <v>67</v>
      </c>
      <c r="E1826" t="s">
        <v>68</v>
      </c>
      <c r="F1826" t="s">
        <v>71</v>
      </c>
      <c r="G1826" t="s">
        <v>22</v>
      </c>
      <c r="H1826" t="s">
        <v>47</v>
      </c>
      <c r="I1826" t="s">
        <v>141</v>
      </c>
      <c r="J1826" t="s">
        <v>142</v>
      </c>
      <c r="K1826">
        <v>3</v>
      </c>
      <c r="L1826" s="2">
        <v>267.33</v>
      </c>
      <c r="M1826" s="3">
        <v>0</v>
      </c>
      <c r="N1826" s="2">
        <v>801.99</v>
      </c>
      <c r="O1826" s="2">
        <v>510.68</v>
      </c>
      <c r="P1826" s="2">
        <v>291.31</v>
      </c>
      <c r="Q1826" t="s">
        <v>61</v>
      </c>
    </row>
    <row r="1827" spans="1:17" x14ac:dyDescent="0.2">
      <c r="A1827" t="s">
        <v>1992</v>
      </c>
      <c r="B1827" s="1">
        <v>45880</v>
      </c>
      <c r="C1827" t="s">
        <v>43</v>
      </c>
      <c r="D1827" t="s">
        <v>51</v>
      </c>
      <c r="E1827" t="s">
        <v>63</v>
      </c>
      <c r="F1827" t="s">
        <v>39</v>
      </c>
      <c r="G1827" t="s">
        <v>22</v>
      </c>
      <c r="H1827" t="s">
        <v>31</v>
      </c>
      <c r="I1827" t="s">
        <v>64</v>
      </c>
      <c r="J1827" t="s">
        <v>126</v>
      </c>
      <c r="K1827">
        <v>3</v>
      </c>
      <c r="L1827" s="2">
        <v>126.06</v>
      </c>
      <c r="M1827" s="3">
        <v>0</v>
      </c>
      <c r="N1827" s="2">
        <v>378.18</v>
      </c>
      <c r="O1827" s="2">
        <v>268.51</v>
      </c>
      <c r="P1827" s="2">
        <v>109.67</v>
      </c>
      <c r="Q1827" t="s">
        <v>61</v>
      </c>
    </row>
    <row r="1828" spans="1:17" x14ac:dyDescent="0.2">
      <c r="A1828" t="s">
        <v>1993</v>
      </c>
      <c r="B1828" s="1">
        <v>45880</v>
      </c>
      <c r="C1828" t="s">
        <v>77</v>
      </c>
      <c r="D1828" t="s">
        <v>106</v>
      </c>
      <c r="E1828" t="s">
        <v>107</v>
      </c>
      <c r="F1828" t="s">
        <v>21</v>
      </c>
      <c r="G1828" t="s">
        <v>22</v>
      </c>
      <c r="H1828" t="s">
        <v>31</v>
      </c>
      <c r="I1828" t="s">
        <v>112</v>
      </c>
      <c r="J1828" t="s">
        <v>176</v>
      </c>
      <c r="K1828">
        <v>5</v>
      </c>
      <c r="L1828" s="2">
        <v>320.11</v>
      </c>
      <c r="M1828" s="3">
        <v>0.05</v>
      </c>
      <c r="N1828" s="2">
        <v>1520.52</v>
      </c>
      <c r="O1828" s="2">
        <v>964.07</v>
      </c>
      <c r="P1828" s="2">
        <v>556.45000000000005</v>
      </c>
      <c r="Q1828" t="s">
        <v>26</v>
      </c>
    </row>
    <row r="1829" spans="1:17" x14ac:dyDescent="0.2">
      <c r="A1829" t="s">
        <v>1994</v>
      </c>
      <c r="B1829" s="1">
        <v>45880</v>
      </c>
      <c r="C1829" t="s">
        <v>18</v>
      </c>
      <c r="D1829" t="s">
        <v>19</v>
      </c>
      <c r="E1829" t="s">
        <v>118</v>
      </c>
      <c r="F1829" t="s">
        <v>71</v>
      </c>
      <c r="G1829" t="s">
        <v>22</v>
      </c>
      <c r="H1829" t="s">
        <v>47</v>
      </c>
      <c r="I1829" t="s">
        <v>89</v>
      </c>
      <c r="J1829" t="s">
        <v>240</v>
      </c>
      <c r="K1829">
        <v>2</v>
      </c>
      <c r="L1829" s="2">
        <v>128.34</v>
      </c>
      <c r="M1829" s="3">
        <v>0.15</v>
      </c>
      <c r="N1829" s="2">
        <v>218.18</v>
      </c>
      <c r="O1829" s="2">
        <v>167.48</v>
      </c>
      <c r="P1829" s="2">
        <v>50.7</v>
      </c>
      <c r="Q1829" t="s">
        <v>26</v>
      </c>
    </row>
    <row r="1830" spans="1:17" x14ac:dyDescent="0.2">
      <c r="A1830" t="s">
        <v>1995</v>
      </c>
      <c r="B1830" s="1">
        <v>45881</v>
      </c>
      <c r="C1830" t="s">
        <v>43</v>
      </c>
      <c r="D1830" t="s">
        <v>161</v>
      </c>
      <c r="E1830" t="s">
        <v>172</v>
      </c>
      <c r="F1830" t="s">
        <v>60</v>
      </c>
      <c r="G1830" t="s">
        <v>75</v>
      </c>
      <c r="H1830" t="s">
        <v>31</v>
      </c>
      <c r="I1830" t="s">
        <v>112</v>
      </c>
      <c r="J1830" t="s">
        <v>176</v>
      </c>
      <c r="K1830">
        <v>9</v>
      </c>
      <c r="L1830" s="2">
        <v>270.20999999999998</v>
      </c>
      <c r="M1830" s="3">
        <v>0.05</v>
      </c>
      <c r="N1830" s="2">
        <v>2310.3000000000002</v>
      </c>
      <c r="O1830" s="2">
        <v>1617.92</v>
      </c>
      <c r="P1830" s="2">
        <v>692.38</v>
      </c>
      <c r="Q1830" t="s">
        <v>57</v>
      </c>
    </row>
    <row r="1831" spans="1:17" x14ac:dyDescent="0.2">
      <c r="A1831" t="s">
        <v>1996</v>
      </c>
      <c r="B1831" s="1">
        <v>45881</v>
      </c>
      <c r="C1831" t="s">
        <v>36</v>
      </c>
      <c r="D1831" t="s">
        <v>67</v>
      </c>
      <c r="E1831" t="s">
        <v>270</v>
      </c>
      <c r="F1831" t="s">
        <v>71</v>
      </c>
      <c r="G1831" t="s">
        <v>22</v>
      </c>
      <c r="H1831" t="s">
        <v>47</v>
      </c>
      <c r="I1831" t="s">
        <v>97</v>
      </c>
      <c r="J1831" t="s">
        <v>116</v>
      </c>
      <c r="K1831">
        <v>8</v>
      </c>
      <c r="L1831" s="2">
        <v>398.28</v>
      </c>
      <c r="M1831" s="3">
        <v>0.1</v>
      </c>
      <c r="N1831" s="2">
        <v>2867.62</v>
      </c>
      <c r="O1831" s="2">
        <v>1627.24</v>
      </c>
      <c r="P1831" s="2">
        <v>1240.3800000000001</v>
      </c>
      <c r="Q1831" t="s">
        <v>26</v>
      </c>
    </row>
    <row r="1832" spans="1:17" x14ac:dyDescent="0.2">
      <c r="A1832" t="s">
        <v>1997</v>
      </c>
      <c r="B1832" s="1">
        <v>45881</v>
      </c>
      <c r="C1832" t="s">
        <v>43</v>
      </c>
      <c r="D1832" t="s">
        <v>51</v>
      </c>
      <c r="E1832" t="s">
        <v>59</v>
      </c>
      <c r="F1832" t="s">
        <v>53</v>
      </c>
      <c r="G1832" t="s">
        <v>75</v>
      </c>
      <c r="H1832" t="s">
        <v>31</v>
      </c>
      <c r="I1832" t="s">
        <v>64</v>
      </c>
      <c r="J1832" t="s">
        <v>65</v>
      </c>
      <c r="K1832">
        <v>7</v>
      </c>
      <c r="L1832" s="2">
        <v>32.880000000000003</v>
      </c>
      <c r="M1832" s="3">
        <v>0.2</v>
      </c>
      <c r="N1832" s="2">
        <v>184.13</v>
      </c>
      <c r="O1832" s="2">
        <v>136.22999999999999</v>
      </c>
      <c r="P1832" s="2">
        <v>47.9</v>
      </c>
      <c r="Q1832" t="s">
        <v>61</v>
      </c>
    </row>
    <row r="1833" spans="1:17" x14ac:dyDescent="0.2">
      <c r="A1833" t="s">
        <v>1998</v>
      </c>
      <c r="B1833" s="1">
        <v>45881</v>
      </c>
      <c r="C1833" t="s">
        <v>43</v>
      </c>
      <c r="D1833" t="s">
        <v>208</v>
      </c>
      <c r="E1833" t="s">
        <v>230</v>
      </c>
      <c r="F1833" t="s">
        <v>39</v>
      </c>
      <c r="G1833" t="s">
        <v>22</v>
      </c>
      <c r="H1833" t="s">
        <v>47</v>
      </c>
      <c r="I1833" t="s">
        <v>48</v>
      </c>
      <c r="J1833" t="s">
        <v>49</v>
      </c>
      <c r="K1833">
        <v>3</v>
      </c>
      <c r="L1833" s="2">
        <v>333.34</v>
      </c>
      <c r="M1833" s="3">
        <v>0.2</v>
      </c>
      <c r="N1833" s="2">
        <v>800.02</v>
      </c>
      <c r="O1833" s="2">
        <v>648.39</v>
      </c>
      <c r="P1833" s="2">
        <v>151.63</v>
      </c>
      <c r="Q1833" t="s">
        <v>26</v>
      </c>
    </row>
    <row r="1834" spans="1:17" x14ac:dyDescent="0.2">
      <c r="A1834" t="s">
        <v>1999</v>
      </c>
      <c r="B1834" s="1">
        <v>45881</v>
      </c>
      <c r="C1834" t="s">
        <v>77</v>
      </c>
      <c r="D1834" t="s">
        <v>106</v>
      </c>
      <c r="E1834" t="s">
        <v>107</v>
      </c>
      <c r="F1834" t="s">
        <v>46</v>
      </c>
      <c r="G1834" t="s">
        <v>75</v>
      </c>
      <c r="H1834" t="s">
        <v>23</v>
      </c>
      <c r="I1834" t="s">
        <v>79</v>
      </c>
      <c r="J1834" t="s">
        <v>80</v>
      </c>
      <c r="K1834">
        <v>2</v>
      </c>
      <c r="L1834" s="2">
        <v>301.14999999999998</v>
      </c>
      <c r="M1834" s="3">
        <v>0</v>
      </c>
      <c r="N1834" s="2">
        <v>602.29999999999995</v>
      </c>
      <c r="O1834" s="2">
        <v>385.02</v>
      </c>
      <c r="P1834" s="2">
        <v>217.28</v>
      </c>
      <c r="Q1834" t="s">
        <v>57</v>
      </c>
    </row>
    <row r="1835" spans="1:17" x14ac:dyDescent="0.2">
      <c r="A1835" t="s">
        <v>2000</v>
      </c>
      <c r="B1835" s="1">
        <v>45881</v>
      </c>
      <c r="C1835" t="s">
        <v>77</v>
      </c>
      <c r="D1835" t="s">
        <v>149</v>
      </c>
      <c r="E1835" t="s">
        <v>206</v>
      </c>
      <c r="F1835" t="s">
        <v>60</v>
      </c>
      <c r="G1835" t="s">
        <v>75</v>
      </c>
      <c r="H1835" t="s">
        <v>31</v>
      </c>
      <c r="I1835" t="s">
        <v>40</v>
      </c>
      <c r="J1835" t="s">
        <v>122</v>
      </c>
      <c r="K1835">
        <v>3</v>
      </c>
      <c r="L1835" s="2">
        <v>100.16</v>
      </c>
      <c r="M1835" s="3">
        <v>0.1</v>
      </c>
      <c r="N1835" s="2">
        <v>270.43</v>
      </c>
      <c r="O1835" s="2">
        <v>192.99</v>
      </c>
      <c r="P1835" s="2">
        <v>77.44</v>
      </c>
      <c r="Q1835" t="s">
        <v>26</v>
      </c>
    </row>
    <row r="1836" spans="1:17" x14ac:dyDescent="0.2">
      <c r="A1836" t="s">
        <v>2001</v>
      </c>
      <c r="B1836" s="1">
        <v>45881</v>
      </c>
      <c r="C1836" t="s">
        <v>43</v>
      </c>
      <c r="D1836" t="s">
        <v>208</v>
      </c>
      <c r="E1836" t="s">
        <v>209</v>
      </c>
      <c r="F1836" t="s">
        <v>60</v>
      </c>
      <c r="G1836" t="s">
        <v>54</v>
      </c>
      <c r="H1836" t="s">
        <v>23</v>
      </c>
      <c r="I1836" t="s">
        <v>55</v>
      </c>
      <c r="J1836" t="s">
        <v>102</v>
      </c>
      <c r="K1836">
        <v>1</v>
      </c>
      <c r="L1836" s="2">
        <v>20.38</v>
      </c>
      <c r="M1836" s="3">
        <v>0.1</v>
      </c>
      <c r="N1836" s="2">
        <v>18.34</v>
      </c>
      <c r="O1836" s="2">
        <v>14.28</v>
      </c>
      <c r="P1836" s="2">
        <v>4.0599999999999996</v>
      </c>
      <c r="Q1836" t="s">
        <v>61</v>
      </c>
    </row>
    <row r="1837" spans="1:17" x14ac:dyDescent="0.2">
      <c r="A1837" t="s">
        <v>2002</v>
      </c>
      <c r="B1837" s="1">
        <v>45881</v>
      </c>
      <c r="C1837" t="s">
        <v>36</v>
      </c>
      <c r="D1837" t="s">
        <v>144</v>
      </c>
      <c r="E1837" t="s">
        <v>145</v>
      </c>
      <c r="F1837" t="s">
        <v>21</v>
      </c>
      <c r="G1837" t="s">
        <v>54</v>
      </c>
      <c r="H1837" t="s">
        <v>31</v>
      </c>
      <c r="I1837" t="s">
        <v>64</v>
      </c>
      <c r="J1837" t="s">
        <v>126</v>
      </c>
      <c r="K1837">
        <v>3</v>
      </c>
      <c r="L1837" s="2">
        <v>54.3</v>
      </c>
      <c r="M1837" s="3">
        <v>0.05</v>
      </c>
      <c r="N1837" s="2">
        <v>154.75</v>
      </c>
      <c r="O1837" s="2">
        <v>114.96</v>
      </c>
      <c r="P1837" s="2">
        <v>39.79</v>
      </c>
      <c r="Q1837" t="s">
        <v>57</v>
      </c>
    </row>
    <row r="1838" spans="1:17" x14ac:dyDescent="0.2">
      <c r="A1838" t="s">
        <v>2003</v>
      </c>
      <c r="B1838" s="1">
        <v>45882</v>
      </c>
      <c r="C1838" t="s">
        <v>77</v>
      </c>
      <c r="D1838" t="s">
        <v>78</v>
      </c>
      <c r="E1838" t="s">
        <v>52</v>
      </c>
      <c r="F1838" t="s">
        <v>39</v>
      </c>
      <c r="G1838" t="s">
        <v>75</v>
      </c>
      <c r="H1838" t="s">
        <v>47</v>
      </c>
      <c r="I1838" t="s">
        <v>97</v>
      </c>
      <c r="J1838" t="s">
        <v>168</v>
      </c>
      <c r="K1838">
        <v>9</v>
      </c>
      <c r="L1838" s="2">
        <v>401.34</v>
      </c>
      <c r="M1838" s="3">
        <v>0</v>
      </c>
      <c r="N1838" s="2">
        <v>3612.06</v>
      </c>
      <c r="O1838" s="2">
        <v>2488.7600000000002</v>
      </c>
      <c r="P1838" s="2">
        <v>1123.3</v>
      </c>
      <c r="Q1838" t="s">
        <v>57</v>
      </c>
    </row>
    <row r="1839" spans="1:17" x14ac:dyDescent="0.2">
      <c r="A1839" t="s">
        <v>2004</v>
      </c>
      <c r="B1839" s="1">
        <v>45882</v>
      </c>
      <c r="C1839" t="s">
        <v>18</v>
      </c>
      <c r="D1839" t="s">
        <v>86</v>
      </c>
      <c r="E1839" t="s">
        <v>92</v>
      </c>
      <c r="F1839" t="s">
        <v>60</v>
      </c>
      <c r="G1839" t="s">
        <v>22</v>
      </c>
      <c r="H1839" t="s">
        <v>31</v>
      </c>
      <c r="I1839" t="s">
        <v>40</v>
      </c>
      <c r="J1839" t="s">
        <v>216</v>
      </c>
      <c r="K1839">
        <v>7</v>
      </c>
      <c r="L1839" s="2">
        <v>144.94</v>
      </c>
      <c r="M1839" s="3">
        <v>0.1</v>
      </c>
      <c r="N1839" s="2">
        <v>913.12</v>
      </c>
      <c r="O1839" s="2">
        <v>703.68</v>
      </c>
      <c r="P1839" s="2">
        <v>209.44</v>
      </c>
      <c r="Q1839" t="s">
        <v>57</v>
      </c>
    </row>
    <row r="1840" spans="1:17" x14ac:dyDescent="0.2">
      <c r="A1840" t="s">
        <v>2005</v>
      </c>
      <c r="B1840" s="1">
        <v>45882</v>
      </c>
      <c r="C1840" t="s">
        <v>36</v>
      </c>
      <c r="D1840" t="s">
        <v>73</v>
      </c>
      <c r="E1840" t="s">
        <v>247</v>
      </c>
      <c r="F1840" t="s">
        <v>30</v>
      </c>
      <c r="G1840" t="s">
        <v>54</v>
      </c>
      <c r="H1840" t="s">
        <v>31</v>
      </c>
      <c r="I1840" t="s">
        <v>112</v>
      </c>
      <c r="J1840" t="s">
        <v>113</v>
      </c>
      <c r="K1840">
        <v>5</v>
      </c>
      <c r="L1840" s="2">
        <v>201.81</v>
      </c>
      <c r="M1840" s="3">
        <v>0.05</v>
      </c>
      <c r="N1840" s="2">
        <v>958.6</v>
      </c>
      <c r="O1840" s="2">
        <v>712.05</v>
      </c>
      <c r="P1840" s="2">
        <v>246.55</v>
      </c>
      <c r="Q1840" t="s">
        <v>61</v>
      </c>
    </row>
    <row r="1841" spans="1:17" x14ac:dyDescent="0.2">
      <c r="A1841" t="s">
        <v>2006</v>
      </c>
      <c r="B1841" s="1">
        <v>45882</v>
      </c>
      <c r="C1841" t="s">
        <v>43</v>
      </c>
      <c r="D1841" t="s">
        <v>51</v>
      </c>
      <c r="E1841" t="s">
        <v>63</v>
      </c>
      <c r="F1841" t="s">
        <v>30</v>
      </c>
      <c r="G1841" t="s">
        <v>75</v>
      </c>
      <c r="H1841" t="s">
        <v>23</v>
      </c>
      <c r="I1841" t="s">
        <v>83</v>
      </c>
      <c r="J1841" t="s">
        <v>120</v>
      </c>
      <c r="K1841">
        <v>10</v>
      </c>
      <c r="L1841" s="2">
        <v>24.51</v>
      </c>
      <c r="M1841" s="3">
        <v>0.15</v>
      </c>
      <c r="N1841" s="2">
        <v>208.34</v>
      </c>
      <c r="O1841" s="2">
        <v>118.15</v>
      </c>
      <c r="P1841" s="2">
        <v>90.19</v>
      </c>
      <c r="Q1841" t="s">
        <v>26</v>
      </c>
    </row>
    <row r="1842" spans="1:17" x14ac:dyDescent="0.2">
      <c r="A1842" t="s">
        <v>2007</v>
      </c>
      <c r="B1842" s="1">
        <v>45883</v>
      </c>
      <c r="C1842" t="s">
        <v>18</v>
      </c>
      <c r="D1842" t="s">
        <v>28</v>
      </c>
      <c r="E1842" t="s">
        <v>170</v>
      </c>
      <c r="F1842" t="s">
        <v>69</v>
      </c>
      <c r="G1842" t="s">
        <v>22</v>
      </c>
      <c r="H1842" t="s">
        <v>47</v>
      </c>
      <c r="I1842" t="s">
        <v>141</v>
      </c>
      <c r="J1842" t="s">
        <v>201</v>
      </c>
      <c r="K1842">
        <v>10</v>
      </c>
      <c r="L1842" s="2">
        <v>295.39</v>
      </c>
      <c r="M1842" s="3">
        <v>0.2</v>
      </c>
      <c r="N1842" s="2">
        <v>2363.12</v>
      </c>
      <c r="O1842" s="2">
        <v>1932.84</v>
      </c>
      <c r="P1842" s="2">
        <v>430.28</v>
      </c>
      <c r="Q1842" t="s">
        <v>26</v>
      </c>
    </row>
    <row r="1843" spans="1:17" x14ac:dyDescent="0.2">
      <c r="A1843" t="s">
        <v>2008</v>
      </c>
      <c r="B1843" s="1">
        <v>45883</v>
      </c>
      <c r="C1843" t="s">
        <v>43</v>
      </c>
      <c r="D1843" t="s">
        <v>244</v>
      </c>
      <c r="E1843" t="s">
        <v>300</v>
      </c>
      <c r="F1843" t="s">
        <v>130</v>
      </c>
      <c r="G1843" t="s">
        <v>54</v>
      </c>
      <c r="H1843" t="s">
        <v>31</v>
      </c>
      <c r="I1843" t="s">
        <v>32</v>
      </c>
      <c r="J1843" t="s">
        <v>258</v>
      </c>
      <c r="K1843">
        <v>10</v>
      </c>
      <c r="L1843" s="2">
        <v>1565.86</v>
      </c>
      <c r="M1843" s="3">
        <v>0.05</v>
      </c>
      <c r="N1843" s="2">
        <v>14875.67</v>
      </c>
      <c r="O1843" s="2">
        <v>8223.43</v>
      </c>
      <c r="P1843" s="2">
        <v>6652.24</v>
      </c>
      <c r="Q1843" t="s">
        <v>61</v>
      </c>
    </row>
    <row r="1844" spans="1:17" x14ac:dyDescent="0.2">
      <c r="A1844" t="s">
        <v>2009</v>
      </c>
      <c r="B1844" s="1">
        <v>45883</v>
      </c>
      <c r="C1844" t="s">
        <v>77</v>
      </c>
      <c r="D1844" t="s">
        <v>95</v>
      </c>
      <c r="E1844" t="s">
        <v>300</v>
      </c>
      <c r="F1844" t="s">
        <v>39</v>
      </c>
      <c r="G1844" t="s">
        <v>54</v>
      </c>
      <c r="H1844" t="s">
        <v>47</v>
      </c>
      <c r="I1844" t="s">
        <v>89</v>
      </c>
      <c r="J1844" t="s">
        <v>90</v>
      </c>
      <c r="K1844">
        <v>8</v>
      </c>
      <c r="L1844" s="2">
        <v>241.54</v>
      </c>
      <c r="M1844" s="3">
        <v>0.2</v>
      </c>
      <c r="N1844" s="2">
        <v>1545.86</v>
      </c>
      <c r="O1844" s="2">
        <v>1122.3399999999999</v>
      </c>
      <c r="P1844" s="2">
        <v>423.52</v>
      </c>
      <c r="Q1844" t="s">
        <v>26</v>
      </c>
    </row>
    <row r="1845" spans="1:17" x14ac:dyDescent="0.2">
      <c r="A1845" t="s">
        <v>2010</v>
      </c>
      <c r="B1845" s="1">
        <v>45884</v>
      </c>
      <c r="C1845" t="s">
        <v>18</v>
      </c>
      <c r="D1845" t="s">
        <v>86</v>
      </c>
      <c r="E1845" t="s">
        <v>140</v>
      </c>
      <c r="F1845" t="s">
        <v>21</v>
      </c>
      <c r="G1845" t="s">
        <v>22</v>
      </c>
      <c r="H1845" t="s">
        <v>31</v>
      </c>
      <c r="I1845" t="s">
        <v>64</v>
      </c>
      <c r="J1845" t="s">
        <v>252</v>
      </c>
      <c r="K1845">
        <v>2</v>
      </c>
      <c r="L1845" s="2">
        <v>79.459999999999994</v>
      </c>
      <c r="M1845" s="3">
        <v>0.1</v>
      </c>
      <c r="N1845" s="2">
        <v>143.03</v>
      </c>
      <c r="O1845" s="2">
        <v>94.86</v>
      </c>
      <c r="P1845" s="2">
        <v>48.17</v>
      </c>
      <c r="Q1845" t="s">
        <v>61</v>
      </c>
    </row>
    <row r="1846" spans="1:17" x14ac:dyDescent="0.2">
      <c r="A1846" t="s">
        <v>2011</v>
      </c>
      <c r="B1846" s="1">
        <v>45884</v>
      </c>
      <c r="C1846" t="s">
        <v>77</v>
      </c>
      <c r="D1846" t="s">
        <v>106</v>
      </c>
      <c r="E1846" t="s">
        <v>236</v>
      </c>
      <c r="F1846" t="s">
        <v>39</v>
      </c>
      <c r="G1846" t="s">
        <v>75</v>
      </c>
      <c r="H1846" t="s">
        <v>47</v>
      </c>
      <c r="I1846" t="s">
        <v>97</v>
      </c>
      <c r="J1846" t="s">
        <v>98</v>
      </c>
      <c r="K1846">
        <v>2</v>
      </c>
      <c r="L1846" s="2">
        <v>175.04</v>
      </c>
      <c r="M1846" s="3">
        <v>0.1</v>
      </c>
      <c r="N1846" s="2">
        <v>315.07</v>
      </c>
      <c r="O1846" s="2">
        <v>180.66</v>
      </c>
      <c r="P1846" s="2">
        <v>134.41</v>
      </c>
      <c r="Q1846" t="s">
        <v>57</v>
      </c>
    </row>
    <row r="1847" spans="1:17" x14ac:dyDescent="0.2">
      <c r="A1847" t="s">
        <v>2012</v>
      </c>
      <c r="B1847" s="1">
        <v>45884</v>
      </c>
      <c r="C1847" t="s">
        <v>18</v>
      </c>
      <c r="D1847" t="s">
        <v>152</v>
      </c>
      <c r="E1847" t="s">
        <v>185</v>
      </c>
      <c r="F1847" t="s">
        <v>138</v>
      </c>
      <c r="G1847" t="s">
        <v>22</v>
      </c>
      <c r="H1847" t="s">
        <v>31</v>
      </c>
      <c r="I1847" t="s">
        <v>40</v>
      </c>
      <c r="J1847" t="s">
        <v>216</v>
      </c>
      <c r="K1847">
        <v>3</v>
      </c>
      <c r="L1847" s="2">
        <v>105.02</v>
      </c>
      <c r="M1847" s="3">
        <v>0.2</v>
      </c>
      <c r="N1847" s="2">
        <v>252.05</v>
      </c>
      <c r="O1847" s="2">
        <v>193.22</v>
      </c>
      <c r="P1847" s="2">
        <v>58.83</v>
      </c>
      <c r="Q1847" t="s">
        <v>57</v>
      </c>
    </row>
    <row r="1848" spans="1:17" x14ac:dyDescent="0.2">
      <c r="A1848" t="s">
        <v>2013</v>
      </c>
      <c r="B1848" s="1">
        <v>45884</v>
      </c>
      <c r="C1848" t="s">
        <v>43</v>
      </c>
      <c r="D1848" t="s">
        <v>44</v>
      </c>
      <c r="E1848" t="s">
        <v>147</v>
      </c>
      <c r="F1848" t="s">
        <v>46</v>
      </c>
      <c r="G1848" t="s">
        <v>75</v>
      </c>
      <c r="H1848" t="s">
        <v>47</v>
      </c>
      <c r="I1848" t="s">
        <v>89</v>
      </c>
      <c r="J1848" t="s">
        <v>204</v>
      </c>
      <c r="K1848">
        <v>7</v>
      </c>
      <c r="L1848" s="2">
        <v>370.53</v>
      </c>
      <c r="M1848" s="3">
        <v>0.1</v>
      </c>
      <c r="N1848" s="2">
        <v>2334.34</v>
      </c>
      <c r="O1848" s="2">
        <v>1849.99</v>
      </c>
      <c r="P1848" s="2">
        <v>484.35</v>
      </c>
      <c r="Q1848" t="s">
        <v>61</v>
      </c>
    </row>
    <row r="1849" spans="1:17" x14ac:dyDescent="0.2">
      <c r="A1849" t="s">
        <v>2014</v>
      </c>
      <c r="B1849" s="1">
        <v>45884</v>
      </c>
      <c r="C1849" t="s">
        <v>43</v>
      </c>
      <c r="D1849" t="s">
        <v>51</v>
      </c>
      <c r="E1849" t="s">
        <v>59</v>
      </c>
      <c r="F1849" t="s">
        <v>53</v>
      </c>
      <c r="G1849" t="s">
        <v>54</v>
      </c>
      <c r="H1849" t="s">
        <v>47</v>
      </c>
      <c r="I1849" t="s">
        <v>48</v>
      </c>
      <c r="J1849" t="s">
        <v>93</v>
      </c>
      <c r="K1849">
        <v>2</v>
      </c>
      <c r="L1849" s="2">
        <v>706.53</v>
      </c>
      <c r="M1849" s="3">
        <v>0.05</v>
      </c>
      <c r="N1849" s="2">
        <v>1342.41</v>
      </c>
      <c r="O1849" s="2">
        <v>756.82</v>
      </c>
      <c r="P1849" s="2">
        <v>585.59</v>
      </c>
      <c r="Q1849" t="s">
        <v>34</v>
      </c>
    </row>
    <row r="1850" spans="1:17" x14ac:dyDescent="0.2">
      <c r="A1850" t="s">
        <v>2015</v>
      </c>
      <c r="B1850" s="1">
        <v>45884</v>
      </c>
      <c r="C1850" t="s">
        <v>43</v>
      </c>
      <c r="D1850" t="s">
        <v>161</v>
      </c>
      <c r="E1850" t="s">
        <v>418</v>
      </c>
      <c r="F1850" t="s">
        <v>138</v>
      </c>
      <c r="G1850" t="s">
        <v>54</v>
      </c>
      <c r="H1850" t="s">
        <v>47</v>
      </c>
      <c r="I1850" t="s">
        <v>97</v>
      </c>
      <c r="J1850" t="s">
        <v>98</v>
      </c>
      <c r="K1850">
        <v>4</v>
      </c>
      <c r="L1850" s="2">
        <v>530.29999999999995</v>
      </c>
      <c r="M1850" s="3">
        <v>0.05</v>
      </c>
      <c r="N1850" s="2">
        <v>2015.14</v>
      </c>
      <c r="O1850" s="2">
        <v>1211.3900000000001</v>
      </c>
      <c r="P1850" s="2">
        <v>803.75</v>
      </c>
      <c r="Q1850" t="s">
        <v>34</v>
      </c>
    </row>
    <row r="1851" spans="1:17" x14ac:dyDescent="0.2">
      <c r="A1851" t="s">
        <v>2016</v>
      </c>
      <c r="B1851" s="1">
        <v>45884</v>
      </c>
      <c r="C1851" t="s">
        <v>43</v>
      </c>
      <c r="D1851" t="s">
        <v>161</v>
      </c>
      <c r="E1851" t="s">
        <v>172</v>
      </c>
      <c r="F1851" t="s">
        <v>138</v>
      </c>
      <c r="G1851" t="s">
        <v>22</v>
      </c>
      <c r="H1851" t="s">
        <v>23</v>
      </c>
      <c r="I1851" t="s">
        <v>24</v>
      </c>
      <c r="J1851" t="s">
        <v>108</v>
      </c>
      <c r="K1851">
        <v>3</v>
      </c>
      <c r="L1851" s="2">
        <v>28.06</v>
      </c>
      <c r="M1851" s="3">
        <v>0.05</v>
      </c>
      <c r="N1851" s="2">
        <v>79.97</v>
      </c>
      <c r="O1851" s="2">
        <v>55.2</v>
      </c>
      <c r="P1851" s="2">
        <v>24.77</v>
      </c>
      <c r="Q1851" t="s">
        <v>34</v>
      </c>
    </row>
    <row r="1852" spans="1:17" x14ac:dyDescent="0.2">
      <c r="A1852" t="s">
        <v>2017</v>
      </c>
      <c r="B1852" s="1">
        <v>45884</v>
      </c>
      <c r="C1852" t="s">
        <v>43</v>
      </c>
      <c r="D1852" t="s">
        <v>161</v>
      </c>
      <c r="E1852" t="s">
        <v>162</v>
      </c>
      <c r="F1852" t="s">
        <v>71</v>
      </c>
      <c r="G1852" t="s">
        <v>22</v>
      </c>
      <c r="H1852" t="s">
        <v>31</v>
      </c>
      <c r="I1852" t="s">
        <v>112</v>
      </c>
      <c r="J1852" t="s">
        <v>113</v>
      </c>
      <c r="K1852">
        <v>6</v>
      </c>
      <c r="L1852" s="2">
        <v>300.73</v>
      </c>
      <c r="M1852" s="3">
        <v>0.1</v>
      </c>
      <c r="N1852" s="2">
        <v>1623.94</v>
      </c>
      <c r="O1852" s="2">
        <v>947.95</v>
      </c>
      <c r="P1852" s="2">
        <v>675.99</v>
      </c>
      <c r="Q1852" t="s">
        <v>57</v>
      </c>
    </row>
    <row r="1853" spans="1:17" x14ac:dyDescent="0.2">
      <c r="A1853" t="s">
        <v>2018</v>
      </c>
      <c r="B1853" s="1">
        <v>45884</v>
      </c>
      <c r="C1853" t="s">
        <v>36</v>
      </c>
      <c r="D1853" t="s">
        <v>144</v>
      </c>
      <c r="E1853" t="s">
        <v>232</v>
      </c>
      <c r="F1853" t="s">
        <v>69</v>
      </c>
      <c r="G1853" t="s">
        <v>22</v>
      </c>
      <c r="H1853" t="s">
        <v>47</v>
      </c>
      <c r="I1853" t="s">
        <v>141</v>
      </c>
      <c r="J1853" t="s">
        <v>142</v>
      </c>
      <c r="K1853">
        <v>10</v>
      </c>
      <c r="L1853" s="2">
        <v>359.22</v>
      </c>
      <c r="M1853" s="3">
        <v>0.05</v>
      </c>
      <c r="N1853" s="2">
        <v>3412.59</v>
      </c>
      <c r="O1853" s="2">
        <v>2735.99</v>
      </c>
      <c r="P1853" s="2">
        <v>676.6</v>
      </c>
      <c r="Q1853" t="s">
        <v>26</v>
      </c>
    </row>
    <row r="1854" spans="1:17" x14ac:dyDescent="0.2">
      <c r="A1854" t="s">
        <v>2019</v>
      </c>
      <c r="B1854" s="1">
        <v>45884</v>
      </c>
      <c r="C1854" t="s">
        <v>18</v>
      </c>
      <c r="D1854" t="s">
        <v>19</v>
      </c>
      <c r="E1854" t="s">
        <v>118</v>
      </c>
      <c r="F1854" t="s">
        <v>138</v>
      </c>
      <c r="G1854" t="s">
        <v>22</v>
      </c>
      <c r="H1854" t="s">
        <v>31</v>
      </c>
      <c r="I1854" t="s">
        <v>64</v>
      </c>
      <c r="J1854" t="s">
        <v>65</v>
      </c>
      <c r="K1854">
        <v>3</v>
      </c>
      <c r="L1854" s="2">
        <v>43.86</v>
      </c>
      <c r="M1854" s="3">
        <v>0</v>
      </c>
      <c r="N1854" s="2">
        <v>131.58000000000001</v>
      </c>
      <c r="O1854" s="2">
        <v>101.52</v>
      </c>
      <c r="P1854" s="2">
        <v>30.06</v>
      </c>
      <c r="Q1854" t="s">
        <v>26</v>
      </c>
    </row>
    <row r="1855" spans="1:17" x14ac:dyDescent="0.2">
      <c r="A1855" t="s">
        <v>2020</v>
      </c>
      <c r="B1855" s="1">
        <v>45885</v>
      </c>
      <c r="C1855" t="s">
        <v>77</v>
      </c>
      <c r="D1855" t="s">
        <v>78</v>
      </c>
      <c r="E1855" t="s">
        <v>261</v>
      </c>
      <c r="F1855" t="s">
        <v>130</v>
      </c>
      <c r="G1855" t="s">
        <v>22</v>
      </c>
      <c r="H1855" t="s">
        <v>31</v>
      </c>
      <c r="I1855" t="s">
        <v>64</v>
      </c>
      <c r="J1855" t="s">
        <v>126</v>
      </c>
      <c r="K1855">
        <v>2</v>
      </c>
      <c r="L1855" s="2">
        <v>108.07</v>
      </c>
      <c r="M1855" s="3">
        <v>0</v>
      </c>
      <c r="N1855" s="2">
        <v>216.14</v>
      </c>
      <c r="O1855" s="2">
        <v>168.3</v>
      </c>
      <c r="P1855" s="2">
        <v>47.84</v>
      </c>
      <c r="Q1855" t="s">
        <v>26</v>
      </c>
    </row>
    <row r="1856" spans="1:17" x14ac:dyDescent="0.2">
      <c r="A1856" t="s">
        <v>2021</v>
      </c>
      <c r="B1856" s="1">
        <v>45885</v>
      </c>
      <c r="C1856" t="s">
        <v>77</v>
      </c>
      <c r="D1856" t="s">
        <v>95</v>
      </c>
      <c r="E1856" t="s">
        <v>96</v>
      </c>
      <c r="F1856" t="s">
        <v>30</v>
      </c>
      <c r="G1856" t="s">
        <v>54</v>
      </c>
      <c r="H1856" t="s">
        <v>31</v>
      </c>
      <c r="I1856" t="s">
        <v>32</v>
      </c>
      <c r="J1856" t="s">
        <v>33</v>
      </c>
      <c r="K1856">
        <v>4</v>
      </c>
      <c r="L1856" s="2">
        <v>973.49</v>
      </c>
      <c r="M1856" s="3">
        <v>0.1</v>
      </c>
      <c r="N1856" s="2">
        <v>3504.56</v>
      </c>
      <c r="O1856" s="2">
        <v>2853.51</v>
      </c>
      <c r="P1856" s="2">
        <v>651.04999999999995</v>
      </c>
      <c r="Q1856" t="s">
        <v>26</v>
      </c>
    </row>
    <row r="1857" spans="1:17" x14ac:dyDescent="0.2">
      <c r="A1857" t="s">
        <v>2022</v>
      </c>
      <c r="B1857" s="1">
        <v>45885</v>
      </c>
      <c r="C1857" t="s">
        <v>36</v>
      </c>
      <c r="D1857" t="s">
        <v>73</v>
      </c>
      <c r="E1857" t="s">
        <v>74</v>
      </c>
      <c r="F1857" t="s">
        <v>60</v>
      </c>
      <c r="G1857" t="s">
        <v>22</v>
      </c>
      <c r="H1857" t="s">
        <v>31</v>
      </c>
      <c r="I1857" t="s">
        <v>40</v>
      </c>
      <c r="J1857" t="s">
        <v>122</v>
      </c>
      <c r="K1857">
        <v>7</v>
      </c>
      <c r="L1857" s="2">
        <v>53.62</v>
      </c>
      <c r="M1857" s="3">
        <v>0.15</v>
      </c>
      <c r="N1857" s="2">
        <v>319.04000000000002</v>
      </c>
      <c r="O1857" s="2">
        <v>247.08</v>
      </c>
      <c r="P1857" s="2">
        <v>71.959999999999994</v>
      </c>
      <c r="Q1857" t="s">
        <v>61</v>
      </c>
    </row>
    <row r="1858" spans="1:17" x14ac:dyDescent="0.2">
      <c r="A1858" t="s">
        <v>2023</v>
      </c>
      <c r="B1858" s="1">
        <v>45885</v>
      </c>
      <c r="C1858" t="s">
        <v>18</v>
      </c>
      <c r="D1858" t="s">
        <v>133</v>
      </c>
      <c r="E1858" t="s">
        <v>226</v>
      </c>
      <c r="F1858" t="s">
        <v>30</v>
      </c>
      <c r="G1858" t="s">
        <v>75</v>
      </c>
      <c r="H1858" t="s">
        <v>23</v>
      </c>
      <c r="I1858" t="s">
        <v>79</v>
      </c>
      <c r="J1858" t="s">
        <v>80</v>
      </c>
      <c r="K1858">
        <v>5</v>
      </c>
      <c r="L1858" s="2">
        <v>461.14</v>
      </c>
      <c r="M1858" s="3">
        <v>0.1</v>
      </c>
      <c r="N1858" s="2">
        <v>2075.13</v>
      </c>
      <c r="O1858" s="2">
        <v>1373.95</v>
      </c>
      <c r="P1858" s="2">
        <v>701.18</v>
      </c>
      <c r="Q1858" t="s">
        <v>34</v>
      </c>
    </row>
    <row r="1859" spans="1:17" x14ac:dyDescent="0.2">
      <c r="A1859" t="s">
        <v>2024</v>
      </c>
      <c r="B1859" s="1">
        <v>45885</v>
      </c>
      <c r="C1859" t="s">
        <v>36</v>
      </c>
      <c r="D1859" t="s">
        <v>144</v>
      </c>
      <c r="E1859" t="s">
        <v>214</v>
      </c>
      <c r="F1859" t="s">
        <v>39</v>
      </c>
      <c r="G1859" t="s">
        <v>22</v>
      </c>
      <c r="H1859" t="s">
        <v>47</v>
      </c>
      <c r="I1859" t="s">
        <v>89</v>
      </c>
      <c r="J1859" t="s">
        <v>240</v>
      </c>
      <c r="K1859">
        <v>6</v>
      </c>
      <c r="L1859" s="2">
        <v>127.93</v>
      </c>
      <c r="M1859" s="3">
        <v>0.05</v>
      </c>
      <c r="N1859" s="2">
        <v>729.2</v>
      </c>
      <c r="O1859" s="2">
        <v>517.9</v>
      </c>
      <c r="P1859" s="2">
        <v>211.3</v>
      </c>
      <c r="Q1859" t="s">
        <v>26</v>
      </c>
    </row>
    <row r="1860" spans="1:17" x14ac:dyDescent="0.2">
      <c r="A1860" t="s">
        <v>2025</v>
      </c>
      <c r="B1860" s="1">
        <v>45885</v>
      </c>
      <c r="C1860" t="s">
        <v>36</v>
      </c>
      <c r="D1860" t="s">
        <v>73</v>
      </c>
      <c r="E1860" t="s">
        <v>74</v>
      </c>
      <c r="F1860" t="s">
        <v>53</v>
      </c>
      <c r="G1860" t="s">
        <v>22</v>
      </c>
      <c r="H1860" t="s">
        <v>31</v>
      </c>
      <c r="I1860" t="s">
        <v>64</v>
      </c>
      <c r="J1860" t="s">
        <v>252</v>
      </c>
      <c r="K1860">
        <v>9</v>
      </c>
      <c r="L1860" s="2">
        <v>113.21</v>
      </c>
      <c r="M1860" s="3">
        <v>0.1</v>
      </c>
      <c r="N1860" s="2">
        <v>917</v>
      </c>
      <c r="O1860" s="2">
        <v>529.49</v>
      </c>
      <c r="P1860" s="2">
        <v>387.51</v>
      </c>
      <c r="Q1860" t="s">
        <v>61</v>
      </c>
    </row>
    <row r="1861" spans="1:17" x14ac:dyDescent="0.2">
      <c r="A1861" t="s">
        <v>2026</v>
      </c>
      <c r="B1861" s="1">
        <v>45885</v>
      </c>
      <c r="C1861" t="s">
        <v>43</v>
      </c>
      <c r="D1861" t="s">
        <v>44</v>
      </c>
      <c r="E1861" t="s">
        <v>147</v>
      </c>
      <c r="F1861" t="s">
        <v>69</v>
      </c>
      <c r="G1861" t="s">
        <v>75</v>
      </c>
      <c r="H1861" t="s">
        <v>31</v>
      </c>
      <c r="I1861" t="s">
        <v>32</v>
      </c>
      <c r="J1861" t="s">
        <v>258</v>
      </c>
      <c r="K1861">
        <v>1</v>
      </c>
      <c r="L1861" s="2">
        <v>1616.95</v>
      </c>
      <c r="M1861" s="3">
        <v>0.05</v>
      </c>
      <c r="N1861" s="2">
        <v>1536.1</v>
      </c>
      <c r="O1861" s="2">
        <v>1215.27</v>
      </c>
      <c r="P1861" s="2">
        <v>320.83</v>
      </c>
      <c r="Q1861" t="s">
        <v>57</v>
      </c>
    </row>
    <row r="1862" spans="1:17" x14ac:dyDescent="0.2">
      <c r="A1862" t="s">
        <v>2027</v>
      </c>
      <c r="B1862" s="1">
        <v>45885</v>
      </c>
      <c r="C1862" t="s">
        <v>77</v>
      </c>
      <c r="D1862" t="s">
        <v>78</v>
      </c>
      <c r="E1862" t="s">
        <v>295</v>
      </c>
      <c r="F1862" t="s">
        <v>130</v>
      </c>
      <c r="G1862" t="s">
        <v>22</v>
      </c>
      <c r="H1862" t="s">
        <v>31</v>
      </c>
      <c r="I1862" t="s">
        <v>32</v>
      </c>
      <c r="J1862" t="s">
        <v>104</v>
      </c>
      <c r="K1862">
        <v>2</v>
      </c>
      <c r="L1862" s="2">
        <v>1787.12</v>
      </c>
      <c r="M1862" s="3">
        <v>0.05</v>
      </c>
      <c r="N1862" s="2">
        <v>3395.53</v>
      </c>
      <c r="O1862" s="2">
        <v>2754.7</v>
      </c>
      <c r="P1862" s="2">
        <v>640.83000000000004</v>
      </c>
      <c r="Q1862" t="s">
        <v>34</v>
      </c>
    </row>
    <row r="1863" spans="1:17" x14ac:dyDescent="0.2">
      <c r="A1863" t="s">
        <v>2028</v>
      </c>
      <c r="B1863" s="1">
        <v>45885</v>
      </c>
      <c r="C1863" t="s">
        <v>77</v>
      </c>
      <c r="D1863" t="s">
        <v>78</v>
      </c>
      <c r="E1863" t="s">
        <v>261</v>
      </c>
      <c r="F1863" t="s">
        <v>130</v>
      </c>
      <c r="G1863" t="s">
        <v>75</v>
      </c>
      <c r="H1863" t="s">
        <v>23</v>
      </c>
      <c r="I1863" t="s">
        <v>79</v>
      </c>
      <c r="J1863" t="s">
        <v>80</v>
      </c>
      <c r="K1863">
        <v>9</v>
      </c>
      <c r="L1863" s="2">
        <v>157.19999999999999</v>
      </c>
      <c r="M1863" s="3">
        <v>0</v>
      </c>
      <c r="N1863" s="2">
        <v>1414.8</v>
      </c>
      <c r="O1863" s="2">
        <v>920.12</v>
      </c>
      <c r="P1863" s="2">
        <v>494.68</v>
      </c>
      <c r="Q1863" t="s">
        <v>57</v>
      </c>
    </row>
    <row r="1864" spans="1:17" x14ac:dyDescent="0.2">
      <c r="A1864" t="s">
        <v>2029</v>
      </c>
      <c r="B1864" s="1">
        <v>45886</v>
      </c>
      <c r="C1864" t="s">
        <v>77</v>
      </c>
      <c r="D1864" t="s">
        <v>95</v>
      </c>
      <c r="E1864" t="s">
        <v>367</v>
      </c>
      <c r="F1864" t="s">
        <v>71</v>
      </c>
      <c r="G1864" t="s">
        <v>75</v>
      </c>
      <c r="H1864" t="s">
        <v>31</v>
      </c>
      <c r="I1864" t="s">
        <v>112</v>
      </c>
      <c r="J1864" t="s">
        <v>113</v>
      </c>
      <c r="K1864">
        <v>4</v>
      </c>
      <c r="L1864" s="2">
        <v>262.73</v>
      </c>
      <c r="M1864" s="3">
        <v>0.15</v>
      </c>
      <c r="N1864" s="2">
        <v>893.28</v>
      </c>
      <c r="O1864" s="2">
        <v>704.52</v>
      </c>
      <c r="P1864" s="2">
        <v>188.76</v>
      </c>
      <c r="Q1864" t="s">
        <v>26</v>
      </c>
    </row>
    <row r="1865" spans="1:17" x14ac:dyDescent="0.2">
      <c r="A1865" t="s">
        <v>2030</v>
      </c>
      <c r="B1865" s="1">
        <v>45886</v>
      </c>
      <c r="C1865" t="s">
        <v>36</v>
      </c>
      <c r="D1865" t="s">
        <v>73</v>
      </c>
      <c r="E1865" t="s">
        <v>74</v>
      </c>
      <c r="F1865" t="s">
        <v>46</v>
      </c>
      <c r="G1865" t="s">
        <v>22</v>
      </c>
      <c r="H1865" t="s">
        <v>23</v>
      </c>
      <c r="I1865" t="s">
        <v>83</v>
      </c>
      <c r="J1865" t="s">
        <v>120</v>
      </c>
      <c r="K1865">
        <v>6</v>
      </c>
      <c r="L1865" s="2">
        <v>27.33</v>
      </c>
      <c r="M1865" s="3">
        <v>0.05</v>
      </c>
      <c r="N1865" s="2">
        <v>155.78</v>
      </c>
      <c r="O1865" s="2">
        <v>91.38</v>
      </c>
      <c r="P1865" s="2">
        <v>64.400000000000006</v>
      </c>
      <c r="Q1865" t="s">
        <v>61</v>
      </c>
    </row>
    <row r="1866" spans="1:17" x14ac:dyDescent="0.2">
      <c r="A1866" t="s">
        <v>2031</v>
      </c>
      <c r="B1866" s="1">
        <v>45886</v>
      </c>
      <c r="C1866" t="s">
        <v>36</v>
      </c>
      <c r="D1866" t="s">
        <v>110</v>
      </c>
      <c r="E1866" t="s">
        <v>115</v>
      </c>
      <c r="F1866" t="s">
        <v>30</v>
      </c>
      <c r="G1866" t="s">
        <v>22</v>
      </c>
      <c r="H1866" t="s">
        <v>23</v>
      </c>
      <c r="I1866" t="s">
        <v>83</v>
      </c>
      <c r="J1866" t="s">
        <v>120</v>
      </c>
      <c r="K1866">
        <v>7</v>
      </c>
      <c r="L1866" s="2">
        <v>21.73</v>
      </c>
      <c r="M1866" s="3">
        <v>0.05</v>
      </c>
      <c r="N1866" s="2">
        <v>144.5</v>
      </c>
      <c r="O1866" s="2">
        <v>81.849999999999994</v>
      </c>
      <c r="P1866" s="2">
        <v>62.65</v>
      </c>
      <c r="Q1866" t="s">
        <v>26</v>
      </c>
    </row>
    <row r="1867" spans="1:17" x14ac:dyDescent="0.2">
      <c r="A1867" t="s">
        <v>2032</v>
      </c>
      <c r="B1867" s="1">
        <v>45886</v>
      </c>
      <c r="C1867" t="s">
        <v>43</v>
      </c>
      <c r="D1867" t="s">
        <v>51</v>
      </c>
      <c r="E1867" t="s">
        <v>59</v>
      </c>
      <c r="F1867" t="s">
        <v>53</v>
      </c>
      <c r="G1867" t="s">
        <v>22</v>
      </c>
      <c r="H1867" t="s">
        <v>23</v>
      </c>
      <c r="I1867" t="s">
        <v>83</v>
      </c>
      <c r="J1867" t="s">
        <v>84</v>
      </c>
      <c r="K1867">
        <v>8</v>
      </c>
      <c r="L1867" s="2">
        <v>10.36</v>
      </c>
      <c r="M1867" s="3">
        <v>0.05</v>
      </c>
      <c r="N1867" s="2">
        <v>78.739999999999995</v>
      </c>
      <c r="O1867" s="2">
        <v>44.07</v>
      </c>
      <c r="P1867" s="2">
        <v>34.67</v>
      </c>
      <c r="Q1867" t="s">
        <v>34</v>
      </c>
    </row>
    <row r="1868" spans="1:17" x14ac:dyDescent="0.2">
      <c r="A1868" t="s">
        <v>2033</v>
      </c>
      <c r="B1868" s="1">
        <v>45886</v>
      </c>
      <c r="C1868" t="s">
        <v>36</v>
      </c>
      <c r="D1868" t="s">
        <v>73</v>
      </c>
      <c r="E1868" t="s">
        <v>247</v>
      </c>
      <c r="F1868" t="s">
        <v>138</v>
      </c>
      <c r="G1868" t="s">
        <v>54</v>
      </c>
      <c r="H1868" t="s">
        <v>31</v>
      </c>
      <c r="I1868" t="s">
        <v>40</v>
      </c>
      <c r="J1868" t="s">
        <v>216</v>
      </c>
      <c r="K1868">
        <v>4</v>
      </c>
      <c r="L1868" s="2">
        <v>66.58</v>
      </c>
      <c r="M1868" s="3">
        <v>0.05</v>
      </c>
      <c r="N1868" s="2">
        <v>253</v>
      </c>
      <c r="O1868" s="2">
        <v>193.73</v>
      </c>
      <c r="P1868" s="2">
        <v>59.27</v>
      </c>
      <c r="Q1868" t="s">
        <v>34</v>
      </c>
    </row>
    <row r="1869" spans="1:17" x14ac:dyDescent="0.2">
      <c r="A1869" t="s">
        <v>2034</v>
      </c>
      <c r="B1869" s="1">
        <v>45886</v>
      </c>
      <c r="C1869" t="s">
        <v>18</v>
      </c>
      <c r="D1869" t="s">
        <v>28</v>
      </c>
      <c r="E1869" t="s">
        <v>157</v>
      </c>
      <c r="F1869" t="s">
        <v>138</v>
      </c>
      <c r="G1869" t="s">
        <v>22</v>
      </c>
      <c r="H1869" t="s">
        <v>47</v>
      </c>
      <c r="I1869" t="s">
        <v>89</v>
      </c>
      <c r="J1869" t="s">
        <v>240</v>
      </c>
      <c r="K1869">
        <v>7</v>
      </c>
      <c r="L1869" s="2">
        <v>338.73</v>
      </c>
      <c r="M1869" s="3">
        <v>0</v>
      </c>
      <c r="N1869" s="2">
        <v>2371.11</v>
      </c>
      <c r="O1869" s="2">
        <v>1697.01</v>
      </c>
      <c r="P1869" s="2">
        <v>674.1</v>
      </c>
      <c r="Q1869" t="s">
        <v>57</v>
      </c>
    </row>
    <row r="1870" spans="1:17" x14ac:dyDescent="0.2">
      <c r="A1870" t="s">
        <v>2035</v>
      </c>
      <c r="B1870" s="1">
        <v>45886</v>
      </c>
      <c r="C1870" t="s">
        <v>18</v>
      </c>
      <c r="D1870" t="s">
        <v>86</v>
      </c>
      <c r="E1870" t="s">
        <v>92</v>
      </c>
      <c r="F1870" t="s">
        <v>60</v>
      </c>
      <c r="G1870" t="s">
        <v>22</v>
      </c>
      <c r="H1870" t="s">
        <v>47</v>
      </c>
      <c r="I1870" t="s">
        <v>89</v>
      </c>
      <c r="J1870" t="s">
        <v>204</v>
      </c>
      <c r="K1870">
        <v>7</v>
      </c>
      <c r="L1870" s="2">
        <v>371.41</v>
      </c>
      <c r="M1870" s="3">
        <v>0</v>
      </c>
      <c r="N1870" s="2">
        <v>2599.87</v>
      </c>
      <c r="O1870" s="2">
        <v>1466.24</v>
      </c>
      <c r="P1870" s="2">
        <v>1133.6300000000001</v>
      </c>
      <c r="Q1870" t="s">
        <v>26</v>
      </c>
    </row>
    <row r="1871" spans="1:17" x14ac:dyDescent="0.2">
      <c r="A1871" t="s">
        <v>2036</v>
      </c>
      <c r="B1871" s="1">
        <v>45886</v>
      </c>
      <c r="C1871" t="s">
        <v>77</v>
      </c>
      <c r="D1871" t="s">
        <v>106</v>
      </c>
      <c r="E1871" t="s">
        <v>107</v>
      </c>
      <c r="F1871" t="s">
        <v>21</v>
      </c>
      <c r="G1871" t="s">
        <v>22</v>
      </c>
      <c r="H1871" t="s">
        <v>31</v>
      </c>
      <c r="I1871" t="s">
        <v>112</v>
      </c>
      <c r="J1871" t="s">
        <v>136</v>
      </c>
      <c r="K1871">
        <v>2</v>
      </c>
      <c r="L1871" s="2">
        <v>310.02</v>
      </c>
      <c r="M1871" s="3">
        <v>0</v>
      </c>
      <c r="N1871" s="2">
        <v>620.04</v>
      </c>
      <c r="O1871" s="2">
        <v>381.98</v>
      </c>
      <c r="P1871" s="2">
        <v>238.06</v>
      </c>
      <c r="Q1871" t="s">
        <v>61</v>
      </c>
    </row>
    <row r="1872" spans="1:17" x14ac:dyDescent="0.2">
      <c r="A1872" t="s">
        <v>2037</v>
      </c>
      <c r="B1872" s="1">
        <v>45886</v>
      </c>
      <c r="C1872" t="s">
        <v>77</v>
      </c>
      <c r="D1872" t="s">
        <v>106</v>
      </c>
      <c r="E1872" t="s">
        <v>236</v>
      </c>
      <c r="F1872" t="s">
        <v>71</v>
      </c>
      <c r="G1872" t="s">
        <v>54</v>
      </c>
      <c r="H1872" t="s">
        <v>31</v>
      </c>
      <c r="I1872" t="s">
        <v>32</v>
      </c>
      <c r="J1872" t="s">
        <v>33</v>
      </c>
      <c r="K1872">
        <v>4</v>
      </c>
      <c r="L1872" s="2">
        <v>931.79</v>
      </c>
      <c r="M1872" s="3">
        <v>0</v>
      </c>
      <c r="N1872" s="2">
        <v>3727.16</v>
      </c>
      <c r="O1872" s="2">
        <v>2442.3000000000002</v>
      </c>
      <c r="P1872" s="2">
        <v>1284.8599999999999</v>
      </c>
      <c r="Q1872" t="s">
        <v>34</v>
      </c>
    </row>
    <row r="1873" spans="1:17" x14ac:dyDescent="0.2">
      <c r="A1873" t="s">
        <v>2038</v>
      </c>
      <c r="B1873" s="1">
        <v>45886</v>
      </c>
      <c r="C1873" t="s">
        <v>43</v>
      </c>
      <c r="D1873" t="s">
        <v>208</v>
      </c>
      <c r="E1873" t="s">
        <v>230</v>
      </c>
      <c r="F1873" t="s">
        <v>71</v>
      </c>
      <c r="G1873" t="s">
        <v>75</v>
      </c>
      <c r="H1873" t="s">
        <v>23</v>
      </c>
      <c r="I1873" t="s">
        <v>83</v>
      </c>
      <c r="J1873" t="s">
        <v>120</v>
      </c>
      <c r="K1873">
        <v>9</v>
      </c>
      <c r="L1873" s="2">
        <v>28.29</v>
      </c>
      <c r="M1873" s="3">
        <v>0.1</v>
      </c>
      <c r="N1873" s="2">
        <v>229.15</v>
      </c>
      <c r="O1873" s="2">
        <v>128</v>
      </c>
      <c r="P1873" s="2">
        <v>101.15</v>
      </c>
      <c r="Q1873" t="s">
        <v>34</v>
      </c>
    </row>
    <row r="1874" spans="1:17" x14ac:dyDescent="0.2">
      <c r="A1874" t="s">
        <v>2039</v>
      </c>
      <c r="B1874" s="1">
        <v>45886</v>
      </c>
      <c r="C1874" t="s">
        <v>77</v>
      </c>
      <c r="D1874" t="s">
        <v>95</v>
      </c>
      <c r="E1874" t="s">
        <v>367</v>
      </c>
      <c r="F1874" t="s">
        <v>130</v>
      </c>
      <c r="G1874" t="s">
        <v>22</v>
      </c>
      <c r="H1874" t="s">
        <v>23</v>
      </c>
      <c r="I1874" t="s">
        <v>24</v>
      </c>
      <c r="J1874" t="s">
        <v>108</v>
      </c>
      <c r="K1874">
        <v>5</v>
      </c>
      <c r="L1874" s="2">
        <v>13.16</v>
      </c>
      <c r="M1874" s="3">
        <v>0.1</v>
      </c>
      <c r="N1874" s="2">
        <v>59.22</v>
      </c>
      <c r="O1874" s="2">
        <v>48.02</v>
      </c>
      <c r="P1874" s="2">
        <v>11.2</v>
      </c>
      <c r="Q1874" t="s">
        <v>34</v>
      </c>
    </row>
    <row r="1875" spans="1:17" x14ac:dyDescent="0.2">
      <c r="A1875" t="s">
        <v>2040</v>
      </c>
      <c r="B1875" s="1">
        <v>45886</v>
      </c>
      <c r="C1875" t="s">
        <v>77</v>
      </c>
      <c r="D1875" t="s">
        <v>106</v>
      </c>
      <c r="E1875" t="s">
        <v>107</v>
      </c>
      <c r="F1875" t="s">
        <v>69</v>
      </c>
      <c r="G1875" t="s">
        <v>54</v>
      </c>
      <c r="H1875" t="s">
        <v>47</v>
      </c>
      <c r="I1875" t="s">
        <v>89</v>
      </c>
      <c r="J1875" t="s">
        <v>204</v>
      </c>
      <c r="K1875">
        <v>6</v>
      </c>
      <c r="L1875" s="2">
        <v>446.1</v>
      </c>
      <c r="M1875" s="3">
        <v>0.1</v>
      </c>
      <c r="N1875" s="2">
        <v>2408.94</v>
      </c>
      <c r="O1875" s="2">
        <v>1770.77</v>
      </c>
      <c r="P1875" s="2">
        <v>638.16999999999996</v>
      </c>
      <c r="Q1875" t="s">
        <v>61</v>
      </c>
    </row>
    <row r="1876" spans="1:17" x14ac:dyDescent="0.2">
      <c r="A1876" t="s">
        <v>2041</v>
      </c>
      <c r="B1876" s="1">
        <v>45886</v>
      </c>
      <c r="C1876" t="s">
        <v>77</v>
      </c>
      <c r="D1876" t="s">
        <v>128</v>
      </c>
      <c r="E1876" t="s">
        <v>159</v>
      </c>
      <c r="F1876" t="s">
        <v>138</v>
      </c>
      <c r="G1876" t="s">
        <v>22</v>
      </c>
      <c r="H1876" t="s">
        <v>23</v>
      </c>
      <c r="I1876" t="s">
        <v>24</v>
      </c>
      <c r="J1876" t="s">
        <v>108</v>
      </c>
      <c r="K1876">
        <v>8</v>
      </c>
      <c r="L1876" s="2">
        <v>6.21</v>
      </c>
      <c r="M1876" s="3">
        <v>0.05</v>
      </c>
      <c r="N1876" s="2">
        <v>47.2</v>
      </c>
      <c r="O1876" s="2">
        <v>34.549999999999997</v>
      </c>
      <c r="P1876" s="2">
        <v>12.65</v>
      </c>
      <c r="Q1876" t="s">
        <v>57</v>
      </c>
    </row>
    <row r="1877" spans="1:17" x14ac:dyDescent="0.2">
      <c r="A1877" t="s">
        <v>2042</v>
      </c>
      <c r="B1877" s="1">
        <v>45887</v>
      </c>
      <c r="C1877" t="s">
        <v>36</v>
      </c>
      <c r="D1877" t="s">
        <v>37</v>
      </c>
      <c r="E1877" t="s">
        <v>38</v>
      </c>
      <c r="F1877" t="s">
        <v>130</v>
      </c>
      <c r="G1877" t="s">
        <v>54</v>
      </c>
      <c r="H1877" t="s">
        <v>31</v>
      </c>
      <c r="I1877" t="s">
        <v>64</v>
      </c>
      <c r="J1877" t="s">
        <v>65</v>
      </c>
      <c r="K1877">
        <v>9</v>
      </c>
      <c r="L1877" s="2">
        <v>158.53</v>
      </c>
      <c r="M1877" s="3">
        <v>0</v>
      </c>
      <c r="N1877" s="2">
        <v>1426.77</v>
      </c>
      <c r="O1877" s="2">
        <v>846.8</v>
      </c>
      <c r="P1877" s="2">
        <v>579.97</v>
      </c>
      <c r="Q1877" t="s">
        <v>57</v>
      </c>
    </row>
    <row r="1878" spans="1:17" x14ac:dyDescent="0.2">
      <c r="A1878" t="s">
        <v>2043</v>
      </c>
      <c r="B1878" s="1">
        <v>45887</v>
      </c>
      <c r="C1878" t="s">
        <v>36</v>
      </c>
      <c r="D1878" t="s">
        <v>110</v>
      </c>
      <c r="E1878" t="s">
        <v>203</v>
      </c>
      <c r="F1878" t="s">
        <v>138</v>
      </c>
      <c r="G1878" t="s">
        <v>54</v>
      </c>
      <c r="H1878" t="s">
        <v>47</v>
      </c>
      <c r="I1878" t="s">
        <v>97</v>
      </c>
      <c r="J1878" t="s">
        <v>116</v>
      </c>
      <c r="K1878">
        <v>6</v>
      </c>
      <c r="L1878" s="2">
        <v>338.46</v>
      </c>
      <c r="M1878" s="3">
        <v>0.1</v>
      </c>
      <c r="N1878" s="2">
        <v>1827.68</v>
      </c>
      <c r="O1878" s="2">
        <v>1169.44</v>
      </c>
      <c r="P1878" s="2">
        <v>658.24</v>
      </c>
      <c r="Q1878" t="s">
        <v>57</v>
      </c>
    </row>
    <row r="1879" spans="1:17" x14ac:dyDescent="0.2">
      <c r="A1879" t="s">
        <v>2044</v>
      </c>
      <c r="B1879" s="1">
        <v>45887</v>
      </c>
      <c r="C1879" t="s">
        <v>18</v>
      </c>
      <c r="D1879" t="s">
        <v>19</v>
      </c>
      <c r="E1879" t="s">
        <v>100</v>
      </c>
      <c r="F1879" t="s">
        <v>30</v>
      </c>
      <c r="G1879" t="s">
        <v>22</v>
      </c>
      <c r="H1879" t="s">
        <v>23</v>
      </c>
      <c r="I1879" t="s">
        <v>24</v>
      </c>
      <c r="J1879" t="s">
        <v>25</v>
      </c>
      <c r="K1879">
        <v>7</v>
      </c>
      <c r="L1879" s="2">
        <v>15.04</v>
      </c>
      <c r="M1879" s="3">
        <v>0.15</v>
      </c>
      <c r="N1879" s="2">
        <v>89.49</v>
      </c>
      <c r="O1879" s="2">
        <v>68.2</v>
      </c>
      <c r="P1879" s="2">
        <v>21.29</v>
      </c>
      <c r="Q1879" t="s">
        <v>61</v>
      </c>
    </row>
    <row r="1880" spans="1:17" x14ac:dyDescent="0.2">
      <c r="A1880" t="s">
        <v>2045</v>
      </c>
      <c r="B1880" s="1">
        <v>45887</v>
      </c>
      <c r="C1880" t="s">
        <v>43</v>
      </c>
      <c r="D1880" t="s">
        <v>44</v>
      </c>
      <c r="E1880" t="s">
        <v>147</v>
      </c>
      <c r="F1880" t="s">
        <v>60</v>
      </c>
      <c r="G1880" t="s">
        <v>22</v>
      </c>
      <c r="H1880" t="s">
        <v>47</v>
      </c>
      <c r="I1880" t="s">
        <v>97</v>
      </c>
      <c r="J1880" t="s">
        <v>116</v>
      </c>
      <c r="K1880">
        <v>5</v>
      </c>
      <c r="L1880" s="2">
        <v>584.86</v>
      </c>
      <c r="M1880" s="3">
        <v>0.05</v>
      </c>
      <c r="N1880" s="2">
        <v>2778.08</v>
      </c>
      <c r="O1880" s="2">
        <v>1574.42</v>
      </c>
      <c r="P1880" s="2">
        <v>1203.6600000000001</v>
      </c>
      <c r="Q1880" t="s">
        <v>34</v>
      </c>
    </row>
    <row r="1881" spans="1:17" x14ac:dyDescent="0.2">
      <c r="A1881" t="s">
        <v>2046</v>
      </c>
      <c r="B1881" s="1">
        <v>45887</v>
      </c>
      <c r="C1881" t="s">
        <v>36</v>
      </c>
      <c r="D1881" t="s">
        <v>110</v>
      </c>
      <c r="E1881" t="s">
        <v>111</v>
      </c>
      <c r="F1881" t="s">
        <v>53</v>
      </c>
      <c r="G1881" t="s">
        <v>75</v>
      </c>
      <c r="H1881" t="s">
        <v>23</v>
      </c>
      <c r="I1881" t="s">
        <v>83</v>
      </c>
      <c r="J1881" t="s">
        <v>84</v>
      </c>
      <c r="K1881">
        <v>3</v>
      </c>
      <c r="L1881" s="2">
        <v>11.06</v>
      </c>
      <c r="M1881" s="3">
        <v>0</v>
      </c>
      <c r="N1881" s="2">
        <v>33.18</v>
      </c>
      <c r="O1881" s="2">
        <v>18.579999999999998</v>
      </c>
      <c r="P1881" s="2">
        <v>14.6</v>
      </c>
      <c r="Q1881" t="s">
        <v>57</v>
      </c>
    </row>
    <row r="1882" spans="1:17" x14ac:dyDescent="0.2">
      <c r="A1882" t="s">
        <v>2047</v>
      </c>
      <c r="B1882" s="1">
        <v>45887</v>
      </c>
      <c r="C1882" t="s">
        <v>18</v>
      </c>
      <c r="D1882" t="s">
        <v>86</v>
      </c>
      <c r="E1882" t="s">
        <v>92</v>
      </c>
      <c r="F1882" t="s">
        <v>130</v>
      </c>
      <c r="G1882" t="s">
        <v>22</v>
      </c>
      <c r="H1882" t="s">
        <v>31</v>
      </c>
      <c r="I1882" t="s">
        <v>32</v>
      </c>
      <c r="J1882" t="s">
        <v>104</v>
      </c>
      <c r="K1882">
        <v>5</v>
      </c>
      <c r="L1882" s="2">
        <v>778.56</v>
      </c>
      <c r="M1882" s="3">
        <v>0</v>
      </c>
      <c r="N1882" s="2">
        <v>3892.8</v>
      </c>
      <c r="O1882" s="2">
        <v>2447.81</v>
      </c>
      <c r="P1882" s="2">
        <v>1444.99</v>
      </c>
      <c r="Q1882" t="s">
        <v>34</v>
      </c>
    </row>
    <row r="1883" spans="1:17" x14ac:dyDescent="0.2">
      <c r="A1883" t="s">
        <v>2048</v>
      </c>
      <c r="B1883" s="1">
        <v>45887</v>
      </c>
      <c r="C1883" t="s">
        <v>43</v>
      </c>
      <c r="D1883" t="s">
        <v>51</v>
      </c>
      <c r="E1883" t="s">
        <v>52</v>
      </c>
      <c r="F1883" t="s">
        <v>60</v>
      </c>
      <c r="G1883" t="s">
        <v>54</v>
      </c>
      <c r="H1883" t="s">
        <v>31</v>
      </c>
      <c r="I1883" t="s">
        <v>112</v>
      </c>
      <c r="J1883" t="s">
        <v>136</v>
      </c>
      <c r="K1883">
        <v>1</v>
      </c>
      <c r="L1883" s="2">
        <v>673.13</v>
      </c>
      <c r="M1883" s="3">
        <v>0</v>
      </c>
      <c r="N1883" s="2">
        <v>673.13</v>
      </c>
      <c r="O1883" s="2">
        <v>407.19</v>
      </c>
      <c r="P1883" s="2">
        <v>265.94</v>
      </c>
      <c r="Q1883" t="s">
        <v>26</v>
      </c>
    </row>
    <row r="1884" spans="1:17" x14ac:dyDescent="0.2">
      <c r="A1884" t="s">
        <v>2049</v>
      </c>
      <c r="B1884" s="1">
        <v>45887</v>
      </c>
      <c r="C1884" t="s">
        <v>18</v>
      </c>
      <c r="D1884" t="s">
        <v>19</v>
      </c>
      <c r="E1884" t="s">
        <v>118</v>
      </c>
      <c r="F1884" t="s">
        <v>39</v>
      </c>
      <c r="G1884" t="s">
        <v>22</v>
      </c>
      <c r="H1884" t="s">
        <v>47</v>
      </c>
      <c r="I1884" t="s">
        <v>48</v>
      </c>
      <c r="J1884" t="s">
        <v>49</v>
      </c>
      <c r="K1884">
        <v>6</v>
      </c>
      <c r="L1884" s="2">
        <v>431.63</v>
      </c>
      <c r="M1884" s="3">
        <v>0</v>
      </c>
      <c r="N1884" s="2">
        <v>2589.7800000000002</v>
      </c>
      <c r="O1884" s="2">
        <v>1556.06</v>
      </c>
      <c r="P1884" s="2">
        <v>1033.72</v>
      </c>
      <c r="Q1884" t="s">
        <v>26</v>
      </c>
    </row>
    <row r="1885" spans="1:17" x14ac:dyDescent="0.2">
      <c r="A1885" t="s">
        <v>2050</v>
      </c>
      <c r="B1885" s="1">
        <v>45888</v>
      </c>
      <c r="C1885" t="s">
        <v>43</v>
      </c>
      <c r="D1885" t="s">
        <v>161</v>
      </c>
      <c r="E1885" t="s">
        <v>418</v>
      </c>
      <c r="F1885" t="s">
        <v>60</v>
      </c>
      <c r="G1885" t="s">
        <v>75</v>
      </c>
      <c r="H1885" t="s">
        <v>23</v>
      </c>
      <c r="I1885" t="s">
        <v>79</v>
      </c>
      <c r="J1885" t="s">
        <v>80</v>
      </c>
      <c r="K1885">
        <v>6</v>
      </c>
      <c r="L1885" s="2">
        <v>544.27</v>
      </c>
      <c r="M1885" s="3">
        <v>0</v>
      </c>
      <c r="N1885" s="2">
        <v>3265.62</v>
      </c>
      <c r="O1885" s="2">
        <v>2345.9699999999998</v>
      </c>
      <c r="P1885" s="2">
        <v>919.65</v>
      </c>
      <c r="Q1885" t="s">
        <v>61</v>
      </c>
    </row>
    <row r="1886" spans="1:17" x14ac:dyDescent="0.2">
      <c r="A1886" t="s">
        <v>2051</v>
      </c>
      <c r="B1886" s="1">
        <v>45888</v>
      </c>
      <c r="C1886" t="s">
        <v>43</v>
      </c>
      <c r="D1886" t="s">
        <v>161</v>
      </c>
      <c r="E1886" t="s">
        <v>418</v>
      </c>
      <c r="F1886" t="s">
        <v>30</v>
      </c>
      <c r="G1886" t="s">
        <v>75</v>
      </c>
      <c r="H1886" t="s">
        <v>31</v>
      </c>
      <c r="I1886" t="s">
        <v>40</v>
      </c>
      <c r="J1886" t="s">
        <v>122</v>
      </c>
      <c r="K1886">
        <v>6</v>
      </c>
      <c r="L1886" s="2">
        <v>199.66</v>
      </c>
      <c r="M1886" s="3">
        <v>0.15</v>
      </c>
      <c r="N1886" s="2">
        <v>1018.27</v>
      </c>
      <c r="O1886" s="2">
        <v>587.35</v>
      </c>
      <c r="P1886" s="2">
        <v>430.92</v>
      </c>
      <c r="Q1886" t="s">
        <v>57</v>
      </c>
    </row>
    <row r="1887" spans="1:17" x14ac:dyDescent="0.2">
      <c r="A1887" t="s">
        <v>2052</v>
      </c>
      <c r="B1887" s="1">
        <v>45888</v>
      </c>
      <c r="C1887" t="s">
        <v>43</v>
      </c>
      <c r="D1887" t="s">
        <v>161</v>
      </c>
      <c r="E1887" t="s">
        <v>172</v>
      </c>
      <c r="F1887" t="s">
        <v>71</v>
      </c>
      <c r="G1887" t="s">
        <v>75</v>
      </c>
      <c r="H1887" t="s">
        <v>47</v>
      </c>
      <c r="I1887" t="s">
        <v>97</v>
      </c>
      <c r="J1887" t="s">
        <v>98</v>
      </c>
      <c r="K1887">
        <v>7</v>
      </c>
      <c r="L1887" s="2">
        <v>468.41</v>
      </c>
      <c r="M1887" s="3">
        <v>0</v>
      </c>
      <c r="N1887" s="2">
        <v>3278.87</v>
      </c>
      <c r="O1887" s="2">
        <v>2247.64</v>
      </c>
      <c r="P1887" s="2">
        <v>1031.23</v>
      </c>
      <c r="Q1887" t="s">
        <v>26</v>
      </c>
    </row>
    <row r="1888" spans="1:17" x14ac:dyDescent="0.2">
      <c r="A1888" t="s">
        <v>2053</v>
      </c>
      <c r="B1888" s="1">
        <v>45888</v>
      </c>
      <c r="C1888" t="s">
        <v>77</v>
      </c>
      <c r="D1888" t="s">
        <v>106</v>
      </c>
      <c r="E1888" t="s">
        <v>107</v>
      </c>
      <c r="F1888" t="s">
        <v>21</v>
      </c>
      <c r="G1888" t="s">
        <v>75</v>
      </c>
      <c r="H1888" t="s">
        <v>47</v>
      </c>
      <c r="I1888" t="s">
        <v>97</v>
      </c>
      <c r="J1888" t="s">
        <v>116</v>
      </c>
      <c r="K1888">
        <v>3</v>
      </c>
      <c r="L1888" s="2">
        <v>661.11</v>
      </c>
      <c r="M1888" s="3">
        <v>0.1</v>
      </c>
      <c r="N1888" s="2">
        <v>1785</v>
      </c>
      <c r="O1888" s="2">
        <v>1162.5</v>
      </c>
      <c r="P1888" s="2">
        <v>622.5</v>
      </c>
      <c r="Q1888" t="s">
        <v>26</v>
      </c>
    </row>
    <row r="1889" spans="1:17" x14ac:dyDescent="0.2">
      <c r="A1889" t="s">
        <v>2054</v>
      </c>
      <c r="B1889" s="1">
        <v>45888</v>
      </c>
      <c r="C1889" t="s">
        <v>43</v>
      </c>
      <c r="D1889" t="s">
        <v>244</v>
      </c>
      <c r="E1889" t="s">
        <v>326</v>
      </c>
      <c r="F1889" t="s">
        <v>21</v>
      </c>
      <c r="G1889" t="s">
        <v>75</v>
      </c>
      <c r="H1889" t="s">
        <v>23</v>
      </c>
      <c r="I1889" t="s">
        <v>55</v>
      </c>
      <c r="J1889" t="s">
        <v>102</v>
      </c>
      <c r="K1889">
        <v>10</v>
      </c>
      <c r="L1889" s="2">
        <v>7.12</v>
      </c>
      <c r="M1889" s="3">
        <v>0.15</v>
      </c>
      <c r="N1889" s="2">
        <v>60.52</v>
      </c>
      <c r="O1889" s="2">
        <v>41.73</v>
      </c>
      <c r="P1889" s="2">
        <v>18.79</v>
      </c>
      <c r="Q1889" t="s">
        <v>57</v>
      </c>
    </row>
    <row r="1890" spans="1:17" x14ac:dyDescent="0.2">
      <c r="A1890" t="s">
        <v>2055</v>
      </c>
      <c r="B1890" s="1">
        <v>45889</v>
      </c>
      <c r="C1890" t="s">
        <v>36</v>
      </c>
      <c r="D1890" t="s">
        <v>144</v>
      </c>
      <c r="E1890" t="s">
        <v>145</v>
      </c>
      <c r="F1890" t="s">
        <v>71</v>
      </c>
      <c r="G1890" t="s">
        <v>75</v>
      </c>
      <c r="H1890" t="s">
        <v>47</v>
      </c>
      <c r="I1890" t="s">
        <v>97</v>
      </c>
      <c r="J1890" t="s">
        <v>168</v>
      </c>
      <c r="K1890">
        <v>10</v>
      </c>
      <c r="L1890" s="2">
        <v>182.01</v>
      </c>
      <c r="M1890" s="3">
        <v>0.05</v>
      </c>
      <c r="N1890" s="2">
        <v>1729.09</v>
      </c>
      <c r="O1890" s="2">
        <v>1050.57</v>
      </c>
      <c r="P1890" s="2">
        <v>678.52</v>
      </c>
      <c r="Q1890" t="s">
        <v>61</v>
      </c>
    </row>
    <row r="1891" spans="1:17" x14ac:dyDescent="0.2">
      <c r="A1891" t="s">
        <v>2056</v>
      </c>
      <c r="B1891" s="1">
        <v>45889</v>
      </c>
      <c r="C1891" t="s">
        <v>43</v>
      </c>
      <c r="D1891" t="s">
        <v>161</v>
      </c>
      <c r="E1891" t="s">
        <v>418</v>
      </c>
      <c r="F1891" t="s">
        <v>130</v>
      </c>
      <c r="G1891" t="s">
        <v>22</v>
      </c>
      <c r="H1891" t="s">
        <v>31</v>
      </c>
      <c r="I1891" t="s">
        <v>112</v>
      </c>
      <c r="J1891" t="s">
        <v>136</v>
      </c>
      <c r="K1891">
        <v>3</v>
      </c>
      <c r="L1891" s="2">
        <v>374.64</v>
      </c>
      <c r="M1891" s="3">
        <v>0.15</v>
      </c>
      <c r="N1891" s="2">
        <v>955.33</v>
      </c>
      <c r="O1891" s="2">
        <v>608.55999999999995</v>
      </c>
      <c r="P1891" s="2">
        <v>346.77</v>
      </c>
      <c r="Q1891" t="s">
        <v>34</v>
      </c>
    </row>
    <row r="1892" spans="1:17" x14ac:dyDescent="0.2">
      <c r="A1892" t="s">
        <v>2057</v>
      </c>
      <c r="B1892" s="1">
        <v>45889</v>
      </c>
      <c r="C1892" t="s">
        <v>43</v>
      </c>
      <c r="D1892" t="s">
        <v>44</v>
      </c>
      <c r="E1892" t="s">
        <v>147</v>
      </c>
      <c r="F1892" t="s">
        <v>69</v>
      </c>
      <c r="G1892" t="s">
        <v>22</v>
      </c>
      <c r="H1892" t="s">
        <v>31</v>
      </c>
      <c r="I1892" t="s">
        <v>40</v>
      </c>
      <c r="J1892" t="s">
        <v>41</v>
      </c>
      <c r="K1892">
        <v>10</v>
      </c>
      <c r="L1892" s="2">
        <v>130.34</v>
      </c>
      <c r="M1892" s="3">
        <v>0.05</v>
      </c>
      <c r="N1892" s="2">
        <v>1238.23</v>
      </c>
      <c r="O1892" s="2">
        <v>1007.77</v>
      </c>
      <c r="P1892" s="2">
        <v>230.46</v>
      </c>
      <c r="Q1892" t="s">
        <v>57</v>
      </c>
    </row>
    <row r="1893" spans="1:17" x14ac:dyDescent="0.2">
      <c r="A1893" t="s">
        <v>2058</v>
      </c>
      <c r="B1893" s="1">
        <v>45889</v>
      </c>
      <c r="C1893" t="s">
        <v>18</v>
      </c>
      <c r="D1893" t="s">
        <v>86</v>
      </c>
      <c r="E1893" t="s">
        <v>87</v>
      </c>
      <c r="F1893" t="s">
        <v>30</v>
      </c>
      <c r="G1893" t="s">
        <v>22</v>
      </c>
      <c r="H1893" t="s">
        <v>47</v>
      </c>
      <c r="I1893" t="s">
        <v>141</v>
      </c>
      <c r="J1893" t="s">
        <v>201</v>
      </c>
      <c r="K1893">
        <v>8</v>
      </c>
      <c r="L1893" s="2">
        <v>609.91</v>
      </c>
      <c r="M1893" s="3">
        <v>0.05</v>
      </c>
      <c r="N1893" s="2">
        <v>4635.32</v>
      </c>
      <c r="O1893" s="2">
        <v>2612.11</v>
      </c>
      <c r="P1893" s="2">
        <v>2023.21</v>
      </c>
      <c r="Q1893" t="s">
        <v>26</v>
      </c>
    </row>
    <row r="1894" spans="1:17" x14ac:dyDescent="0.2">
      <c r="A1894" t="s">
        <v>2059</v>
      </c>
      <c r="B1894" s="1">
        <v>45889</v>
      </c>
      <c r="C1894" t="s">
        <v>43</v>
      </c>
      <c r="D1894" t="s">
        <v>44</v>
      </c>
      <c r="E1894" t="s">
        <v>82</v>
      </c>
      <c r="F1894" t="s">
        <v>39</v>
      </c>
      <c r="G1894" t="s">
        <v>54</v>
      </c>
      <c r="H1894" t="s">
        <v>23</v>
      </c>
      <c r="I1894" t="s">
        <v>55</v>
      </c>
      <c r="J1894" t="s">
        <v>102</v>
      </c>
      <c r="K1894">
        <v>6</v>
      </c>
      <c r="L1894" s="2">
        <v>17.71</v>
      </c>
      <c r="M1894" s="3">
        <v>0</v>
      </c>
      <c r="N1894" s="2">
        <v>106.26</v>
      </c>
      <c r="O1894" s="2">
        <v>69.87</v>
      </c>
      <c r="P1894" s="2">
        <v>36.39</v>
      </c>
      <c r="Q1894" t="s">
        <v>26</v>
      </c>
    </row>
    <row r="1895" spans="1:17" x14ac:dyDescent="0.2">
      <c r="A1895" t="s">
        <v>2060</v>
      </c>
      <c r="B1895" s="1">
        <v>45889</v>
      </c>
      <c r="C1895" t="s">
        <v>36</v>
      </c>
      <c r="D1895" t="s">
        <v>73</v>
      </c>
      <c r="E1895" t="s">
        <v>247</v>
      </c>
      <c r="F1895" t="s">
        <v>46</v>
      </c>
      <c r="G1895" t="s">
        <v>75</v>
      </c>
      <c r="H1895" t="s">
        <v>47</v>
      </c>
      <c r="I1895" t="s">
        <v>141</v>
      </c>
      <c r="J1895" t="s">
        <v>142</v>
      </c>
      <c r="K1895">
        <v>10</v>
      </c>
      <c r="L1895" s="2">
        <v>612.22</v>
      </c>
      <c r="M1895" s="3">
        <v>0.05</v>
      </c>
      <c r="N1895" s="2">
        <v>5816.09</v>
      </c>
      <c r="O1895" s="2">
        <v>3669.67</v>
      </c>
      <c r="P1895" s="2">
        <v>2146.42</v>
      </c>
      <c r="Q1895" t="s">
        <v>26</v>
      </c>
    </row>
    <row r="1896" spans="1:17" x14ac:dyDescent="0.2">
      <c r="A1896" t="s">
        <v>2061</v>
      </c>
      <c r="B1896" s="1">
        <v>45889</v>
      </c>
      <c r="C1896" t="s">
        <v>43</v>
      </c>
      <c r="D1896" t="s">
        <v>208</v>
      </c>
      <c r="E1896" t="s">
        <v>230</v>
      </c>
      <c r="F1896" t="s">
        <v>130</v>
      </c>
      <c r="G1896" t="s">
        <v>22</v>
      </c>
      <c r="H1896" t="s">
        <v>47</v>
      </c>
      <c r="I1896" t="s">
        <v>48</v>
      </c>
      <c r="J1896" t="s">
        <v>93</v>
      </c>
      <c r="K1896">
        <v>1</v>
      </c>
      <c r="L1896" s="2">
        <v>463.75</v>
      </c>
      <c r="M1896" s="3">
        <v>0</v>
      </c>
      <c r="N1896" s="2">
        <v>463.75</v>
      </c>
      <c r="O1896" s="2">
        <v>280.17</v>
      </c>
      <c r="P1896" s="2">
        <v>183.58</v>
      </c>
      <c r="Q1896" t="s">
        <v>34</v>
      </c>
    </row>
    <row r="1897" spans="1:17" x14ac:dyDescent="0.2">
      <c r="A1897" t="s">
        <v>2062</v>
      </c>
      <c r="B1897" s="1">
        <v>45890</v>
      </c>
      <c r="C1897" t="s">
        <v>43</v>
      </c>
      <c r="D1897" t="s">
        <v>244</v>
      </c>
      <c r="E1897" t="s">
        <v>326</v>
      </c>
      <c r="F1897" t="s">
        <v>138</v>
      </c>
      <c r="G1897" t="s">
        <v>75</v>
      </c>
      <c r="H1897" t="s">
        <v>23</v>
      </c>
      <c r="I1897" t="s">
        <v>79</v>
      </c>
      <c r="J1897" t="s">
        <v>233</v>
      </c>
      <c r="K1897">
        <v>9</v>
      </c>
      <c r="L1897" s="2">
        <v>240.92</v>
      </c>
      <c r="M1897" s="3">
        <v>0.2</v>
      </c>
      <c r="N1897" s="2">
        <v>1734.62</v>
      </c>
      <c r="O1897" s="2">
        <v>1346.7</v>
      </c>
      <c r="P1897" s="2">
        <v>387.92</v>
      </c>
      <c r="Q1897" t="s">
        <v>34</v>
      </c>
    </row>
    <row r="1898" spans="1:17" x14ac:dyDescent="0.2">
      <c r="A1898" t="s">
        <v>2063</v>
      </c>
      <c r="B1898" s="1">
        <v>45890</v>
      </c>
      <c r="C1898" t="s">
        <v>43</v>
      </c>
      <c r="D1898" t="s">
        <v>51</v>
      </c>
      <c r="E1898" t="s">
        <v>63</v>
      </c>
      <c r="F1898" t="s">
        <v>39</v>
      </c>
      <c r="G1898" t="s">
        <v>75</v>
      </c>
      <c r="H1898" t="s">
        <v>31</v>
      </c>
      <c r="I1898" t="s">
        <v>32</v>
      </c>
      <c r="J1898" t="s">
        <v>104</v>
      </c>
      <c r="K1898">
        <v>10</v>
      </c>
      <c r="L1898" s="2">
        <v>1403.77</v>
      </c>
      <c r="M1898" s="3">
        <v>0.1</v>
      </c>
      <c r="N1898" s="2">
        <v>12633.93</v>
      </c>
      <c r="O1898" s="2">
        <v>7690.74</v>
      </c>
      <c r="P1898" s="2">
        <v>4943.1899999999996</v>
      </c>
      <c r="Q1898" t="s">
        <v>61</v>
      </c>
    </row>
    <row r="1899" spans="1:17" x14ac:dyDescent="0.2">
      <c r="A1899" t="s">
        <v>2064</v>
      </c>
      <c r="B1899" s="1">
        <v>45890</v>
      </c>
      <c r="C1899" t="s">
        <v>18</v>
      </c>
      <c r="D1899" t="s">
        <v>19</v>
      </c>
      <c r="E1899" t="s">
        <v>20</v>
      </c>
      <c r="F1899" t="s">
        <v>130</v>
      </c>
      <c r="G1899" t="s">
        <v>75</v>
      </c>
      <c r="H1899" t="s">
        <v>23</v>
      </c>
      <c r="I1899" t="s">
        <v>83</v>
      </c>
      <c r="J1899" t="s">
        <v>131</v>
      </c>
      <c r="K1899">
        <v>9</v>
      </c>
      <c r="L1899" s="2">
        <v>33.340000000000003</v>
      </c>
      <c r="M1899" s="3">
        <v>0</v>
      </c>
      <c r="N1899" s="2">
        <v>300.06</v>
      </c>
      <c r="O1899" s="2">
        <v>187.11</v>
      </c>
      <c r="P1899" s="2">
        <v>112.95</v>
      </c>
      <c r="Q1899" t="s">
        <v>34</v>
      </c>
    </row>
    <row r="1900" spans="1:17" x14ac:dyDescent="0.2">
      <c r="A1900" t="s">
        <v>2065</v>
      </c>
      <c r="B1900" s="1">
        <v>45890</v>
      </c>
      <c r="C1900" t="s">
        <v>18</v>
      </c>
      <c r="D1900" t="s">
        <v>19</v>
      </c>
      <c r="E1900" t="s">
        <v>118</v>
      </c>
      <c r="F1900" t="s">
        <v>53</v>
      </c>
      <c r="G1900" t="s">
        <v>75</v>
      </c>
      <c r="H1900" t="s">
        <v>47</v>
      </c>
      <c r="I1900" t="s">
        <v>97</v>
      </c>
      <c r="J1900" t="s">
        <v>116</v>
      </c>
      <c r="K1900">
        <v>6</v>
      </c>
      <c r="L1900" s="2">
        <v>281.38</v>
      </c>
      <c r="M1900" s="3">
        <v>0.1</v>
      </c>
      <c r="N1900" s="2">
        <v>1519.45</v>
      </c>
      <c r="O1900" s="2">
        <v>1209.1500000000001</v>
      </c>
      <c r="P1900" s="2">
        <v>310.3</v>
      </c>
      <c r="Q1900" t="s">
        <v>26</v>
      </c>
    </row>
    <row r="1901" spans="1:17" x14ac:dyDescent="0.2">
      <c r="A1901" t="s">
        <v>2066</v>
      </c>
      <c r="B1901" s="1">
        <v>45890</v>
      </c>
      <c r="C1901" t="s">
        <v>77</v>
      </c>
      <c r="D1901" t="s">
        <v>95</v>
      </c>
      <c r="E1901" t="s">
        <v>300</v>
      </c>
      <c r="F1901" t="s">
        <v>46</v>
      </c>
      <c r="G1901" t="s">
        <v>75</v>
      </c>
      <c r="H1901" t="s">
        <v>23</v>
      </c>
      <c r="I1901" t="s">
        <v>24</v>
      </c>
      <c r="J1901" t="s">
        <v>108</v>
      </c>
      <c r="K1901">
        <v>10</v>
      </c>
      <c r="L1901" s="2">
        <v>27.45</v>
      </c>
      <c r="M1901" s="3">
        <v>0.1</v>
      </c>
      <c r="N1901" s="2">
        <v>247.05</v>
      </c>
      <c r="O1901" s="2">
        <v>178.31</v>
      </c>
      <c r="P1901" s="2">
        <v>68.739999999999995</v>
      </c>
      <c r="Q1901" t="s">
        <v>26</v>
      </c>
    </row>
    <row r="1902" spans="1:17" x14ac:dyDescent="0.2">
      <c r="A1902" t="s">
        <v>2067</v>
      </c>
      <c r="B1902" s="1">
        <v>45890</v>
      </c>
      <c r="C1902" t="s">
        <v>77</v>
      </c>
      <c r="D1902" t="s">
        <v>106</v>
      </c>
      <c r="E1902" t="s">
        <v>107</v>
      </c>
      <c r="F1902" t="s">
        <v>138</v>
      </c>
      <c r="G1902" t="s">
        <v>75</v>
      </c>
      <c r="H1902" t="s">
        <v>47</v>
      </c>
      <c r="I1902" t="s">
        <v>97</v>
      </c>
      <c r="J1902" t="s">
        <v>116</v>
      </c>
      <c r="K1902">
        <v>2</v>
      </c>
      <c r="L1902" s="2">
        <v>154.97999999999999</v>
      </c>
      <c r="M1902" s="3">
        <v>0.1</v>
      </c>
      <c r="N1902" s="2">
        <v>278.95999999999998</v>
      </c>
      <c r="O1902" s="2">
        <v>164.8</v>
      </c>
      <c r="P1902" s="2">
        <v>114.16</v>
      </c>
      <c r="Q1902" t="s">
        <v>57</v>
      </c>
    </row>
    <row r="1903" spans="1:17" x14ac:dyDescent="0.2">
      <c r="A1903" t="s">
        <v>2068</v>
      </c>
      <c r="B1903" s="1">
        <v>45890</v>
      </c>
      <c r="C1903" t="s">
        <v>36</v>
      </c>
      <c r="D1903" t="s">
        <v>144</v>
      </c>
      <c r="E1903" t="s">
        <v>214</v>
      </c>
      <c r="F1903" t="s">
        <v>46</v>
      </c>
      <c r="G1903" t="s">
        <v>22</v>
      </c>
      <c r="H1903" t="s">
        <v>47</v>
      </c>
      <c r="I1903" t="s">
        <v>141</v>
      </c>
      <c r="J1903" t="s">
        <v>142</v>
      </c>
      <c r="K1903">
        <v>10</v>
      </c>
      <c r="L1903" s="2">
        <v>745.55</v>
      </c>
      <c r="M1903" s="3">
        <v>0.15</v>
      </c>
      <c r="N1903" s="2">
        <v>6337.18</v>
      </c>
      <c r="O1903" s="2">
        <v>4118.67</v>
      </c>
      <c r="P1903" s="2">
        <v>2218.5100000000002</v>
      </c>
      <c r="Q1903" t="s">
        <v>26</v>
      </c>
    </row>
    <row r="1904" spans="1:17" x14ac:dyDescent="0.2">
      <c r="A1904" t="s">
        <v>2069</v>
      </c>
      <c r="B1904" s="1">
        <v>45890</v>
      </c>
      <c r="C1904" t="s">
        <v>36</v>
      </c>
      <c r="D1904" t="s">
        <v>67</v>
      </c>
      <c r="E1904" t="s">
        <v>68</v>
      </c>
      <c r="F1904" t="s">
        <v>71</v>
      </c>
      <c r="G1904" t="s">
        <v>54</v>
      </c>
      <c r="H1904" t="s">
        <v>31</v>
      </c>
      <c r="I1904" t="s">
        <v>112</v>
      </c>
      <c r="J1904" t="s">
        <v>136</v>
      </c>
      <c r="K1904">
        <v>10</v>
      </c>
      <c r="L1904" s="2">
        <v>592.74</v>
      </c>
      <c r="M1904" s="3">
        <v>0</v>
      </c>
      <c r="N1904" s="2">
        <v>5927.4</v>
      </c>
      <c r="O1904" s="2">
        <v>3797.3</v>
      </c>
      <c r="P1904" s="2">
        <v>2130.1</v>
      </c>
      <c r="Q1904" t="s">
        <v>34</v>
      </c>
    </row>
    <row r="1905" spans="1:17" x14ac:dyDescent="0.2">
      <c r="A1905" t="s">
        <v>2070</v>
      </c>
      <c r="B1905" s="1">
        <v>45890</v>
      </c>
      <c r="C1905" t="s">
        <v>43</v>
      </c>
      <c r="D1905" t="s">
        <v>208</v>
      </c>
      <c r="E1905" t="s">
        <v>287</v>
      </c>
      <c r="F1905" t="s">
        <v>71</v>
      </c>
      <c r="G1905" t="s">
        <v>54</v>
      </c>
      <c r="H1905" t="s">
        <v>23</v>
      </c>
      <c r="I1905" t="s">
        <v>24</v>
      </c>
      <c r="J1905" t="s">
        <v>220</v>
      </c>
      <c r="K1905">
        <v>5</v>
      </c>
      <c r="L1905" s="2">
        <v>28.32</v>
      </c>
      <c r="M1905" s="3">
        <v>0</v>
      </c>
      <c r="N1905" s="2">
        <v>141.6</v>
      </c>
      <c r="O1905" s="2">
        <v>113.4</v>
      </c>
      <c r="P1905" s="2">
        <v>28.2</v>
      </c>
      <c r="Q1905" t="s">
        <v>34</v>
      </c>
    </row>
    <row r="1906" spans="1:17" x14ac:dyDescent="0.2">
      <c r="A1906" t="s">
        <v>2071</v>
      </c>
      <c r="B1906" s="1">
        <v>45890</v>
      </c>
      <c r="C1906" t="s">
        <v>77</v>
      </c>
      <c r="D1906" t="s">
        <v>95</v>
      </c>
      <c r="E1906" t="s">
        <v>96</v>
      </c>
      <c r="F1906" t="s">
        <v>71</v>
      </c>
      <c r="G1906" t="s">
        <v>22</v>
      </c>
      <c r="H1906" t="s">
        <v>47</v>
      </c>
      <c r="I1906" t="s">
        <v>89</v>
      </c>
      <c r="J1906" t="s">
        <v>240</v>
      </c>
      <c r="K1906">
        <v>5</v>
      </c>
      <c r="L1906" s="2">
        <v>213.44</v>
      </c>
      <c r="M1906" s="3">
        <v>0.05</v>
      </c>
      <c r="N1906" s="2">
        <v>1013.84</v>
      </c>
      <c r="O1906" s="2">
        <v>829.08</v>
      </c>
      <c r="P1906" s="2">
        <v>184.76</v>
      </c>
      <c r="Q1906" t="s">
        <v>34</v>
      </c>
    </row>
    <row r="1907" spans="1:17" x14ac:dyDescent="0.2">
      <c r="A1907" t="s">
        <v>2072</v>
      </c>
      <c r="B1907" s="1">
        <v>45890</v>
      </c>
      <c r="C1907" t="s">
        <v>77</v>
      </c>
      <c r="D1907" t="s">
        <v>95</v>
      </c>
      <c r="E1907" t="s">
        <v>300</v>
      </c>
      <c r="F1907" t="s">
        <v>53</v>
      </c>
      <c r="G1907" t="s">
        <v>22</v>
      </c>
      <c r="H1907" t="s">
        <v>31</v>
      </c>
      <c r="I1907" t="s">
        <v>64</v>
      </c>
      <c r="J1907" t="s">
        <v>65</v>
      </c>
      <c r="K1907">
        <v>8</v>
      </c>
      <c r="L1907" s="2">
        <v>91.99</v>
      </c>
      <c r="M1907" s="3">
        <v>0</v>
      </c>
      <c r="N1907" s="2">
        <v>735.92</v>
      </c>
      <c r="O1907" s="2">
        <v>561.96</v>
      </c>
      <c r="P1907" s="2">
        <v>173.96</v>
      </c>
      <c r="Q1907" t="s">
        <v>34</v>
      </c>
    </row>
    <row r="1908" spans="1:17" x14ac:dyDescent="0.2">
      <c r="A1908" t="s">
        <v>2073</v>
      </c>
      <c r="B1908" s="1">
        <v>45890</v>
      </c>
      <c r="C1908" t="s">
        <v>43</v>
      </c>
      <c r="D1908" t="s">
        <v>208</v>
      </c>
      <c r="E1908" t="s">
        <v>230</v>
      </c>
      <c r="F1908" t="s">
        <v>53</v>
      </c>
      <c r="G1908" t="s">
        <v>22</v>
      </c>
      <c r="H1908" t="s">
        <v>47</v>
      </c>
      <c r="I1908" t="s">
        <v>141</v>
      </c>
      <c r="J1908" t="s">
        <v>372</v>
      </c>
      <c r="K1908">
        <v>7</v>
      </c>
      <c r="L1908" s="2">
        <v>186.73</v>
      </c>
      <c r="M1908" s="3">
        <v>0</v>
      </c>
      <c r="N1908" s="2">
        <v>1307.1099999999999</v>
      </c>
      <c r="O1908" s="2">
        <v>956.74</v>
      </c>
      <c r="P1908" s="2">
        <v>350.37</v>
      </c>
      <c r="Q1908" t="s">
        <v>61</v>
      </c>
    </row>
    <row r="1909" spans="1:17" x14ac:dyDescent="0.2">
      <c r="A1909" t="s">
        <v>2074</v>
      </c>
      <c r="B1909" s="1">
        <v>45890</v>
      </c>
      <c r="C1909" t="s">
        <v>77</v>
      </c>
      <c r="D1909" t="s">
        <v>95</v>
      </c>
      <c r="E1909" t="s">
        <v>367</v>
      </c>
      <c r="F1909" t="s">
        <v>53</v>
      </c>
      <c r="G1909" t="s">
        <v>22</v>
      </c>
      <c r="H1909" t="s">
        <v>23</v>
      </c>
      <c r="I1909" t="s">
        <v>79</v>
      </c>
      <c r="J1909" t="s">
        <v>179</v>
      </c>
      <c r="K1909">
        <v>7</v>
      </c>
      <c r="L1909" s="2">
        <v>406.82</v>
      </c>
      <c r="M1909" s="3">
        <v>0.1</v>
      </c>
      <c r="N1909" s="2">
        <v>2562.9699999999998</v>
      </c>
      <c r="O1909" s="2">
        <v>2025.26</v>
      </c>
      <c r="P1909" s="2">
        <v>537.71</v>
      </c>
      <c r="Q1909" t="s">
        <v>26</v>
      </c>
    </row>
    <row r="1910" spans="1:17" x14ac:dyDescent="0.2">
      <c r="A1910" t="s">
        <v>2075</v>
      </c>
      <c r="B1910" s="1">
        <v>45891</v>
      </c>
      <c r="C1910" t="s">
        <v>36</v>
      </c>
      <c r="D1910" t="s">
        <v>110</v>
      </c>
      <c r="E1910" t="s">
        <v>203</v>
      </c>
      <c r="F1910" t="s">
        <v>46</v>
      </c>
      <c r="G1910" t="s">
        <v>54</v>
      </c>
      <c r="H1910" t="s">
        <v>47</v>
      </c>
      <c r="I1910" t="s">
        <v>48</v>
      </c>
      <c r="J1910" t="s">
        <v>164</v>
      </c>
      <c r="K1910">
        <v>10</v>
      </c>
      <c r="L1910" s="2">
        <v>729.56</v>
      </c>
      <c r="M1910" s="3">
        <v>0.1</v>
      </c>
      <c r="N1910" s="2">
        <v>6566.04</v>
      </c>
      <c r="O1910" s="2">
        <v>4900.6899999999996</v>
      </c>
      <c r="P1910" s="2">
        <v>1665.35</v>
      </c>
      <c r="Q1910" t="s">
        <v>26</v>
      </c>
    </row>
    <row r="1911" spans="1:17" x14ac:dyDescent="0.2">
      <c r="A1911" t="s">
        <v>2076</v>
      </c>
      <c r="B1911" s="1">
        <v>45891</v>
      </c>
      <c r="C1911" t="s">
        <v>77</v>
      </c>
      <c r="D1911" t="s">
        <v>128</v>
      </c>
      <c r="E1911" t="s">
        <v>159</v>
      </c>
      <c r="F1911" t="s">
        <v>138</v>
      </c>
      <c r="G1911" t="s">
        <v>75</v>
      </c>
      <c r="H1911" t="s">
        <v>31</v>
      </c>
      <c r="I1911" t="s">
        <v>64</v>
      </c>
      <c r="J1911" t="s">
        <v>65</v>
      </c>
      <c r="K1911">
        <v>3</v>
      </c>
      <c r="L1911" s="2">
        <v>101.27</v>
      </c>
      <c r="M1911" s="3">
        <v>0.05</v>
      </c>
      <c r="N1911" s="2">
        <v>288.62</v>
      </c>
      <c r="O1911" s="2">
        <v>197.38</v>
      </c>
      <c r="P1911" s="2">
        <v>91.24</v>
      </c>
      <c r="Q1911" t="s">
        <v>57</v>
      </c>
    </row>
    <row r="1912" spans="1:17" x14ac:dyDescent="0.2">
      <c r="A1912" t="s">
        <v>2077</v>
      </c>
      <c r="B1912" s="1">
        <v>45891</v>
      </c>
      <c r="C1912" t="s">
        <v>43</v>
      </c>
      <c r="D1912" t="s">
        <v>208</v>
      </c>
      <c r="E1912" t="s">
        <v>230</v>
      </c>
      <c r="F1912" t="s">
        <v>39</v>
      </c>
      <c r="G1912" t="s">
        <v>22</v>
      </c>
      <c r="H1912" t="s">
        <v>31</v>
      </c>
      <c r="I1912" t="s">
        <v>40</v>
      </c>
      <c r="J1912" t="s">
        <v>41</v>
      </c>
      <c r="K1912">
        <v>3</v>
      </c>
      <c r="L1912" s="2">
        <v>189.88</v>
      </c>
      <c r="M1912" s="3">
        <v>0.05</v>
      </c>
      <c r="N1912" s="2">
        <v>541.16</v>
      </c>
      <c r="O1912" s="2">
        <v>406.07</v>
      </c>
      <c r="P1912" s="2">
        <v>135.09</v>
      </c>
      <c r="Q1912" t="s">
        <v>26</v>
      </c>
    </row>
    <row r="1913" spans="1:17" x14ac:dyDescent="0.2">
      <c r="A1913" t="s">
        <v>2078</v>
      </c>
      <c r="B1913" s="1">
        <v>45891</v>
      </c>
      <c r="C1913" t="s">
        <v>36</v>
      </c>
      <c r="D1913" t="s">
        <v>144</v>
      </c>
      <c r="E1913" t="s">
        <v>232</v>
      </c>
      <c r="F1913" t="s">
        <v>60</v>
      </c>
      <c r="G1913" t="s">
        <v>75</v>
      </c>
      <c r="H1913" t="s">
        <v>47</v>
      </c>
      <c r="I1913" t="s">
        <v>141</v>
      </c>
      <c r="J1913" t="s">
        <v>142</v>
      </c>
      <c r="K1913">
        <v>2</v>
      </c>
      <c r="L1913" s="2">
        <v>282.95</v>
      </c>
      <c r="M1913" s="3">
        <v>0.15</v>
      </c>
      <c r="N1913" s="2">
        <v>481.02</v>
      </c>
      <c r="O1913" s="2">
        <v>358.93</v>
      </c>
      <c r="P1913" s="2">
        <v>122.09</v>
      </c>
      <c r="Q1913" t="s">
        <v>57</v>
      </c>
    </row>
    <row r="1914" spans="1:17" x14ac:dyDescent="0.2">
      <c r="A1914" t="s">
        <v>2079</v>
      </c>
      <c r="B1914" s="1">
        <v>45891</v>
      </c>
      <c r="C1914" t="s">
        <v>43</v>
      </c>
      <c r="D1914" t="s">
        <v>208</v>
      </c>
      <c r="E1914" t="s">
        <v>287</v>
      </c>
      <c r="F1914" t="s">
        <v>46</v>
      </c>
      <c r="G1914" t="s">
        <v>22</v>
      </c>
      <c r="H1914" t="s">
        <v>31</v>
      </c>
      <c r="I1914" t="s">
        <v>64</v>
      </c>
      <c r="J1914" t="s">
        <v>65</v>
      </c>
      <c r="K1914">
        <v>3</v>
      </c>
      <c r="L1914" s="2">
        <v>62.96</v>
      </c>
      <c r="M1914" s="3">
        <v>0.2</v>
      </c>
      <c r="N1914" s="2">
        <v>151.1</v>
      </c>
      <c r="O1914" s="2">
        <v>106.31</v>
      </c>
      <c r="P1914" s="2">
        <v>44.79</v>
      </c>
      <c r="Q1914" t="s">
        <v>26</v>
      </c>
    </row>
    <row r="1915" spans="1:17" x14ac:dyDescent="0.2">
      <c r="A1915" t="s">
        <v>2080</v>
      </c>
      <c r="B1915" s="1">
        <v>45891</v>
      </c>
      <c r="C1915" t="s">
        <v>18</v>
      </c>
      <c r="D1915" t="s">
        <v>133</v>
      </c>
      <c r="E1915" t="s">
        <v>197</v>
      </c>
      <c r="F1915" t="s">
        <v>53</v>
      </c>
      <c r="G1915" t="s">
        <v>75</v>
      </c>
      <c r="H1915" t="s">
        <v>31</v>
      </c>
      <c r="I1915" t="s">
        <v>40</v>
      </c>
      <c r="J1915" t="s">
        <v>122</v>
      </c>
      <c r="K1915">
        <v>9</v>
      </c>
      <c r="L1915" s="2">
        <v>230.94</v>
      </c>
      <c r="M1915" s="3">
        <v>0.1</v>
      </c>
      <c r="N1915" s="2">
        <v>1870.61</v>
      </c>
      <c r="O1915" s="2">
        <v>1290.98</v>
      </c>
      <c r="P1915" s="2">
        <v>579.63</v>
      </c>
      <c r="Q1915" t="s">
        <v>61</v>
      </c>
    </row>
    <row r="1916" spans="1:17" x14ac:dyDescent="0.2">
      <c r="A1916" t="s">
        <v>2081</v>
      </c>
      <c r="B1916" s="1">
        <v>45891</v>
      </c>
      <c r="C1916" t="s">
        <v>36</v>
      </c>
      <c r="D1916" t="s">
        <v>67</v>
      </c>
      <c r="E1916" t="s">
        <v>68</v>
      </c>
      <c r="F1916" t="s">
        <v>130</v>
      </c>
      <c r="G1916" t="s">
        <v>22</v>
      </c>
      <c r="H1916" t="s">
        <v>31</v>
      </c>
      <c r="I1916" t="s">
        <v>40</v>
      </c>
      <c r="J1916" t="s">
        <v>122</v>
      </c>
      <c r="K1916">
        <v>1</v>
      </c>
      <c r="L1916" s="2">
        <v>181.96</v>
      </c>
      <c r="M1916" s="3">
        <v>0.1</v>
      </c>
      <c r="N1916" s="2">
        <v>163.76</v>
      </c>
      <c r="O1916" s="2">
        <v>114.01</v>
      </c>
      <c r="P1916" s="2">
        <v>49.75</v>
      </c>
      <c r="Q1916" t="s">
        <v>26</v>
      </c>
    </row>
    <row r="1917" spans="1:17" x14ac:dyDescent="0.2">
      <c r="A1917" t="s">
        <v>2082</v>
      </c>
      <c r="B1917" s="1">
        <v>45891</v>
      </c>
      <c r="C1917" t="s">
        <v>18</v>
      </c>
      <c r="D1917" t="s">
        <v>133</v>
      </c>
      <c r="E1917" t="s">
        <v>197</v>
      </c>
      <c r="F1917" t="s">
        <v>53</v>
      </c>
      <c r="G1917" t="s">
        <v>75</v>
      </c>
      <c r="H1917" t="s">
        <v>23</v>
      </c>
      <c r="I1917" t="s">
        <v>83</v>
      </c>
      <c r="J1917" t="s">
        <v>120</v>
      </c>
      <c r="K1917">
        <v>7</v>
      </c>
      <c r="L1917" s="2">
        <v>34.57</v>
      </c>
      <c r="M1917" s="3">
        <v>0.15</v>
      </c>
      <c r="N1917" s="2">
        <v>205.69</v>
      </c>
      <c r="O1917" s="2">
        <v>120.35</v>
      </c>
      <c r="P1917" s="2">
        <v>85.34</v>
      </c>
      <c r="Q1917" t="s">
        <v>57</v>
      </c>
    </row>
    <row r="1918" spans="1:17" x14ac:dyDescent="0.2">
      <c r="A1918" t="s">
        <v>2083</v>
      </c>
      <c r="B1918" s="1">
        <v>45891</v>
      </c>
      <c r="C1918" t="s">
        <v>36</v>
      </c>
      <c r="D1918" t="s">
        <v>144</v>
      </c>
      <c r="E1918" t="s">
        <v>214</v>
      </c>
      <c r="F1918" t="s">
        <v>39</v>
      </c>
      <c r="G1918" t="s">
        <v>75</v>
      </c>
      <c r="H1918" t="s">
        <v>31</v>
      </c>
      <c r="I1918" t="s">
        <v>32</v>
      </c>
      <c r="J1918" t="s">
        <v>258</v>
      </c>
      <c r="K1918">
        <v>7</v>
      </c>
      <c r="L1918" s="2">
        <v>1792.18</v>
      </c>
      <c r="M1918" s="3">
        <v>0.15</v>
      </c>
      <c r="N1918" s="2">
        <v>10663.47</v>
      </c>
      <c r="O1918" s="2">
        <v>6008.54</v>
      </c>
      <c r="P1918" s="2">
        <v>4654.93</v>
      </c>
      <c r="Q1918" t="s">
        <v>26</v>
      </c>
    </row>
    <row r="1919" spans="1:17" x14ac:dyDescent="0.2">
      <c r="A1919" t="s">
        <v>2084</v>
      </c>
      <c r="B1919" s="1">
        <v>45891</v>
      </c>
      <c r="C1919" t="s">
        <v>18</v>
      </c>
      <c r="D1919" t="s">
        <v>152</v>
      </c>
      <c r="E1919" t="s">
        <v>153</v>
      </c>
      <c r="F1919" t="s">
        <v>60</v>
      </c>
      <c r="G1919" t="s">
        <v>75</v>
      </c>
      <c r="H1919" t="s">
        <v>47</v>
      </c>
      <c r="I1919" t="s">
        <v>89</v>
      </c>
      <c r="J1919" t="s">
        <v>240</v>
      </c>
      <c r="K1919">
        <v>3</v>
      </c>
      <c r="L1919" s="2">
        <v>462.63</v>
      </c>
      <c r="M1919" s="3">
        <v>0.05</v>
      </c>
      <c r="N1919" s="2">
        <v>1318.5</v>
      </c>
      <c r="O1919" s="2">
        <v>1009.35</v>
      </c>
      <c r="P1919" s="2">
        <v>309.14999999999998</v>
      </c>
      <c r="Q1919" t="s">
        <v>61</v>
      </c>
    </row>
    <row r="1920" spans="1:17" x14ac:dyDescent="0.2">
      <c r="A1920" t="s">
        <v>2085</v>
      </c>
      <c r="B1920" s="1">
        <v>45891</v>
      </c>
      <c r="C1920" t="s">
        <v>18</v>
      </c>
      <c r="D1920" t="s">
        <v>133</v>
      </c>
      <c r="E1920" t="s">
        <v>197</v>
      </c>
      <c r="F1920" t="s">
        <v>39</v>
      </c>
      <c r="G1920" t="s">
        <v>75</v>
      </c>
      <c r="H1920" t="s">
        <v>31</v>
      </c>
      <c r="I1920" t="s">
        <v>112</v>
      </c>
      <c r="J1920" t="s">
        <v>136</v>
      </c>
      <c r="K1920">
        <v>8</v>
      </c>
      <c r="L1920" s="2">
        <v>654.79999999999995</v>
      </c>
      <c r="M1920" s="3">
        <v>0.2</v>
      </c>
      <c r="N1920" s="2">
        <v>4190.72</v>
      </c>
      <c r="O1920" s="2">
        <v>2549.0700000000002</v>
      </c>
      <c r="P1920" s="2">
        <v>1641.65</v>
      </c>
      <c r="Q1920" t="s">
        <v>57</v>
      </c>
    </row>
    <row r="1921" spans="1:17" x14ac:dyDescent="0.2">
      <c r="A1921" t="s">
        <v>2086</v>
      </c>
      <c r="B1921" s="1">
        <v>45891</v>
      </c>
      <c r="C1921" t="s">
        <v>18</v>
      </c>
      <c r="D1921" t="s">
        <v>28</v>
      </c>
      <c r="E1921" t="s">
        <v>29</v>
      </c>
      <c r="F1921" t="s">
        <v>60</v>
      </c>
      <c r="G1921" t="s">
        <v>22</v>
      </c>
      <c r="H1921" t="s">
        <v>31</v>
      </c>
      <c r="I1921" t="s">
        <v>112</v>
      </c>
      <c r="J1921" t="s">
        <v>136</v>
      </c>
      <c r="K1921">
        <v>6</v>
      </c>
      <c r="L1921" s="2">
        <v>549.13</v>
      </c>
      <c r="M1921" s="3">
        <v>0.1</v>
      </c>
      <c r="N1921" s="2">
        <v>2965.3</v>
      </c>
      <c r="O1921" s="2">
        <v>1672.92</v>
      </c>
      <c r="P1921" s="2">
        <v>1292.3800000000001</v>
      </c>
      <c r="Q1921" t="s">
        <v>61</v>
      </c>
    </row>
    <row r="1922" spans="1:17" x14ac:dyDescent="0.2">
      <c r="A1922" t="s">
        <v>2087</v>
      </c>
      <c r="B1922" s="1">
        <v>45892</v>
      </c>
      <c r="C1922" t="s">
        <v>36</v>
      </c>
      <c r="D1922" t="s">
        <v>73</v>
      </c>
      <c r="E1922" t="s">
        <v>247</v>
      </c>
      <c r="F1922" t="s">
        <v>71</v>
      </c>
      <c r="G1922" t="s">
        <v>75</v>
      </c>
      <c r="H1922" t="s">
        <v>31</v>
      </c>
      <c r="I1922" t="s">
        <v>32</v>
      </c>
      <c r="J1922" t="s">
        <v>33</v>
      </c>
      <c r="K1922">
        <v>1</v>
      </c>
      <c r="L1922" s="2">
        <v>1287.96</v>
      </c>
      <c r="M1922" s="3">
        <v>0.05</v>
      </c>
      <c r="N1922" s="2">
        <v>1223.56</v>
      </c>
      <c r="O1922" s="2">
        <v>674.75</v>
      </c>
      <c r="P1922" s="2">
        <v>548.80999999999995</v>
      </c>
      <c r="Q1922" t="s">
        <v>57</v>
      </c>
    </row>
    <row r="1923" spans="1:17" x14ac:dyDescent="0.2">
      <c r="A1923" t="s">
        <v>2088</v>
      </c>
      <c r="B1923" s="1">
        <v>45892</v>
      </c>
      <c r="C1923" t="s">
        <v>18</v>
      </c>
      <c r="D1923" t="s">
        <v>86</v>
      </c>
      <c r="E1923" t="s">
        <v>87</v>
      </c>
      <c r="F1923" t="s">
        <v>60</v>
      </c>
      <c r="G1923" t="s">
        <v>22</v>
      </c>
      <c r="H1923" t="s">
        <v>23</v>
      </c>
      <c r="I1923" t="s">
        <v>24</v>
      </c>
      <c r="J1923" t="s">
        <v>220</v>
      </c>
      <c r="K1923">
        <v>10</v>
      </c>
      <c r="L1923" s="2">
        <v>22.22</v>
      </c>
      <c r="M1923" s="3">
        <v>0.15</v>
      </c>
      <c r="N1923" s="2">
        <v>188.87</v>
      </c>
      <c r="O1923" s="2">
        <v>105.2</v>
      </c>
      <c r="P1923" s="2">
        <v>83.67</v>
      </c>
      <c r="Q1923" t="s">
        <v>57</v>
      </c>
    </row>
    <row r="1924" spans="1:17" x14ac:dyDescent="0.2">
      <c r="A1924" t="s">
        <v>2089</v>
      </c>
      <c r="B1924" s="1">
        <v>45892</v>
      </c>
      <c r="C1924" t="s">
        <v>18</v>
      </c>
      <c r="D1924" t="s">
        <v>152</v>
      </c>
      <c r="E1924" t="s">
        <v>185</v>
      </c>
      <c r="F1924" t="s">
        <v>30</v>
      </c>
      <c r="G1924" t="s">
        <v>75</v>
      </c>
      <c r="H1924" t="s">
        <v>23</v>
      </c>
      <c r="I1924" t="s">
        <v>55</v>
      </c>
      <c r="J1924" t="s">
        <v>56</v>
      </c>
      <c r="K1924">
        <v>2</v>
      </c>
      <c r="L1924" s="2">
        <v>5.19</v>
      </c>
      <c r="M1924" s="3">
        <v>0.15</v>
      </c>
      <c r="N1924" s="2">
        <v>8.82</v>
      </c>
      <c r="O1924" s="2">
        <v>5.6</v>
      </c>
      <c r="P1924" s="2">
        <v>3.22</v>
      </c>
      <c r="Q1924" t="s">
        <v>34</v>
      </c>
    </row>
    <row r="1925" spans="1:17" x14ac:dyDescent="0.2">
      <c r="A1925" t="s">
        <v>2090</v>
      </c>
      <c r="B1925" s="1">
        <v>45892</v>
      </c>
      <c r="C1925" t="s">
        <v>77</v>
      </c>
      <c r="D1925" t="s">
        <v>149</v>
      </c>
      <c r="E1925" t="s">
        <v>150</v>
      </c>
      <c r="F1925" t="s">
        <v>39</v>
      </c>
      <c r="G1925" t="s">
        <v>22</v>
      </c>
      <c r="H1925" t="s">
        <v>31</v>
      </c>
      <c r="I1925" t="s">
        <v>32</v>
      </c>
      <c r="J1925" t="s">
        <v>104</v>
      </c>
      <c r="K1925">
        <v>6</v>
      </c>
      <c r="L1925" s="2">
        <v>679.73</v>
      </c>
      <c r="M1925" s="3">
        <v>0.05</v>
      </c>
      <c r="N1925" s="2">
        <v>3874.46</v>
      </c>
      <c r="O1925" s="2">
        <v>2221.67</v>
      </c>
      <c r="P1925" s="2">
        <v>1652.79</v>
      </c>
      <c r="Q1925" t="s">
        <v>34</v>
      </c>
    </row>
    <row r="1926" spans="1:17" x14ac:dyDescent="0.2">
      <c r="A1926" t="s">
        <v>2091</v>
      </c>
      <c r="B1926" s="1">
        <v>45893</v>
      </c>
      <c r="C1926" t="s">
        <v>43</v>
      </c>
      <c r="D1926" t="s">
        <v>44</v>
      </c>
      <c r="E1926" t="s">
        <v>82</v>
      </c>
      <c r="F1926" t="s">
        <v>138</v>
      </c>
      <c r="G1926" t="s">
        <v>54</v>
      </c>
      <c r="H1926" t="s">
        <v>31</v>
      </c>
      <c r="I1926" t="s">
        <v>112</v>
      </c>
      <c r="J1926" t="s">
        <v>136</v>
      </c>
      <c r="K1926">
        <v>10</v>
      </c>
      <c r="L1926" s="2">
        <v>180.07</v>
      </c>
      <c r="M1926" s="3">
        <v>0.2</v>
      </c>
      <c r="N1926" s="2">
        <v>1440.56</v>
      </c>
      <c r="O1926" s="2">
        <v>918.31</v>
      </c>
      <c r="P1926" s="2">
        <v>522.25</v>
      </c>
      <c r="Q1926" t="s">
        <v>57</v>
      </c>
    </row>
    <row r="1927" spans="1:17" x14ac:dyDescent="0.2">
      <c r="A1927" t="s">
        <v>2092</v>
      </c>
      <c r="B1927" s="1">
        <v>45893</v>
      </c>
      <c r="C1927" t="s">
        <v>18</v>
      </c>
      <c r="D1927" t="s">
        <v>28</v>
      </c>
      <c r="E1927" t="s">
        <v>29</v>
      </c>
      <c r="F1927" t="s">
        <v>130</v>
      </c>
      <c r="G1927" t="s">
        <v>75</v>
      </c>
      <c r="H1927" t="s">
        <v>31</v>
      </c>
      <c r="I1927" t="s">
        <v>112</v>
      </c>
      <c r="J1927" t="s">
        <v>176</v>
      </c>
      <c r="K1927">
        <v>3</v>
      </c>
      <c r="L1927" s="2">
        <v>565.55999999999995</v>
      </c>
      <c r="M1927" s="3">
        <v>0</v>
      </c>
      <c r="N1927" s="2">
        <v>1696.68</v>
      </c>
      <c r="O1927" s="2">
        <v>1194.4000000000001</v>
      </c>
      <c r="P1927" s="2">
        <v>502.28</v>
      </c>
      <c r="Q1927" t="s">
        <v>26</v>
      </c>
    </row>
    <row r="1928" spans="1:17" x14ac:dyDescent="0.2">
      <c r="A1928" t="s">
        <v>2093</v>
      </c>
      <c r="B1928" s="1">
        <v>45893</v>
      </c>
      <c r="C1928" t="s">
        <v>77</v>
      </c>
      <c r="D1928" t="s">
        <v>149</v>
      </c>
      <c r="E1928" t="s">
        <v>206</v>
      </c>
      <c r="F1928" t="s">
        <v>138</v>
      </c>
      <c r="G1928" t="s">
        <v>75</v>
      </c>
      <c r="H1928" t="s">
        <v>23</v>
      </c>
      <c r="I1928" t="s">
        <v>24</v>
      </c>
      <c r="J1928" t="s">
        <v>108</v>
      </c>
      <c r="K1928">
        <v>8</v>
      </c>
      <c r="L1928" s="2">
        <v>22.09</v>
      </c>
      <c r="M1928" s="3">
        <v>0.05</v>
      </c>
      <c r="N1928" s="2">
        <v>167.88</v>
      </c>
      <c r="O1928" s="2">
        <v>106.57</v>
      </c>
      <c r="P1928" s="2">
        <v>61.31</v>
      </c>
      <c r="Q1928" t="s">
        <v>61</v>
      </c>
    </row>
    <row r="1929" spans="1:17" x14ac:dyDescent="0.2">
      <c r="A1929" t="s">
        <v>2094</v>
      </c>
      <c r="B1929" s="1">
        <v>45893</v>
      </c>
      <c r="C1929" t="s">
        <v>77</v>
      </c>
      <c r="D1929" t="s">
        <v>106</v>
      </c>
      <c r="E1929" t="s">
        <v>303</v>
      </c>
      <c r="F1929" t="s">
        <v>138</v>
      </c>
      <c r="G1929" t="s">
        <v>22</v>
      </c>
      <c r="H1929" t="s">
        <v>31</v>
      </c>
      <c r="I1929" t="s">
        <v>64</v>
      </c>
      <c r="J1929" t="s">
        <v>252</v>
      </c>
      <c r="K1929">
        <v>10</v>
      </c>
      <c r="L1929" s="2">
        <v>51.09</v>
      </c>
      <c r="M1929" s="3">
        <v>0</v>
      </c>
      <c r="N1929" s="2">
        <v>510.9</v>
      </c>
      <c r="O1929" s="2">
        <v>333.36</v>
      </c>
      <c r="P1929" s="2">
        <v>177.54</v>
      </c>
      <c r="Q1929" t="s">
        <v>34</v>
      </c>
    </row>
    <row r="1930" spans="1:17" x14ac:dyDescent="0.2">
      <c r="A1930" t="s">
        <v>2095</v>
      </c>
      <c r="B1930" s="1">
        <v>45894</v>
      </c>
      <c r="C1930" t="s">
        <v>43</v>
      </c>
      <c r="D1930" t="s">
        <v>208</v>
      </c>
      <c r="E1930" t="s">
        <v>230</v>
      </c>
      <c r="F1930" t="s">
        <v>46</v>
      </c>
      <c r="G1930" t="s">
        <v>22</v>
      </c>
      <c r="H1930" t="s">
        <v>31</v>
      </c>
      <c r="I1930" t="s">
        <v>40</v>
      </c>
      <c r="J1930" t="s">
        <v>41</v>
      </c>
      <c r="K1930">
        <v>8</v>
      </c>
      <c r="L1930" s="2">
        <v>146.06</v>
      </c>
      <c r="M1930" s="3">
        <v>0.15</v>
      </c>
      <c r="N1930" s="2">
        <v>993.21</v>
      </c>
      <c r="O1930" s="2">
        <v>596.86</v>
      </c>
      <c r="P1930" s="2">
        <v>396.35</v>
      </c>
      <c r="Q1930" t="s">
        <v>34</v>
      </c>
    </row>
    <row r="1931" spans="1:17" x14ac:dyDescent="0.2">
      <c r="A1931" t="s">
        <v>2096</v>
      </c>
      <c r="B1931" s="1">
        <v>45894</v>
      </c>
      <c r="C1931" t="s">
        <v>43</v>
      </c>
      <c r="D1931" t="s">
        <v>51</v>
      </c>
      <c r="E1931" t="s">
        <v>63</v>
      </c>
      <c r="F1931" t="s">
        <v>21</v>
      </c>
      <c r="G1931" t="s">
        <v>54</v>
      </c>
      <c r="H1931" t="s">
        <v>31</v>
      </c>
      <c r="I1931" t="s">
        <v>64</v>
      </c>
      <c r="J1931" t="s">
        <v>252</v>
      </c>
      <c r="K1931">
        <v>7</v>
      </c>
      <c r="L1931" s="2">
        <v>138.76</v>
      </c>
      <c r="M1931" s="3">
        <v>0</v>
      </c>
      <c r="N1931" s="2">
        <v>971.32</v>
      </c>
      <c r="O1931" s="2">
        <v>733.96</v>
      </c>
      <c r="P1931" s="2">
        <v>237.36</v>
      </c>
      <c r="Q1931" t="s">
        <v>57</v>
      </c>
    </row>
    <row r="1932" spans="1:17" x14ac:dyDescent="0.2">
      <c r="A1932" t="s">
        <v>2097</v>
      </c>
      <c r="B1932" s="1">
        <v>45894</v>
      </c>
      <c r="C1932" t="s">
        <v>18</v>
      </c>
      <c r="D1932" t="s">
        <v>19</v>
      </c>
      <c r="E1932" t="s">
        <v>100</v>
      </c>
      <c r="F1932" t="s">
        <v>60</v>
      </c>
      <c r="G1932" t="s">
        <v>22</v>
      </c>
      <c r="H1932" t="s">
        <v>31</v>
      </c>
      <c r="I1932" t="s">
        <v>112</v>
      </c>
      <c r="J1932" t="s">
        <v>113</v>
      </c>
      <c r="K1932">
        <v>10</v>
      </c>
      <c r="L1932" s="2">
        <v>639.98</v>
      </c>
      <c r="M1932" s="3">
        <v>0</v>
      </c>
      <c r="N1932" s="2">
        <v>6399.8</v>
      </c>
      <c r="O1932" s="2">
        <v>4722.26</v>
      </c>
      <c r="P1932" s="2">
        <v>1677.54</v>
      </c>
      <c r="Q1932" t="s">
        <v>61</v>
      </c>
    </row>
    <row r="1933" spans="1:17" x14ac:dyDescent="0.2">
      <c r="A1933" t="s">
        <v>2098</v>
      </c>
      <c r="B1933" s="1">
        <v>45894</v>
      </c>
      <c r="C1933" t="s">
        <v>36</v>
      </c>
      <c r="D1933" t="s">
        <v>110</v>
      </c>
      <c r="E1933" t="s">
        <v>111</v>
      </c>
      <c r="F1933" t="s">
        <v>30</v>
      </c>
      <c r="G1933" t="s">
        <v>22</v>
      </c>
      <c r="H1933" t="s">
        <v>23</v>
      </c>
      <c r="I1933" t="s">
        <v>79</v>
      </c>
      <c r="J1933" t="s">
        <v>233</v>
      </c>
      <c r="K1933">
        <v>4</v>
      </c>
      <c r="L1933" s="2">
        <v>458.13</v>
      </c>
      <c r="M1933" s="3">
        <v>0.15</v>
      </c>
      <c r="N1933" s="2">
        <v>1557.64</v>
      </c>
      <c r="O1933" s="2">
        <v>1253.52</v>
      </c>
      <c r="P1933" s="2">
        <v>304.12</v>
      </c>
      <c r="Q1933" t="s">
        <v>61</v>
      </c>
    </row>
    <row r="1934" spans="1:17" x14ac:dyDescent="0.2">
      <c r="A1934" t="s">
        <v>2099</v>
      </c>
      <c r="B1934" s="1">
        <v>45894</v>
      </c>
      <c r="C1934" t="s">
        <v>43</v>
      </c>
      <c r="D1934" t="s">
        <v>44</v>
      </c>
      <c r="E1934" t="s">
        <v>45</v>
      </c>
      <c r="F1934" t="s">
        <v>69</v>
      </c>
      <c r="G1934" t="s">
        <v>54</v>
      </c>
      <c r="H1934" t="s">
        <v>31</v>
      </c>
      <c r="I1934" t="s">
        <v>64</v>
      </c>
      <c r="J1934" t="s">
        <v>126</v>
      </c>
      <c r="K1934">
        <v>7</v>
      </c>
      <c r="L1934" s="2">
        <v>72.63</v>
      </c>
      <c r="M1934" s="3">
        <v>0.1</v>
      </c>
      <c r="N1934" s="2">
        <v>457.57</v>
      </c>
      <c r="O1934" s="2">
        <v>296.14</v>
      </c>
      <c r="P1934" s="2">
        <v>161.43</v>
      </c>
      <c r="Q1934" t="s">
        <v>57</v>
      </c>
    </row>
    <row r="1935" spans="1:17" x14ac:dyDescent="0.2">
      <c r="A1935" t="s">
        <v>2100</v>
      </c>
      <c r="B1935" s="1">
        <v>45894</v>
      </c>
      <c r="C1935" t="s">
        <v>43</v>
      </c>
      <c r="D1935" t="s">
        <v>244</v>
      </c>
      <c r="E1935" t="s">
        <v>300</v>
      </c>
      <c r="F1935" t="s">
        <v>53</v>
      </c>
      <c r="G1935" t="s">
        <v>22</v>
      </c>
      <c r="H1935" t="s">
        <v>23</v>
      </c>
      <c r="I1935" t="s">
        <v>24</v>
      </c>
      <c r="J1935" t="s">
        <v>25</v>
      </c>
      <c r="K1935">
        <v>1</v>
      </c>
      <c r="L1935" s="2">
        <v>17.899999999999999</v>
      </c>
      <c r="M1935" s="3">
        <v>0</v>
      </c>
      <c r="N1935" s="2">
        <v>17.899999999999999</v>
      </c>
      <c r="O1935" s="2">
        <v>11.12</v>
      </c>
      <c r="P1935" s="2">
        <v>6.78</v>
      </c>
      <c r="Q1935" t="s">
        <v>34</v>
      </c>
    </row>
    <row r="1936" spans="1:17" x14ac:dyDescent="0.2">
      <c r="A1936" t="s">
        <v>2101</v>
      </c>
      <c r="B1936" s="1">
        <v>45894</v>
      </c>
      <c r="C1936" t="s">
        <v>36</v>
      </c>
      <c r="D1936" t="s">
        <v>67</v>
      </c>
      <c r="E1936" t="s">
        <v>68</v>
      </c>
      <c r="F1936" t="s">
        <v>138</v>
      </c>
      <c r="G1936" t="s">
        <v>75</v>
      </c>
      <c r="H1936" t="s">
        <v>23</v>
      </c>
      <c r="I1936" t="s">
        <v>79</v>
      </c>
      <c r="J1936" t="s">
        <v>80</v>
      </c>
      <c r="K1936">
        <v>8</v>
      </c>
      <c r="L1936" s="2">
        <v>349</v>
      </c>
      <c r="M1936" s="3">
        <v>0.05</v>
      </c>
      <c r="N1936" s="2">
        <v>2652.4</v>
      </c>
      <c r="O1936" s="2">
        <v>2031.39</v>
      </c>
      <c r="P1936" s="2">
        <v>621.01</v>
      </c>
      <c r="Q1936" t="s">
        <v>57</v>
      </c>
    </row>
    <row r="1937" spans="1:17" x14ac:dyDescent="0.2">
      <c r="A1937" t="s">
        <v>2102</v>
      </c>
      <c r="B1937" s="1">
        <v>45894</v>
      </c>
      <c r="C1937" t="s">
        <v>77</v>
      </c>
      <c r="D1937" t="s">
        <v>106</v>
      </c>
      <c r="E1937" t="s">
        <v>303</v>
      </c>
      <c r="F1937" t="s">
        <v>69</v>
      </c>
      <c r="G1937" t="s">
        <v>54</v>
      </c>
      <c r="H1937" t="s">
        <v>47</v>
      </c>
      <c r="I1937" t="s">
        <v>89</v>
      </c>
      <c r="J1937" t="s">
        <v>90</v>
      </c>
      <c r="K1937">
        <v>3</v>
      </c>
      <c r="L1937" s="2">
        <v>422.63</v>
      </c>
      <c r="M1937" s="3">
        <v>0</v>
      </c>
      <c r="N1937" s="2">
        <v>1267.8900000000001</v>
      </c>
      <c r="O1937" s="2">
        <v>827.38</v>
      </c>
      <c r="P1937" s="2">
        <v>440.51</v>
      </c>
      <c r="Q1937" t="s">
        <v>26</v>
      </c>
    </row>
    <row r="1938" spans="1:17" x14ac:dyDescent="0.2">
      <c r="A1938" t="s">
        <v>2103</v>
      </c>
      <c r="B1938" s="1">
        <v>45894</v>
      </c>
      <c r="C1938" t="s">
        <v>36</v>
      </c>
      <c r="D1938" t="s">
        <v>110</v>
      </c>
      <c r="E1938" t="s">
        <v>111</v>
      </c>
      <c r="F1938" t="s">
        <v>71</v>
      </c>
      <c r="G1938" t="s">
        <v>75</v>
      </c>
      <c r="H1938" t="s">
        <v>47</v>
      </c>
      <c r="I1938" t="s">
        <v>141</v>
      </c>
      <c r="J1938" t="s">
        <v>372</v>
      </c>
      <c r="K1938">
        <v>5</v>
      </c>
      <c r="L1938" s="2">
        <v>187.86</v>
      </c>
      <c r="M1938" s="3">
        <v>0</v>
      </c>
      <c r="N1938" s="2">
        <v>939.3</v>
      </c>
      <c r="O1938" s="2">
        <v>686.81</v>
      </c>
      <c r="P1938" s="2">
        <v>252.49</v>
      </c>
      <c r="Q1938" t="s">
        <v>26</v>
      </c>
    </row>
    <row r="1939" spans="1:17" x14ac:dyDescent="0.2">
      <c r="A1939" t="s">
        <v>2104</v>
      </c>
      <c r="B1939" s="1">
        <v>45894</v>
      </c>
      <c r="C1939" t="s">
        <v>77</v>
      </c>
      <c r="D1939" t="s">
        <v>128</v>
      </c>
      <c r="E1939" t="s">
        <v>129</v>
      </c>
      <c r="F1939" t="s">
        <v>69</v>
      </c>
      <c r="G1939" t="s">
        <v>22</v>
      </c>
      <c r="H1939" t="s">
        <v>23</v>
      </c>
      <c r="I1939" t="s">
        <v>79</v>
      </c>
      <c r="J1939" t="s">
        <v>233</v>
      </c>
      <c r="K1939">
        <v>7</v>
      </c>
      <c r="L1939" s="2">
        <v>262.18</v>
      </c>
      <c r="M1939" s="3">
        <v>0.15</v>
      </c>
      <c r="N1939" s="2">
        <v>1559.97</v>
      </c>
      <c r="O1939" s="2">
        <v>1061.54</v>
      </c>
      <c r="P1939" s="2">
        <v>498.43</v>
      </c>
      <c r="Q1939" t="s">
        <v>34</v>
      </c>
    </row>
    <row r="1940" spans="1:17" x14ac:dyDescent="0.2">
      <c r="A1940" t="s">
        <v>2105</v>
      </c>
      <c r="B1940" s="1">
        <v>45895</v>
      </c>
      <c r="C1940" t="s">
        <v>43</v>
      </c>
      <c r="D1940" t="s">
        <v>51</v>
      </c>
      <c r="E1940" t="s">
        <v>52</v>
      </c>
      <c r="F1940" t="s">
        <v>46</v>
      </c>
      <c r="G1940" t="s">
        <v>75</v>
      </c>
      <c r="H1940" t="s">
        <v>23</v>
      </c>
      <c r="I1940" t="s">
        <v>55</v>
      </c>
      <c r="J1940" t="s">
        <v>56</v>
      </c>
      <c r="K1940">
        <v>3</v>
      </c>
      <c r="L1940" s="2">
        <v>6.21</v>
      </c>
      <c r="M1940" s="3">
        <v>0</v>
      </c>
      <c r="N1940" s="2">
        <v>18.63</v>
      </c>
      <c r="O1940" s="2">
        <v>15.06</v>
      </c>
      <c r="P1940" s="2">
        <v>3.57</v>
      </c>
      <c r="Q1940" t="s">
        <v>57</v>
      </c>
    </row>
    <row r="1941" spans="1:17" x14ac:dyDescent="0.2">
      <c r="A1941" t="s">
        <v>2106</v>
      </c>
      <c r="B1941" s="1">
        <v>45895</v>
      </c>
      <c r="C1941" t="s">
        <v>18</v>
      </c>
      <c r="D1941" t="s">
        <v>133</v>
      </c>
      <c r="E1941" t="s">
        <v>226</v>
      </c>
      <c r="F1941" t="s">
        <v>69</v>
      </c>
      <c r="G1941" t="s">
        <v>75</v>
      </c>
      <c r="H1941" t="s">
        <v>31</v>
      </c>
      <c r="I1941" t="s">
        <v>64</v>
      </c>
      <c r="J1941" t="s">
        <v>252</v>
      </c>
      <c r="K1941">
        <v>4</v>
      </c>
      <c r="L1941" s="2">
        <v>175.78</v>
      </c>
      <c r="M1941" s="3">
        <v>0.05</v>
      </c>
      <c r="N1941" s="2">
        <v>667.96</v>
      </c>
      <c r="O1941" s="2">
        <v>405.58</v>
      </c>
      <c r="P1941" s="2">
        <v>262.38</v>
      </c>
      <c r="Q1941" t="s">
        <v>26</v>
      </c>
    </row>
    <row r="1942" spans="1:17" x14ac:dyDescent="0.2">
      <c r="A1942" t="s">
        <v>2107</v>
      </c>
      <c r="B1942" s="1">
        <v>45895</v>
      </c>
      <c r="C1942" t="s">
        <v>18</v>
      </c>
      <c r="D1942" t="s">
        <v>86</v>
      </c>
      <c r="E1942" t="s">
        <v>92</v>
      </c>
      <c r="F1942" t="s">
        <v>71</v>
      </c>
      <c r="G1942" t="s">
        <v>22</v>
      </c>
      <c r="H1942" t="s">
        <v>47</v>
      </c>
      <c r="I1942" t="s">
        <v>48</v>
      </c>
      <c r="J1942" t="s">
        <v>93</v>
      </c>
      <c r="K1942">
        <v>2</v>
      </c>
      <c r="L1942" s="2">
        <v>250.79</v>
      </c>
      <c r="M1942" s="3">
        <v>0.15</v>
      </c>
      <c r="N1942" s="2">
        <v>426.34</v>
      </c>
      <c r="O1942" s="2">
        <v>305.22000000000003</v>
      </c>
      <c r="P1942" s="2">
        <v>121.12</v>
      </c>
      <c r="Q1942" t="s">
        <v>26</v>
      </c>
    </row>
    <row r="1943" spans="1:17" x14ac:dyDescent="0.2">
      <c r="A1943" t="s">
        <v>2108</v>
      </c>
      <c r="B1943" s="1">
        <v>45895</v>
      </c>
      <c r="C1943" t="s">
        <v>77</v>
      </c>
      <c r="D1943" t="s">
        <v>95</v>
      </c>
      <c r="E1943" t="s">
        <v>367</v>
      </c>
      <c r="F1943" t="s">
        <v>71</v>
      </c>
      <c r="G1943" t="s">
        <v>22</v>
      </c>
      <c r="H1943" t="s">
        <v>31</v>
      </c>
      <c r="I1943" t="s">
        <v>40</v>
      </c>
      <c r="J1943" t="s">
        <v>216</v>
      </c>
      <c r="K1943">
        <v>10</v>
      </c>
      <c r="L1943" s="2">
        <v>117.85</v>
      </c>
      <c r="M1943" s="3">
        <v>0.05</v>
      </c>
      <c r="N1943" s="2">
        <v>1119.58</v>
      </c>
      <c r="O1943" s="2">
        <v>768.52</v>
      </c>
      <c r="P1943" s="2">
        <v>351.06</v>
      </c>
      <c r="Q1943" t="s">
        <v>26</v>
      </c>
    </row>
    <row r="1944" spans="1:17" x14ac:dyDescent="0.2">
      <c r="A1944" t="s">
        <v>2109</v>
      </c>
      <c r="B1944" s="1">
        <v>45895</v>
      </c>
      <c r="C1944" t="s">
        <v>18</v>
      </c>
      <c r="D1944" t="s">
        <v>19</v>
      </c>
      <c r="E1944" t="s">
        <v>118</v>
      </c>
      <c r="F1944" t="s">
        <v>69</v>
      </c>
      <c r="G1944" t="s">
        <v>22</v>
      </c>
      <c r="H1944" t="s">
        <v>47</v>
      </c>
      <c r="I1944" t="s">
        <v>89</v>
      </c>
      <c r="J1944" t="s">
        <v>240</v>
      </c>
      <c r="K1944">
        <v>2</v>
      </c>
      <c r="L1944" s="2">
        <v>297.22000000000003</v>
      </c>
      <c r="M1944" s="3">
        <v>0</v>
      </c>
      <c r="N1944" s="2">
        <v>594.44000000000005</v>
      </c>
      <c r="O1944" s="2">
        <v>380.39</v>
      </c>
      <c r="P1944" s="2">
        <v>214.05</v>
      </c>
      <c r="Q1944" t="s">
        <v>57</v>
      </c>
    </row>
    <row r="1945" spans="1:17" x14ac:dyDescent="0.2">
      <c r="A1945" t="s">
        <v>2110</v>
      </c>
      <c r="B1945" s="1">
        <v>45895</v>
      </c>
      <c r="C1945" t="s">
        <v>36</v>
      </c>
      <c r="D1945" t="s">
        <v>37</v>
      </c>
      <c r="E1945" t="s">
        <v>38</v>
      </c>
      <c r="F1945" t="s">
        <v>71</v>
      </c>
      <c r="G1945" t="s">
        <v>22</v>
      </c>
      <c r="H1945" t="s">
        <v>31</v>
      </c>
      <c r="I1945" t="s">
        <v>32</v>
      </c>
      <c r="J1945" t="s">
        <v>258</v>
      </c>
      <c r="K1945">
        <v>9</v>
      </c>
      <c r="L1945" s="2">
        <v>1429.78</v>
      </c>
      <c r="M1945" s="3">
        <v>0.05</v>
      </c>
      <c r="N1945" s="2">
        <v>12224.62</v>
      </c>
      <c r="O1945" s="2">
        <v>8231.64</v>
      </c>
      <c r="P1945" s="2">
        <v>3992.98</v>
      </c>
      <c r="Q1945" t="s">
        <v>26</v>
      </c>
    </row>
    <row r="1946" spans="1:17" x14ac:dyDescent="0.2">
      <c r="A1946" t="s">
        <v>2111</v>
      </c>
      <c r="B1946" s="1">
        <v>45895</v>
      </c>
      <c r="C1946" t="s">
        <v>43</v>
      </c>
      <c r="D1946" t="s">
        <v>51</v>
      </c>
      <c r="E1946" t="s">
        <v>52</v>
      </c>
      <c r="F1946" t="s">
        <v>138</v>
      </c>
      <c r="G1946" t="s">
        <v>75</v>
      </c>
      <c r="H1946" t="s">
        <v>31</v>
      </c>
      <c r="I1946" t="s">
        <v>32</v>
      </c>
      <c r="J1946" t="s">
        <v>104</v>
      </c>
      <c r="K1946">
        <v>6</v>
      </c>
      <c r="L1946" s="2">
        <v>1195.45</v>
      </c>
      <c r="M1946" s="3">
        <v>0.05</v>
      </c>
      <c r="N1946" s="2">
        <v>6814.06</v>
      </c>
      <c r="O1946" s="2">
        <v>4087.35</v>
      </c>
      <c r="P1946" s="2">
        <v>2726.71</v>
      </c>
      <c r="Q1946" t="s">
        <v>57</v>
      </c>
    </row>
    <row r="1947" spans="1:17" x14ac:dyDescent="0.2">
      <c r="A1947" t="s">
        <v>2112</v>
      </c>
      <c r="B1947" s="1">
        <v>45896</v>
      </c>
      <c r="C1947" t="s">
        <v>77</v>
      </c>
      <c r="D1947" t="s">
        <v>128</v>
      </c>
      <c r="E1947" t="s">
        <v>159</v>
      </c>
      <c r="F1947" t="s">
        <v>46</v>
      </c>
      <c r="G1947" t="s">
        <v>75</v>
      </c>
      <c r="H1947" t="s">
        <v>47</v>
      </c>
      <c r="I1947" t="s">
        <v>141</v>
      </c>
      <c r="J1947" t="s">
        <v>372</v>
      </c>
      <c r="K1947">
        <v>1</v>
      </c>
      <c r="L1947" s="2">
        <v>659.77</v>
      </c>
      <c r="M1947" s="3">
        <v>0</v>
      </c>
      <c r="N1947" s="2">
        <v>659.77</v>
      </c>
      <c r="O1947" s="2">
        <v>459.57</v>
      </c>
      <c r="P1947" s="2">
        <v>200.2</v>
      </c>
      <c r="Q1947" t="s">
        <v>34</v>
      </c>
    </row>
    <row r="1948" spans="1:17" x14ac:dyDescent="0.2">
      <c r="A1948" t="s">
        <v>2113</v>
      </c>
      <c r="B1948" s="1">
        <v>45896</v>
      </c>
      <c r="C1948" t="s">
        <v>18</v>
      </c>
      <c r="D1948" t="s">
        <v>133</v>
      </c>
      <c r="E1948" t="s">
        <v>226</v>
      </c>
      <c r="F1948" t="s">
        <v>130</v>
      </c>
      <c r="G1948" t="s">
        <v>22</v>
      </c>
      <c r="H1948" t="s">
        <v>31</v>
      </c>
      <c r="I1948" t="s">
        <v>112</v>
      </c>
      <c r="J1948" t="s">
        <v>113</v>
      </c>
      <c r="K1948">
        <v>8</v>
      </c>
      <c r="L1948" s="2">
        <v>501.46</v>
      </c>
      <c r="M1948" s="3">
        <v>0.1</v>
      </c>
      <c r="N1948" s="2">
        <v>3610.51</v>
      </c>
      <c r="O1948" s="2">
        <v>2795.89</v>
      </c>
      <c r="P1948" s="2">
        <v>814.62</v>
      </c>
      <c r="Q1948" t="s">
        <v>26</v>
      </c>
    </row>
    <row r="1949" spans="1:17" x14ac:dyDescent="0.2">
      <c r="A1949" t="s">
        <v>2114</v>
      </c>
      <c r="B1949" s="1">
        <v>45896</v>
      </c>
      <c r="C1949" t="s">
        <v>77</v>
      </c>
      <c r="D1949" t="s">
        <v>128</v>
      </c>
      <c r="E1949" t="s">
        <v>159</v>
      </c>
      <c r="F1949" t="s">
        <v>30</v>
      </c>
      <c r="G1949" t="s">
        <v>22</v>
      </c>
      <c r="H1949" t="s">
        <v>23</v>
      </c>
      <c r="I1949" t="s">
        <v>55</v>
      </c>
      <c r="J1949" t="s">
        <v>102</v>
      </c>
      <c r="K1949">
        <v>6</v>
      </c>
      <c r="L1949" s="2">
        <v>15.09</v>
      </c>
      <c r="M1949" s="3">
        <v>0</v>
      </c>
      <c r="N1949" s="2">
        <v>90.54</v>
      </c>
      <c r="O1949" s="2">
        <v>59.23</v>
      </c>
      <c r="P1949" s="2">
        <v>31.31</v>
      </c>
      <c r="Q1949" t="s">
        <v>34</v>
      </c>
    </row>
    <row r="1950" spans="1:17" x14ac:dyDescent="0.2">
      <c r="A1950" t="s">
        <v>2115</v>
      </c>
      <c r="B1950" s="1">
        <v>45896</v>
      </c>
      <c r="C1950" t="s">
        <v>36</v>
      </c>
      <c r="D1950" t="s">
        <v>37</v>
      </c>
      <c r="E1950" t="s">
        <v>255</v>
      </c>
      <c r="F1950" t="s">
        <v>39</v>
      </c>
      <c r="G1950" t="s">
        <v>22</v>
      </c>
      <c r="H1950" t="s">
        <v>23</v>
      </c>
      <c r="I1950" t="s">
        <v>79</v>
      </c>
      <c r="J1950" t="s">
        <v>179</v>
      </c>
      <c r="K1950">
        <v>3</v>
      </c>
      <c r="L1950" s="2">
        <v>583.47</v>
      </c>
      <c r="M1950" s="3">
        <v>0</v>
      </c>
      <c r="N1950" s="2">
        <v>1750.41</v>
      </c>
      <c r="O1950" s="2">
        <v>1181.33</v>
      </c>
      <c r="P1950" s="2">
        <v>569.08000000000004</v>
      </c>
      <c r="Q1950" t="s">
        <v>34</v>
      </c>
    </row>
    <row r="1951" spans="1:17" x14ac:dyDescent="0.2">
      <c r="A1951" t="s">
        <v>2116</v>
      </c>
      <c r="B1951" s="1">
        <v>45896</v>
      </c>
      <c r="C1951" t="s">
        <v>43</v>
      </c>
      <c r="D1951" t="s">
        <v>208</v>
      </c>
      <c r="E1951" t="s">
        <v>209</v>
      </c>
      <c r="F1951" t="s">
        <v>46</v>
      </c>
      <c r="G1951" t="s">
        <v>22</v>
      </c>
      <c r="H1951" t="s">
        <v>23</v>
      </c>
      <c r="I1951" t="s">
        <v>79</v>
      </c>
      <c r="J1951" t="s">
        <v>233</v>
      </c>
      <c r="K1951">
        <v>10</v>
      </c>
      <c r="L1951" s="2">
        <v>264.73</v>
      </c>
      <c r="M1951" s="3">
        <v>0.05</v>
      </c>
      <c r="N1951" s="2">
        <v>2514.94</v>
      </c>
      <c r="O1951" s="2">
        <v>1726.86</v>
      </c>
      <c r="P1951" s="2">
        <v>788.08</v>
      </c>
      <c r="Q1951" t="s">
        <v>57</v>
      </c>
    </row>
    <row r="1952" spans="1:17" x14ac:dyDescent="0.2">
      <c r="A1952" t="s">
        <v>2117</v>
      </c>
      <c r="B1952" s="1">
        <v>45896</v>
      </c>
      <c r="C1952" t="s">
        <v>77</v>
      </c>
      <c r="D1952" t="s">
        <v>95</v>
      </c>
      <c r="E1952" t="s">
        <v>96</v>
      </c>
      <c r="F1952" t="s">
        <v>46</v>
      </c>
      <c r="G1952" t="s">
        <v>22</v>
      </c>
      <c r="H1952" t="s">
        <v>23</v>
      </c>
      <c r="I1952" t="s">
        <v>83</v>
      </c>
      <c r="J1952" t="s">
        <v>84</v>
      </c>
      <c r="K1952">
        <v>6</v>
      </c>
      <c r="L1952" s="2">
        <v>12.73</v>
      </c>
      <c r="M1952" s="3">
        <v>0</v>
      </c>
      <c r="N1952" s="2">
        <v>76.38</v>
      </c>
      <c r="O1952" s="2">
        <v>57.49</v>
      </c>
      <c r="P1952" s="2">
        <v>18.89</v>
      </c>
      <c r="Q1952" t="s">
        <v>34</v>
      </c>
    </row>
    <row r="1953" spans="1:17" x14ac:dyDescent="0.2">
      <c r="A1953" t="s">
        <v>2118</v>
      </c>
      <c r="B1953" s="1">
        <v>45896</v>
      </c>
      <c r="C1953" t="s">
        <v>43</v>
      </c>
      <c r="D1953" t="s">
        <v>208</v>
      </c>
      <c r="E1953" t="s">
        <v>287</v>
      </c>
      <c r="F1953" t="s">
        <v>60</v>
      </c>
      <c r="G1953" t="s">
        <v>54</v>
      </c>
      <c r="H1953" t="s">
        <v>31</v>
      </c>
      <c r="I1953" t="s">
        <v>32</v>
      </c>
      <c r="J1953" t="s">
        <v>104</v>
      </c>
      <c r="K1953">
        <v>2</v>
      </c>
      <c r="L1953" s="2">
        <v>1489.04</v>
      </c>
      <c r="M1953" s="3">
        <v>0.05</v>
      </c>
      <c r="N1953" s="2">
        <v>2829.18</v>
      </c>
      <c r="O1953" s="2">
        <v>2026.79</v>
      </c>
      <c r="P1953" s="2">
        <v>802.39</v>
      </c>
      <c r="Q1953" t="s">
        <v>57</v>
      </c>
    </row>
    <row r="1954" spans="1:17" x14ac:dyDescent="0.2">
      <c r="A1954" t="s">
        <v>2119</v>
      </c>
      <c r="B1954" s="1">
        <v>45896</v>
      </c>
      <c r="C1954" t="s">
        <v>36</v>
      </c>
      <c r="D1954" t="s">
        <v>67</v>
      </c>
      <c r="E1954" t="s">
        <v>323</v>
      </c>
      <c r="F1954" t="s">
        <v>130</v>
      </c>
      <c r="G1954" t="s">
        <v>22</v>
      </c>
      <c r="H1954" t="s">
        <v>23</v>
      </c>
      <c r="I1954" t="s">
        <v>79</v>
      </c>
      <c r="J1954" t="s">
        <v>179</v>
      </c>
      <c r="K1954">
        <v>7</v>
      </c>
      <c r="L1954" s="2">
        <v>424.59</v>
      </c>
      <c r="M1954" s="3">
        <v>0</v>
      </c>
      <c r="N1954" s="2">
        <v>2972.13</v>
      </c>
      <c r="O1954" s="2">
        <v>2135.86</v>
      </c>
      <c r="P1954" s="2">
        <v>836.27</v>
      </c>
      <c r="Q1954" t="s">
        <v>26</v>
      </c>
    </row>
    <row r="1955" spans="1:17" x14ac:dyDescent="0.2">
      <c r="A1955" t="s">
        <v>2120</v>
      </c>
      <c r="B1955" s="1">
        <v>45896</v>
      </c>
      <c r="C1955" t="s">
        <v>36</v>
      </c>
      <c r="D1955" t="s">
        <v>110</v>
      </c>
      <c r="E1955" t="s">
        <v>115</v>
      </c>
      <c r="F1955" t="s">
        <v>30</v>
      </c>
      <c r="G1955" t="s">
        <v>22</v>
      </c>
      <c r="H1955" t="s">
        <v>47</v>
      </c>
      <c r="I1955" t="s">
        <v>141</v>
      </c>
      <c r="J1955" t="s">
        <v>142</v>
      </c>
      <c r="K1955">
        <v>6</v>
      </c>
      <c r="L1955" s="2">
        <v>574.75</v>
      </c>
      <c r="M1955" s="3">
        <v>0</v>
      </c>
      <c r="N1955" s="2">
        <v>3448.5</v>
      </c>
      <c r="O1955" s="2">
        <v>2332.35</v>
      </c>
      <c r="P1955" s="2">
        <v>1116.1500000000001</v>
      </c>
      <c r="Q1955" t="s">
        <v>61</v>
      </c>
    </row>
    <row r="1956" spans="1:17" x14ac:dyDescent="0.2">
      <c r="A1956" t="s">
        <v>2121</v>
      </c>
      <c r="B1956" s="1">
        <v>45896</v>
      </c>
      <c r="C1956" t="s">
        <v>77</v>
      </c>
      <c r="D1956" t="s">
        <v>106</v>
      </c>
      <c r="E1956" t="s">
        <v>107</v>
      </c>
      <c r="F1956" t="s">
        <v>21</v>
      </c>
      <c r="G1956" t="s">
        <v>75</v>
      </c>
      <c r="H1956" t="s">
        <v>31</v>
      </c>
      <c r="I1956" t="s">
        <v>32</v>
      </c>
      <c r="J1956" t="s">
        <v>104</v>
      </c>
      <c r="K1956">
        <v>7</v>
      </c>
      <c r="L1956" s="2">
        <v>865.8</v>
      </c>
      <c r="M1956" s="3">
        <v>0.15</v>
      </c>
      <c r="N1956" s="2">
        <v>5151.51</v>
      </c>
      <c r="O1956" s="2">
        <v>3079.86</v>
      </c>
      <c r="P1956" s="2">
        <v>2071.65</v>
      </c>
      <c r="Q1956" t="s">
        <v>61</v>
      </c>
    </row>
    <row r="1957" spans="1:17" x14ac:dyDescent="0.2">
      <c r="A1957" t="s">
        <v>2122</v>
      </c>
      <c r="B1957" s="1">
        <v>45896</v>
      </c>
      <c r="C1957" t="s">
        <v>43</v>
      </c>
      <c r="D1957" t="s">
        <v>44</v>
      </c>
      <c r="E1957" t="s">
        <v>147</v>
      </c>
      <c r="F1957" t="s">
        <v>130</v>
      </c>
      <c r="G1957" t="s">
        <v>75</v>
      </c>
      <c r="H1957" t="s">
        <v>23</v>
      </c>
      <c r="I1957" t="s">
        <v>24</v>
      </c>
      <c r="J1957" t="s">
        <v>108</v>
      </c>
      <c r="K1957">
        <v>9</v>
      </c>
      <c r="L1957" s="2">
        <v>19.39</v>
      </c>
      <c r="M1957" s="3">
        <v>0.15</v>
      </c>
      <c r="N1957" s="2">
        <v>148.33000000000001</v>
      </c>
      <c r="O1957" s="2">
        <v>117.79</v>
      </c>
      <c r="P1957" s="2">
        <v>30.54</v>
      </c>
      <c r="Q1957" t="s">
        <v>26</v>
      </c>
    </row>
    <row r="1958" spans="1:17" x14ac:dyDescent="0.2">
      <c r="A1958" t="s">
        <v>2123</v>
      </c>
      <c r="B1958" s="1">
        <v>45897</v>
      </c>
      <c r="C1958" t="s">
        <v>43</v>
      </c>
      <c r="D1958" t="s">
        <v>244</v>
      </c>
      <c r="E1958" t="s">
        <v>326</v>
      </c>
      <c r="F1958" t="s">
        <v>30</v>
      </c>
      <c r="G1958" t="s">
        <v>75</v>
      </c>
      <c r="H1958" t="s">
        <v>31</v>
      </c>
      <c r="I1958" t="s">
        <v>64</v>
      </c>
      <c r="J1958" t="s">
        <v>126</v>
      </c>
      <c r="K1958">
        <v>1</v>
      </c>
      <c r="L1958" s="2">
        <v>163.26</v>
      </c>
      <c r="M1958" s="3">
        <v>0.05</v>
      </c>
      <c r="N1958" s="2">
        <v>155.1</v>
      </c>
      <c r="O1958" s="2">
        <v>97.26</v>
      </c>
      <c r="P1958" s="2">
        <v>57.84</v>
      </c>
      <c r="Q1958" t="s">
        <v>26</v>
      </c>
    </row>
    <row r="1959" spans="1:17" x14ac:dyDescent="0.2">
      <c r="A1959" t="s">
        <v>2124</v>
      </c>
      <c r="B1959" s="1">
        <v>45897</v>
      </c>
      <c r="C1959" t="s">
        <v>18</v>
      </c>
      <c r="D1959" t="s">
        <v>19</v>
      </c>
      <c r="E1959" t="s">
        <v>20</v>
      </c>
      <c r="F1959" t="s">
        <v>39</v>
      </c>
      <c r="G1959" t="s">
        <v>54</v>
      </c>
      <c r="H1959" t="s">
        <v>23</v>
      </c>
      <c r="I1959" t="s">
        <v>79</v>
      </c>
      <c r="J1959" t="s">
        <v>179</v>
      </c>
      <c r="K1959">
        <v>4</v>
      </c>
      <c r="L1959" s="2">
        <v>567.13</v>
      </c>
      <c r="M1959" s="3">
        <v>0</v>
      </c>
      <c r="N1959" s="2">
        <v>2268.52</v>
      </c>
      <c r="O1959" s="2">
        <v>1328.04</v>
      </c>
      <c r="P1959" s="2">
        <v>940.48</v>
      </c>
      <c r="Q1959" t="s">
        <v>26</v>
      </c>
    </row>
    <row r="1960" spans="1:17" x14ac:dyDescent="0.2">
      <c r="A1960" t="s">
        <v>2125</v>
      </c>
      <c r="B1960" s="1">
        <v>45897</v>
      </c>
      <c r="C1960" t="s">
        <v>77</v>
      </c>
      <c r="D1960" t="s">
        <v>78</v>
      </c>
      <c r="E1960" t="s">
        <v>52</v>
      </c>
      <c r="F1960" t="s">
        <v>69</v>
      </c>
      <c r="G1960" t="s">
        <v>75</v>
      </c>
      <c r="H1960" t="s">
        <v>23</v>
      </c>
      <c r="I1960" t="s">
        <v>83</v>
      </c>
      <c r="J1960" t="s">
        <v>131</v>
      </c>
      <c r="K1960">
        <v>6</v>
      </c>
      <c r="L1960" s="2">
        <v>13.06</v>
      </c>
      <c r="M1960" s="3">
        <v>0</v>
      </c>
      <c r="N1960" s="2">
        <v>78.36</v>
      </c>
      <c r="O1960" s="2">
        <v>55.18</v>
      </c>
      <c r="P1960" s="2">
        <v>23.18</v>
      </c>
      <c r="Q1960" t="s">
        <v>26</v>
      </c>
    </row>
    <row r="1961" spans="1:17" x14ac:dyDescent="0.2">
      <c r="A1961" t="s">
        <v>2126</v>
      </c>
      <c r="B1961" s="1">
        <v>45897</v>
      </c>
      <c r="C1961" t="s">
        <v>43</v>
      </c>
      <c r="D1961" t="s">
        <v>51</v>
      </c>
      <c r="E1961" t="s">
        <v>63</v>
      </c>
      <c r="F1961" t="s">
        <v>46</v>
      </c>
      <c r="G1961" t="s">
        <v>54</v>
      </c>
      <c r="H1961" t="s">
        <v>47</v>
      </c>
      <c r="I1961" t="s">
        <v>89</v>
      </c>
      <c r="J1961" t="s">
        <v>204</v>
      </c>
      <c r="K1961">
        <v>7</v>
      </c>
      <c r="L1961" s="2">
        <v>209.25</v>
      </c>
      <c r="M1961" s="3">
        <v>0.1</v>
      </c>
      <c r="N1961" s="2">
        <v>1318.28</v>
      </c>
      <c r="O1961" s="2">
        <v>807.76</v>
      </c>
      <c r="P1961" s="2">
        <v>510.52</v>
      </c>
      <c r="Q1961" t="s">
        <v>57</v>
      </c>
    </row>
    <row r="1962" spans="1:17" x14ac:dyDescent="0.2">
      <c r="A1962" t="s">
        <v>2127</v>
      </c>
      <c r="B1962" s="1">
        <v>45897</v>
      </c>
      <c r="C1962" t="s">
        <v>36</v>
      </c>
      <c r="D1962" t="s">
        <v>67</v>
      </c>
      <c r="E1962" t="s">
        <v>68</v>
      </c>
      <c r="F1962" t="s">
        <v>138</v>
      </c>
      <c r="G1962" t="s">
        <v>22</v>
      </c>
      <c r="H1962" t="s">
        <v>23</v>
      </c>
      <c r="I1962" t="s">
        <v>55</v>
      </c>
      <c r="J1962" t="s">
        <v>102</v>
      </c>
      <c r="K1962">
        <v>4</v>
      </c>
      <c r="L1962" s="2">
        <v>15.14</v>
      </c>
      <c r="M1962" s="3">
        <v>0.05</v>
      </c>
      <c r="N1962" s="2">
        <v>57.53</v>
      </c>
      <c r="O1962" s="2">
        <v>34.47</v>
      </c>
      <c r="P1962" s="2">
        <v>23.06</v>
      </c>
      <c r="Q1962" t="s">
        <v>61</v>
      </c>
    </row>
    <row r="1963" spans="1:17" x14ac:dyDescent="0.2">
      <c r="A1963" t="s">
        <v>2128</v>
      </c>
      <c r="B1963" s="1">
        <v>45897</v>
      </c>
      <c r="C1963" t="s">
        <v>77</v>
      </c>
      <c r="D1963" t="s">
        <v>78</v>
      </c>
      <c r="E1963" t="s">
        <v>261</v>
      </c>
      <c r="F1963" t="s">
        <v>138</v>
      </c>
      <c r="G1963" t="s">
        <v>75</v>
      </c>
      <c r="H1963" t="s">
        <v>23</v>
      </c>
      <c r="I1963" t="s">
        <v>24</v>
      </c>
      <c r="J1963" t="s">
        <v>108</v>
      </c>
      <c r="K1963">
        <v>3</v>
      </c>
      <c r="L1963" s="2">
        <v>6.7</v>
      </c>
      <c r="M1963" s="3">
        <v>0</v>
      </c>
      <c r="N1963" s="2">
        <v>20.100000000000001</v>
      </c>
      <c r="O1963" s="2">
        <v>12.01</v>
      </c>
      <c r="P1963" s="2">
        <v>8.09</v>
      </c>
      <c r="Q1963" t="s">
        <v>61</v>
      </c>
    </row>
    <row r="1964" spans="1:17" x14ac:dyDescent="0.2">
      <c r="A1964" t="s">
        <v>2129</v>
      </c>
      <c r="B1964" s="1">
        <v>45897</v>
      </c>
      <c r="C1964" t="s">
        <v>36</v>
      </c>
      <c r="D1964" t="s">
        <v>67</v>
      </c>
      <c r="E1964" t="s">
        <v>270</v>
      </c>
      <c r="F1964" t="s">
        <v>60</v>
      </c>
      <c r="G1964" t="s">
        <v>22</v>
      </c>
      <c r="H1964" t="s">
        <v>23</v>
      </c>
      <c r="I1964" t="s">
        <v>83</v>
      </c>
      <c r="J1964" t="s">
        <v>120</v>
      </c>
      <c r="K1964">
        <v>9</v>
      </c>
      <c r="L1964" s="2">
        <v>9.06</v>
      </c>
      <c r="M1964" s="3">
        <v>0</v>
      </c>
      <c r="N1964" s="2">
        <v>81.540000000000006</v>
      </c>
      <c r="O1964" s="2">
        <v>57.6</v>
      </c>
      <c r="P1964" s="2">
        <v>23.94</v>
      </c>
      <c r="Q1964" t="s">
        <v>57</v>
      </c>
    </row>
    <row r="1965" spans="1:17" x14ac:dyDescent="0.2">
      <c r="A1965" t="s">
        <v>2130</v>
      </c>
      <c r="B1965" s="1">
        <v>45897</v>
      </c>
      <c r="C1965" t="s">
        <v>18</v>
      </c>
      <c r="D1965" t="s">
        <v>19</v>
      </c>
      <c r="E1965" t="s">
        <v>100</v>
      </c>
      <c r="F1965" t="s">
        <v>46</v>
      </c>
      <c r="G1965" t="s">
        <v>75</v>
      </c>
      <c r="H1965" t="s">
        <v>47</v>
      </c>
      <c r="I1965" t="s">
        <v>141</v>
      </c>
      <c r="J1965" t="s">
        <v>372</v>
      </c>
      <c r="K1965">
        <v>9</v>
      </c>
      <c r="L1965" s="2">
        <v>578.69000000000005</v>
      </c>
      <c r="M1965" s="3">
        <v>0.05</v>
      </c>
      <c r="N1965" s="2">
        <v>4947.8</v>
      </c>
      <c r="O1965" s="2">
        <v>3371.11</v>
      </c>
      <c r="P1965" s="2">
        <v>1576.69</v>
      </c>
      <c r="Q1965" t="s">
        <v>26</v>
      </c>
    </row>
    <row r="1966" spans="1:17" x14ac:dyDescent="0.2">
      <c r="A1966" t="s">
        <v>2131</v>
      </c>
      <c r="B1966" s="1">
        <v>45897</v>
      </c>
      <c r="C1966" t="s">
        <v>36</v>
      </c>
      <c r="D1966" t="s">
        <v>110</v>
      </c>
      <c r="E1966" t="s">
        <v>115</v>
      </c>
      <c r="F1966" t="s">
        <v>138</v>
      </c>
      <c r="G1966" t="s">
        <v>75</v>
      </c>
      <c r="H1966" t="s">
        <v>23</v>
      </c>
      <c r="I1966" t="s">
        <v>55</v>
      </c>
      <c r="J1966" t="s">
        <v>56</v>
      </c>
      <c r="K1966">
        <v>7</v>
      </c>
      <c r="L1966" s="2">
        <v>24</v>
      </c>
      <c r="M1966" s="3">
        <v>0.05</v>
      </c>
      <c r="N1966" s="2">
        <v>159.6</v>
      </c>
      <c r="O1966" s="2">
        <v>121.74</v>
      </c>
      <c r="P1966" s="2">
        <v>37.86</v>
      </c>
      <c r="Q1966" t="s">
        <v>26</v>
      </c>
    </row>
    <row r="1967" spans="1:17" x14ac:dyDescent="0.2">
      <c r="A1967" t="s">
        <v>2132</v>
      </c>
      <c r="B1967" s="1">
        <v>45898</v>
      </c>
      <c r="C1967" t="s">
        <v>43</v>
      </c>
      <c r="D1967" t="s">
        <v>161</v>
      </c>
      <c r="E1967" t="s">
        <v>172</v>
      </c>
      <c r="F1967" t="s">
        <v>46</v>
      </c>
      <c r="G1967" t="s">
        <v>75</v>
      </c>
      <c r="H1967" t="s">
        <v>23</v>
      </c>
      <c r="I1967" t="s">
        <v>24</v>
      </c>
      <c r="J1967" t="s">
        <v>25</v>
      </c>
      <c r="K1967">
        <v>5</v>
      </c>
      <c r="L1967" s="2">
        <v>26</v>
      </c>
      <c r="M1967" s="3">
        <v>0.05</v>
      </c>
      <c r="N1967" s="2">
        <v>123.5</v>
      </c>
      <c r="O1967" s="2">
        <v>75.010000000000005</v>
      </c>
      <c r="P1967" s="2">
        <v>48.49</v>
      </c>
      <c r="Q1967" t="s">
        <v>57</v>
      </c>
    </row>
    <row r="1968" spans="1:17" x14ac:dyDescent="0.2">
      <c r="A1968" t="s">
        <v>2133</v>
      </c>
      <c r="B1968" s="1">
        <v>45898</v>
      </c>
      <c r="C1968" t="s">
        <v>77</v>
      </c>
      <c r="D1968" t="s">
        <v>95</v>
      </c>
      <c r="E1968" t="s">
        <v>96</v>
      </c>
      <c r="F1968" t="s">
        <v>138</v>
      </c>
      <c r="G1968" t="s">
        <v>22</v>
      </c>
      <c r="H1968" t="s">
        <v>47</v>
      </c>
      <c r="I1968" t="s">
        <v>141</v>
      </c>
      <c r="J1968" t="s">
        <v>201</v>
      </c>
      <c r="K1968">
        <v>1</v>
      </c>
      <c r="L1968" s="2">
        <v>703.71</v>
      </c>
      <c r="M1968" s="3">
        <v>0</v>
      </c>
      <c r="N1968" s="2">
        <v>703.71</v>
      </c>
      <c r="O1968" s="2">
        <v>460.9</v>
      </c>
      <c r="P1968" s="2">
        <v>242.81</v>
      </c>
      <c r="Q1968" t="s">
        <v>26</v>
      </c>
    </row>
    <row r="1969" spans="1:17" x14ac:dyDescent="0.2">
      <c r="A1969" t="s">
        <v>2134</v>
      </c>
      <c r="B1969" s="1">
        <v>45899</v>
      </c>
      <c r="C1969" t="s">
        <v>43</v>
      </c>
      <c r="D1969" t="s">
        <v>161</v>
      </c>
      <c r="E1969" t="s">
        <v>172</v>
      </c>
      <c r="F1969" t="s">
        <v>21</v>
      </c>
      <c r="G1969" t="s">
        <v>75</v>
      </c>
      <c r="H1969" t="s">
        <v>47</v>
      </c>
      <c r="I1969" t="s">
        <v>48</v>
      </c>
      <c r="J1969" t="s">
        <v>93</v>
      </c>
      <c r="K1969">
        <v>10</v>
      </c>
      <c r="L1969" s="2">
        <v>256.82</v>
      </c>
      <c r="M1969" s="3">
        <v>0.1</v>
      </c>
      <c r="N1969" s="2">
        <v>2311.38</v>
      </c>
      <c r="O1969" s="2">
        <v>1480.21</v>
      </c>
      <c r="P1969" s="2">
        <v>831.17</v>
      </c>
      <c r="Q1969" t="s">
        <v>34</v>
      </c>
    </row>
    <row r="1970" spans="1:17" x14ac:dyDescent="0.2">
      <c r="A1970" t="s">
        <v>2135</v>
      </c>
      <c r="B1970" s="1">
        <v>45899</v>
      </c>
      <c r="C1970" t="s">
        <v>43</v>
      </c>
      <c r="D1970" t="s">
        <v>44</v>
      </c>
      <c r="E1970" t="s">
        <v>82</v>
      </c>
      <c r="F1970" t="s">
        <v>21</v>
      </c>
      <c r="G1970" t="s">
        <v>54</v>
      </c>
      <c r="H1970" t="s">
        <v>47</v>
      </c>
      <c r="I1970" t="s">
        <v>97</v>
      </c>
      <c r="J1970" t="s">
        <v>116</v>
      </c>
      <c r="K1970">
        <v>2</v>
      </c>
      <c r="L1970" s="2">
        <v>377.17</v>
      </c>
      <c r="M1970" s="3">
        <v>0.1</v>
      </c>
      <c r="N1970" s="2">
        <v>678.91</v>
      </c>
      <c r="O1970" s="2">
        <v>425.97</v>
      </c>
      <c r="P1970" s="2">
        <v>252.94</v>
      </c>
      <c r="Q1970" t="s">
        <v>34</v>
      </c>
    </row>
    <row r="1971" spans="1:17" x14ac:dyDescent="0.2">
      <c r="A1971" t="s">
        <v>2136</v>
      </c>
      <c r="B1971" s="1">
        <v>45899</v>
      </c>
      <c r="C1971" t="s">
        <v>43</v>
      </c>
      <c r="D1971" t="s">
        <v>208</v>
      </c>
      <c r="E1971" t="s">
        <v>230</v>
      </c>
      <c r="F1971" t="s">
        <v>39</v>
      </c>
      <c r="G1971" t="s">
        <v>22</v>
      </c>
      <c r="H1971" t="s">
        <v>31</v>
      </c>
      <c r="I1971" t="s">
        <v>40</v>
      </c>
      <c r="J1971" t="s">
        <v>122</v>
      </c>
      <c r="K1971">
        <v>10</v>
      </c>
      <c r="L1971" s="2">
        <v>88.52</v>
      </c>
      <c r="M1971" s="3">
        <v>0.15</v>
      </c>
      <c r="N1971" s="2">
        <v>752.42</v>
      </c>
      <c r="O1971" s="2">
        <v>526.42999999999995</v>
      </c>
      <c r="P1971" s="2">
        <v>225.99</v>
      </c>
      <c r="Q1971" t="s">
        <v>34</v>
      </c>
    </row>
    <row r="1972" spans="1:17" x14ac:dyDescent="0.2">
      <c r="A1972" t="s">
        <v>2137</v>
      </c>
      <c r="B1972" s="1">
        <v>45899</v>
      </c>
      <c r="C1972" t="s">
        <v>43</v>
      </c>
      <c r="D1972" t="s">
        <v>51</v>
      </c>
      <c r="E1972" t="s">
        <v>52</v>
      </c>
      <c r="F1972" t="s">
        <v>46</v>
      </c>
      <c r="G1972" t="s">
        <v>75</v>
      </c>
      <c r="H1972" t="s">
        <v>23</v>
      </c>
      <c r="I1972" t="s">
        <v>24</v>
      </c>
      <c r="J1972" t="s">
        <v>25</v>
      </c>
      <c r="K1972">
        <v>5</v>
      </c>
      <c r="L1972" s="2">
        <v>28.28</v>
      </c>
      <c r="M1972" s="3">
        <v>0</v>
      </c>
      <c r="N1972" s="2">
        <v>141.4</v>
      </c>
      <c r="O1972" s="2">
        <v>107.21</v>
      </c>
      <c r="P1972" s="2">
        <v>34.19</v>
      </c>
      <c r="Q1972" t="s">
        <v>57</v>
      </c>
    </row>
    <row r="1973" spans="1:17" x14ac:dyDescent="0.2">
      <c r="A1973" t="s">
        <v>2138</v>
      </c>
      <c r="B1973" s="1">
        <v>45899</v>
      </c>
      <c r="C1973" t="s">
        <v>36</v>
      </c>
      <c r="D1973" t="s">
        <v>144</v>
      </c>
      <c r="E1973" t="s">
        <v>145</v>
      </c>
      <c r="F1973" t="s">
        <v>69</v>
      </c>
      <c r="G1973" t="s">
        <v>75</v>
      </c>
      <c r="H1973" t="s">
        <v>47</v>
      </c>
      <c r="I1973" t="s">
        <v>48</v>
      </c>
      <c r="J1973" t="s">
        <v>93</v>
      </c>
      <c r="K1973">
        <v>9</v>
      </c>
      <c r="L1973" s="2">
        <v>801.37</v>
      </c>
      <c r="M1973" s="3">
        <v>0.1</v>
      </c>
      <c r="N1973" s="2">
        <v>6491.1</v>
      </c>
      <c r="O1973" s="2">
        <v>3609.19</v>
      </c>
      <c r="P1973" s="2">
        <v>2881.91</v>
      </c>
      <c r="Q1973" t="s">
        <v>26</v>
      </c>
    </row>
    <row r="1974" spans="1:17" x14ac:dyDescent="0.2">
      <c r="A1974" t="s">
        <v>2139</v>
      </c>
      <c r="B1974" s="1">
        <v>45900</v>
      </c>
      <c r="C1974" t="s">
        <v>77</v>
      </c>
      <c r="D1974" t="s">
        <v>106</v>
      </c>
      <c r="E1974" t="s">
        <v>107</v>
      </c>
      <c r="F1974" t="s">
        <v>30</v>
      </c>
      <c r="G1974" t="s">
        <v>75</v>
      </c>
      <c r="H1974" t="s">
        <v>31</v>
      </c>
      <c r="I1974" t="s">
        <v>112</v>
      </c>
      <c r="J1974" t="s">
        <v>113</v>
      </c>
      <c r="K1974">
        <v>4</v>
      </c>
      <c r="L1974" s="2">
        <v>682.82</v>
      </c>
      <c r="M1974" s="3">
        <v>0</v>
      </c>
      <c r="N1974" s="2">
        <v>2731.28</v>
      </c>
      <c r="O1974" s="2">
        <v>2134.5</v>
      </c>
      <c r="P1974" s="2">
        <v>596.78</v>
      </c>
      <c r="Q1974" t="s">
        <v>34</v>
      </c>
    </row>
    <row r="1975" spans="1:17" x14ac:dyDescent="0.2">
      <c r="A1975" t="s">
        <v>2140</v>
      </c>
      <c r="B1975" s="1">
        <v>45900</v>
      </c>
      <c r="C1975" t="s">
        <v>77</v>
      </c>
      <c r="D1975" t="s">
        <v>128</v>
      </c>
      <c r="E1975" t="s">
        <v>155</v>
      </c>
      <c r="F1975" t="s">
        <v>39</v>
      </c>
      <c r="G1975" t="s">
        <v>75</v>
      </c>
      <c r="H1975" t="s">
        <v>31</v>
      </c>
      <c r="I1975" t="s">
        <v>32</v>
      </c>
      <c r="J1975" t="s">
        <v>33</v>
      </c>
      <c r="K1975">
        <v>8</v>
      </c>
      <c r="L1975" s="2">
        <v>1125.77</v>
      </c>
      <c r="M1975" s="3">
        <v>0.05</v>
      </c>
      <c r="N1975" s="2">
        <v>8555.85</v>
      </c>
      <c r="O1975" s="2">
        <v>5068.47</v>
      </c>
      <c r="P1975" s="2">
        <v>3487.38</v>
      </c>
      <c r="Q1975" t="s">
        <v>61</v>
      </c>
    </row>
    <row r="1976" spans="1:17" x14ac:dyDescent="0.2">
      <c r="A1976" t="s">
        <v>2141</v>
      </c>
      <c r="B1976" s="1">
        <v>45900</v>
      </c>
      <c r="C1976" t="s">
        <v>36</v>
      </c>
      <c r="D1976" t="s">
        <v>67</v>
      </c>
      <c r="E1976" t="s">
        <v>323</v>
      </c>
      <c r="F1976" t="s">
        <v>138</v>
      </c>
      <c r="G1976" t="s">
        <v>22</v>
      </c>
      <c r="H1976" t="s">
        <v>47</v>
      </c>
      <c r="I1976" t="s">
        <v>89</v>
      </c>
      <c r="J1976" t="s">
        <v>240</v>
      </c>
      <c r="K1976">
        <v>7</v>
      </c>
      <c r="L1976" s="2">
        <v>346.79</v>
      </c>
      <c r="M1976" s="3">
        <v>0</v>
      </c>
      <c r="N1976" s="2">
        <v>2427.5300000000002</v>
      </c>
      <c r="O1976" s="2">
        <v>1485.57</v>
      </c>
      <c r="P1976" s="2">
        <v>941.96</v>
      </c>
      <c r="Q1976" t="s">
        <v>34</v>
      </c>
    </row>
    <row r="1977" spans="1:17" x14ac:dyDescent="0.2">
      <c r="A1977" t="s">
        <v>2142</v>
      </c>
      <c r="B1977" s="1">
        <v>45900</v>
      </c>
      <c r="C1977" t="s">
        <v>36</v>
      </c>
      <c r="D1977" t="s">
        <v>67</v>
      </c>
      <c r="E1977" t="s">
        <v>68</v>
      </c>
      <c r="F1977" t="s">
        <v>46</v>
      </c>
      <c r="G1977" t="s">
        <v>54</v>
      </c>
      <c r="H1977" t="s">
        <v>47</v>
      </c>
      <c r="I1977" t="s">
        <v>48</v>
      </c>
      <c r="J1977" t="s">
        <v>164</v>
      </c>
      <c r="K1977">
        <v>3</v>
      </c>
      <c r="L1977" s="2">
        <v>278.91000000000003</v>
      </c>
      <c r="M1977" s="3">
        <v>0.15</v>
      </c>
      <c r="N1977" s="2">
        <v>711.22</v>
      </c>
      <c r="O1977" s="2">
        <v>403.89</v>
      </c>
      <c r="P1977" s="2">
        <v>307.33</v>
      </c>
      <c r="Q1977" t="s">
        <v>34</v>
      </c>
    </row>
    <row r="1978" spans="1:17" x14ac:dyDescent="0.2">
      <c r="A1978" t="s">
        <v>2143</v>
      </c>
      <c r="B1978" s="1">
        <v>45900</v>
      </c>
      <c r="C1978" t="s">
        <v>77</v>
      </c>
      <c r="D1978" t="s">
        <v>128</v>
      </c>
      <c r="E1978" t="s">
        <v>155</v>
      </c>
      <c r="F1978" t="s">
        <v>60</v>
      </c>
      <c r="G1978" t="s">
        <v>22</v>
      </c>
      <c r="H1978" t="s">
        <v>23</v>
      </c>
      <c r="I1978" t="s">
        <v>24</v>
      </c>
      <c r="J1978" t="s">
        <v>108</v>
      </c>
      <c r="K1978">
        <v>3</v>
      </c>
      <c r="L1978" s="2">
        <v>28.06</v>
      </c>
      <c r="M1978" s="3">
        <v>0</v>
      </c>
      <c r="N1978" s="2">
        <v>84.18</v>
      </c>
      <c r="O1978" s="2">
        <v>46.65</v>
      </c>
      <c r="P1978" s="2">
        <v>37.53</v>
      </c>
      <c r="Q1978" t="s">
        <v>34</v>
      </c>
    </row>
    <row r="1979" spans="1:17" x14ac:dyDescent="0.2">
      <c r="A1979" t="s">
        <v>2144</v>
      </c>
      <c r="B1979" s="1">
        <v>45900</v>
      </c>
      <c r="C1979" t="s">
        <v>18</v>
      </c>
      <c r="D1979" t="s">
        <v>152</v>
      </c>
      <c r="E1979" t="s">
        <v>185</v>
      </c>
      <c r="F1979" t="s">
        <v>69</v>
      </c>
      <c r="G1979" t="s">
        <v>22</v>
      </c>
      <c r="H1979" t="s">
        <v>23</v>
      </c>
      <c r="I1979" t="s">
        <v>83</v>
      </c>
      <c r="J1979" t="s">
        <v>120</v>
      </c>
      <c r="K1979">
        <v>5</v>
      </c>
      <c r="L1979" s="2">
        <v>33.590000000000003</v>
      </c>
      <c r="M1979" s="3">
        <v>0.1</v>
      </c>
      <c r="N1979" s="2">
        <v>151.16</v>
      </c>
      <c r="O1979" s="2">
        <v>121.07</v>
      </c>
      <c r="P1979" s="2">
        <v>30.09</v>
      </c>
      <c r="Q1979" t="s">
        <v>34</v>
      </c>
    </row>
    <row r="1980" spans="1:17" x14ac:dyDescent="0.2">
      <c r="A1980" t="s">
        <v>2145</v>
      </c>
      <c r="B1980" s="1">
        <v>45900</v>
      </c>
      <c r="C1980" t="s">
        <v>77</v>
      </c>
      <c r="D1980" t="s">
        <v>95</v>
      </c>
      <c r="E1980" t="s">
        <v>96</v>
      </c>
      <c r="F1980" t="s">
        <v>69</v>
      </c>
      <c r="G1980" t="s">
        <v>22</v>
      </c>
      <c r="H1980" t="s">
        <v>31</v>
      </c>
      <c r="I1980" t="s">
        <v>112</v>
      </c>
      <c r="J1980" t="s">
        <v>113</v>
      </c>
      <c r="K1980">
        <v>2</v>
      </c>
      <c r="L1980" s="2">
        <v>302.33999999999997</v>
      </c>
      <c r="M1980" s="3">
        <v>0.1</v>
      </c>
      <c r="N1980" s="2">
        <v>544.21</v>
      </c>
      <c r="O1980" s="2">
        <v>423.71</v>
      </c>
      <c r="P1980" s="2">
        <v>120.5</v>
      </c>
      <c r="Q1980" t="s">
        <v>61</v>
      </c>
    </row>
    <row r="1981" spans="1:17" x14ac:dyDescent="0.2">
      <c r="A1981" t="s">
        <v>2146</v>
      </c>
      <c r="B1981" s="1">
        <v>45900</v>
      </c>
      <c r="C1981" t="s">
        <v>43</v>
      </c>
      <c r="D1981" t="s">
        <v>44</v>
      </c>
      <c r="E1981" t="s">
        <v>45</v>
      </c>
      <c r="F1981" t="s">
        <v>46</v>
      </c>
      <c r="G1981" t="s">
        <v>75</v>
      </c>
      <c r="H1981" t="s">
        <v>31</v>
      </c>
      <c r="I1981" t="s">
        <v>112</v>
      </c>
      <c r="J1981" t="s">
        <v>113</v>
      </c>
      <c r="K1981">
        <v>5</v>
      </c>
      <c r="L1981" s="2">
        <v>677.2</v>
      </c>
      <c r="M1981" s="3">
        <v>0.1</v>
      </c>
      <c r="N1981" s="2">
        <v>3047.4</v>
      </c>
      <c r="O1981" s="2">
        <v>1739.61</v>
      </c>
      <c r="P1981" s="2">
        <v>1307.79</v>
      </c>
      <c r="Q1981" t="s">
        <v>34</v>
      </c>
    </row>
    <row r="1982" spans="1:17" x14ac:dyDescent="0.2">
      <c r="A1982" t="s">
        <v>2147</v>
      </c>
      <c r="B1982" s="1">
        <v>45900</v>
      </c>
      <c r="C1982" t="s">
        <v>77</v>
      </c>
      <c r="D1982" t="s">
        <v>149</v>
      </c>
      <c r="E1982" t="s">
        <v>309</v>
      </c>
      <c r="F1982" t="s">
        <v>71</v>
      </c>
      <c r="G1982" t="s">
        <v>54</v>
      </c>
      <c r="H1982" t="s">
        <v>47</v>
      </c>
      <c r="I1982" t="s">
        <v>97</v>
      </c>
      <c r="J1982" t="s">
        <v>168</v>
      </c>
      <c r="K1982">
        <v>4</v>
      </c>
      <c r="L1982" s="2">
        <v>688.99</v>
      </c>
      <c r="M1982" s="3">
        <v>0.1</v>
      </c>
      <c r="N1982" s="2">
        <v>2480.36</v>
      </c>
      <c r="O1982" s="2">
        <v>1720.49</v>
      </c>
      <c r="P1982" s="2">
        <v>759.87</v>
      </c>
      <c r="Q1982" t="s">
        <v>61</v>
      </c>
    </row>
    <row r="1983" spans="1:17" x14ac:dyDescent="0.2">
      <c r="A1983" t="s">
        <v>2148</v>
      </c>
      <c r="B1983" s="1">
        <v>45900</v>
      </c>
      <c r="C1983" t="s">
        <v>36</v>
      </c>
      <c r="D1983" t="s">
        <v>73</v>
      </c>
      <c r="E1983" t="s">
        <v>74</v>
      </c>
      <c r="F1983" t="s">
        <v>53</v>
      </c>
      <c r="G1983" t="s">
        <v>22</v>
      </c>
      <c r="H1983" t="s">
        <v>23</v>
      </c>
      <c r="I1983" t="s">
        <v>83</v>
      </c>
      <c r="J1983" t="s">
        <v>120</v>
      </c>
      <c r="K1983">
        <v>1</v>
      </c>
      <c r="L1983" s="2">
        <v>33.04</v>
      </c>
      <c r="M1983" s="3">
        <v>0.05</v>
      </c>
      <c r="N1983" s="2">
        <v>31.39</v>
      </c>
      <c r="O1983" s="2">
        <v>23.71</v>
      </c>
      <c r="P1983" s="2">
        <v>7.68</v>
      </c>
      <c r="Q1983" t="s">
        <v>61</v>
      </c>
    </row>
    <row r="1984" spans="1:17" x14ac:dyDescent="0.2">
      <c r="A1984" t="s">
        <v>2149</v>
      </c>
      <c r="B1984" s="1">
        <v>45900</v>
      </c>
      <c r="C1984" t="s">
        <v>36</v>
      </c>
      <c r="D1984" t="s">
        <v>73</v>
      </c>
      <c r="E1984" t="s">
        <v>247</v>
      </c>
      <c r="F1984" t="s">
        <v>46</v>
      </c>
      <c r="G1984" t="s">
        <v>22</v>
      </c>
      <c r="H1984" t="s">
        <v>31</v>
      </c>
      <c r="I1984" t="s">
        <v>64</v>
      </c>
      <c r="J1984" t="s">
        <v>65</v>
      </c>
      <c r="K1984">
        <v>10</v>
      </c>
      <c r="L1984" s="2">
        <v>83.27</v>
      </c>
      <c r="M1984" s="3">
        <v>0.05</v>
      </c>
      <c r="N1984" s="2">
        <v>791.06</v>
      </c>
      <c r="O1984" s="2">
        <v>557.30999999999995</v>
      </c>
      <c r="P1984" s="2">
        <v>233.75</v>
      </c>
      <c r="Q1984" t="s">
        <v>26</v>
      </c>
    </row>
    <row r="1985" spans="1:17" x14ac:dyDescent="0.2">
      <c r="A1985" t="s">
        <v>2150</v>
      </c>
      <c r="B1985" s="1">
        <v>45901</v>
      </c>
      <c r="C1985" t="s">
        <v>43</v>
      </c>
      <c r="D1985" t="s">
        <v>51</v>
      </c>
      <c r="E1985" t="s">
        <v>52</v>
      </c>
      <c r="F1985" t="s">
        <v>69</v>
      </c>
      <c r="G1985" t="s">
        <v>22</v>
      </c>
      <c r="H1985" t="s">
        <v>47</v>
      </c>
      <c r="I1985" t="s">
        <v>89</v>
      </c>
      <c r="J1985" t="s">
        <v>90</v>
      </c>
      <c r="K1985">
        <v>10</v>
      </c>
      <c r="L1985" s="2">
        <v>393.16</v>
      </c>
      <c r="M1985" s="3">
        <v>0.2</v>
      </c>
      <c r="N1985" s="2">
        <v>3145.28</v>
      </c>
      <c r="O1985" s="2">
        <v>2410.27</v>
      </c>
      <c r="P1985" s="2">
        <v>735.01</v>
      </c>
      <c r="Q1985" t="s">
        <v>57</v>
      </c>
    </row>
    <row r="1986" spans="1:17" x14ac:dyDescent="0.2">
      <c r="A1986" t="s">
        <v>2151</v>
      </c>
      <c r="B1986" s="1">
        <v>45901</v>
      </c>
      <c r="C1986" t="s">
        <v>43</v>
      </c>
      <c r="D1986" t="s">
        <v>161</v>
      </c>
      <c r="E1986" t="s">
        <v>418</v>
      </c>
      <c r="F1986" t="s">
        <v>21</v>
      </c>
      <c r="G1986" t="s">
        <v>54</v>
      </c>
      <c r="H1986" t="s">
        <v>23</v>
      </c>
      <c r="I1986" t="s">
        <v>24</v>
      </c>
      <c r="J1986" t="s">
        <v>108</v>
      </c>
      <c r="K1986">
        <v>6</v>
      </c>
      <c r="L1986" s="2">
        <v>16.82</v>
      </c>
      <c r="M1986" s="3">
        <v>0.05</v>
      </c>
      <c r="N1986" s="2">
        <v>95.87</v>
      </c>
      <c r="O1986" s="2">
        <v>75.91</v>
      </c>
      <c r="P1986" s="2">
        <v>19.96</v>
      </c>
      <c r="Q1986" t="s">
        <v>61</v>
      </c>
    </row>
    <row r="1987" spans="1:17" x14ac:dyDescent="0.2">
      <c r="A1987" t="s">
        <v>2152</v>
      </c>
      <c r="B1987" s="1">
        <v>45901</v>
      </c>
      <c r="C1987" t="s">
        <v>43</v>
      </c>
      <c r="D1987" t="s">
        <v>44</v>
      </c>
      <c r="E1987" t="s">
        <v>45</v>
      </c>
      <c r="F1987" t="s">
        <v>60</v>
      </c>
      <c r="G1987" t="s">
        <v>75</v>
      </c>
      <c r="H1987" t="s">
        <v>23</v>
      </c>
      <c r="I1987" t="s">
        <v>83</v>
      </c>
      <c r="J1987" t="s">
        <v>120</v>
      </c>
      <c r="K1987">
        <v>4</v>
      </c>
      <c r="L1987" s="2">
        <v>33.61</v>
      </c>
      <c r="M1987" s="3">
        <v>0.1</v>
      </c>
      <c r="N1987" s="2">
        <v>121</v>
      </c>
      <c r="O1987" s="2">
        <v>85.99</v>
      </c>
      <c r="P1987" s="2">
        <v>35.01</v>
      </c>
      <c r="Q1987" t="s">
        <v>34</v>
      </c>
    </row>
    <row r="1988" spans="1:17" x14ac:dyDescent="0.2">
      <c r="A1988" t="s">
        <v>2153</v>
      </c>
      <c r="B1988" s="1">
        <v>45901</v>
      </c>
      <c r="C1988" t="s">
        <v>43</v>
      </c>
      <c r="D1988" t="s">
        <v>44</v>
      </c>
      <c r="E1988" t="s">
        <v>45</v>
      </c>
      <c r="F1988" t="s">
        <v>69</v>
      </c>
      <c r="G1988" t="s">
        <v>54</v>
      </c>
      <c r="H1988" t="s">
        <v>31</v>
      </c>
      <c r="I1988" t="s">
        <v>112</v>
      </c>
      <c r="J1988" t="s">
        <v>113</v>
      </c>
      <c r="K1988">
        <v>6</v>
      </c>
      <c r="L1988" s="2">
        <v>650.29999999999995</v>
      </c>
      <c r="M1988" s="3">
        <v>0.15</v>
      </c>
      <c r="N1988" s="2">
        <v>3316.53</v>
      </c>
      <c r="O1988" s="2">
        <v>2136.98</v>
      </c>
      <c r="P1988" s="2">
        <v>1179.55</v>
      </c>
      <c r="Q1988" t="s">
        <v>26</v>
      </c>
    </row>
    <row r="1989" spans="1:17" x14ac:dyDescent="0.2">
      <c r="A1989" t="s">
        <v>2154</v>
      </c>
      <c r="B1989" s="1">
        <v>45901</v>
      </c>
      <c r="C1989" t="s">
        <v>43</v>
      </c>
      <c r="D1989" t="s">
        <v>244</v>
      </c>
      <c r="E1989" t="s">
        <v>245</v>
      </c>
      <c r="F1989" t="s">
        <v>53</v>
      </c>
      <c r="G1989" t="s">
        <v>22</v>
      </c>
      <c r="H1989" t="s">
        <v>31</v>
      </c>
      <c r="I1989" t="s">
        <v>40</v>
      </c>
      <c r="J1989" t="s">
        <v>41</v>
      </c>
      <c r="K1989">
        <v>1</v>
      </c>
      <c r="L1989" s="2">
        <v>161.38999999999999</v>
      </c>
      <c r="M1989" s="3">
        <v>0.05</v>
      </c>
      <c r="N1989" s="2">
        <v>153.32</v>
      </c>
      <c r="O1989" s="2">
        <v>94.35</v>
      </c>
      <c r="P1989" s="2">
        <v>58.97</v>
      </c>
      <c r="Q1989" t="s">
        <v>57</v>
      </c>
    </row>
    <row r="1990" spans="1:17" x14ac:dyDescent="0.2">
      <c r="A1990" t="s">
        <v>2155</v>
      </c>
      <c r="B1990" s="1">
        <v>45901</v>
      </c>
      <c r="C1990" t="s">
        <v>77</v>
      </c>
      <c r="D1990" t="s">
        <v>149</v>
      </c>
      <c r="E1990" t="s">
        <v>206</v>
      </c>
      <c r="F1990" t="s">
        <v>138</v>
      </c>
      <c r="G1990" t="s">
        <v>22</v>
      </c>
      <c r="H1990" t="s">
        <v>23</v>
      </c>
      <c r="I1990" t="s">
        <v>24</v>
      </c>
      <c r="J1990" t="s">
        <v>108</v>
      </c>
      <c r="K1990">
        <v>6</v>
      </c>
      <c r="L1990" s="2">
        <v>12.51</v>
      </c>
      <c r="M1990" s="3">
        <v>0.1</v>
      </c>
      <c r="N1990" s="2">
        <v>67.55</v>
      </c>
      <c r="O1990" s="2">
        <v>52.51</v>
      </c>
      <c r="P1990" s="2">
        <v>15.04</v>
      </c>
      <c r="Q1990" t="s">
        <v>26</v>
      </c>
    </row>
    <row r="1991" spans="1:17" x14ac:dyDescent="0.2">
      <c r="A1991" t="s">
        <v>2156</v>
      </c>
      <c r="B1991" s="1">
        <v>45901</v>
      </c>
      <c r="C1991" t="s">
        <v>77</v>
      </c>
      <c r="D1991" t="s">
        <v>78</v>
      </c>
      <c r="E1991" t="s">
        <v>261</v>
      </c>
      <c r="F1991" t="s">
        <v>71</v>
      </c>
      <c r="G1991" t="s">
        <v>54</v>
      </c>
      <c r="H1991" t="s">
        <v>31</v>
      </c>
      <c r="I1991" t="s">
        <v>112</v>
      </c>
      <c r="J1991" t="s">
        <v>113</v>
      </c>
      <c r="K1991">
        <v>6</v>
      </c>
      <c r="L1991" s="2">
        <v>620.17999999999995</v>
      </c>
      <c r="M1991" s="3">
        <v>0.1</v>
      </c>
      <c r="N1991" s="2">
        <v>3348.97</v>
      </c>
      <c r="O1991" s="2">
        <v>2025.03</v>
      </c>
      <c r="P1991" s="2">
        <v>1323.94</v>
      </c>
      <c r="Q1991" t="s">
        <v>57</v>
      </c>
    </row>
    <row r="1992" spans="1:17" x14ac:dyDescent="0.2">
      <c r="A1992" t="s">
        <v>2157</v>
      </c>
      <c r="B1992" s="1">
        <v>45901</v>
      </c>
      <c r="C1992" t="s">
        <v>77</v>
      </c>
      <c r="D1992" t="s">
        <v>128</v>
      </c>
      <c r="E1992" t="s">
        <v>159</v>
      </c>
      <c r="F1992" t="s">
        <v>30</v>
      </c>
      <c r="G1992" t="s">
        <v>75</v>
      </c>
      <c r="H1992" t="s">
        <v>31</v>
      </c>
      <c r="I1992" t="s">
        <v>40</v>
      </c>
      <c r="J1992" t="s">
        <v>41</v>
      </c>
      <c r="K1992">
        <v>9</v>
      </c>
      <c r="L1992" s="2">
        <v>58</v>
      </c>
      <c r="M1992" s="3">
        <v>0.15</v>
      </c>
      <c r="N1992" s="2">
        <v>443.7</v>
      </c>
      <c r="O1992" s="2">
        <v>256.95</v>
      </c>
      <c r="P1992" s="2">
        <v>186.75</v>
      </c>
      <c r="Q1992" t="s">
        <v>34</v>
      </c>
    </row>
    <row r="1993" spans="1:17" x14ac:dyDescent="0.2">
      <c r="A1993" t="s">
        <v>2158</v>
      </c>
      <c r="B1993" s="1">
        <v>45901</v>
      </c>
      <c r="C1993" t="s">
        <v>18</v>
      </c>
      <c r="D1993" t="s">
        <v>86</v>
      </c>
      <c r="E1993" t="s">
        <v>92</v>
      </c>
      <c r="F1993" t="s">
        <v>69</v>
      </c>
      <c r="G1993" t="s">
        <v>22</v>
      </c>
      <c r="H1993" t="s">
        <v>47</v>
      </c>
      <c r="I1993" t="s">
        <v>97</v>
      </c>
      <c r="J1993" t="s">
        <v>168</v>
      </c>
      <c r="K1993">
        <v>4</v>
      </c>
      <c r="L1993" s="2">
        <v>238.7</v>
      </c>
      <c r="M1993" s="3">
        <v>0.1</v>
      </c>
      <c r="N1993" s="2">
        <v>859.32</v>
      </c>
      <c r="O1993" s="2">
        <v>613.22</v>
      </c>
      <c r="P1993" s="2">
        <v>246.1</v>
      </c>
      <c r="Q1993" t="s">
        <v>61</v>
      </c>
    </row>
    <row r="1994" spans="1:17" x14ac:dyDescent="0.2">
      <c r="A1994" t="s">
        <v>2159</v>
      </c>
      <c r="B1994" s="1">
        <v>45901</v>
      </c>
      <c r="C1994" t="s">
        <v>18</v>
      </c>
      <c r="D1994" t="s">
        <v>86</v>
      </c>
      <c r="E1994" t="s">
        <v>140</v>
      </c>
      <c r="F1994" t="s">
        <v>71</v>
      </c>
      <c r="G1994" t="s">
        <v>75</v>
      </c>
      <c r="H1994" t="s">
        <v>47</v>
      </c>
      <c r="I1994" t="s">
        <v>141</v>
      </c>
      <c r="J1994" t="s">
        <v>142</v>
      </c>
      <c r="K1994">
        <v>3</v>
      </c>
      <c r="L1994" s="2">
        <v>765.21</v>
      </c>
      <c r="M1994" s="3">
        <v>0</v>
      </c>
      <c r="N1994" s="2">
        <v>2295.63</v>
      </c>
      <c r="O1994" s="2">
        <v>1419</v>
      </c>
      <c r="P1994" s="2">
        <v>876.63</v>
      </c>
      <c r="Q1994" t="s">
        <v>34</v>
      </c>
    </row>
    <row r="1995" spans="1:17" x14ac:dyDescent="0.2">
      <c r="A1995" t="s">
        <v>2160</v>
      </c>
      <c r="B1995" s="1">
        <v>45901</v>
      </c>
      <c r="C1995" t="s">
        <v>18</v>
      </c>
      <c r="D1995" t="s">
        <v>133</v>
      </c>
      <c r="E1995" t="s">
        <v>134</v>
      </c>
      <c r="F1995" t="s">
        <v>60</v>
      </c>
      <c r="G1995" t="s">
        <v>75</v>
      </c>
      <c r="H1995" t="s">
        <v>31</v>
      </c>
      <c r="I1995" t="s">
        <v>112</v>
      </c>
      <c r="J1995" t="s">
        <v>113</v>
      </c>
      <c r="K1995">
        <v>7</v>
      </c>
      <c r="L1995" s="2">
        <v>550.92999999999995</v>
      </c>
      <c r="M1995" s="3">
        <v>0.1</v>
      </c>
      <c r="N1995" s="2">
        <v>3470.86</v>
      </c>
      <c r="O1995" s="2">
        <v>2746.35</v>
      </c>
      <c r="P1995" s="2">
        <v>724.51</v>
      </c>
      <c r="Q1995" t="s">
        <v>26</v>
      </c>
    </row>
    <row r="1996" spans="1:17" x14ac:dyDescent="0.2">
      <c r="A1996" t="s">
        <v>2161</v>
      </c>
      <c r="B1996" s="1">
        <v>45902</v>
      </c>
      <c r="C1996" t="s">
        <v>18</v>
      </c>
      <c r="D1996" t="s">
        <v>152</v>
      </c>
      <c r="E1996" t="s">
        <v>185</v>
      </c>
      <c r="F1996" t="s">
        <v>138</v>
      </c>
      <c r="G1996" t="s">
        <v>54</v>
      </c>
      <c r="H1996" t="s">
        <v>23</v>
      </c>
      <c r="I1996" t="s">
        <v>55</v>
      </c>
      <c r="J1996" t="s">
        <v>173</v>
      </c>
      <c r="K1996">
        <v>6</v>
      </c>
      <c r="L1996" s="2">
        <v>16.93</v>
      </c>
      <c r="M1996" s="3">
        <v>0</v>
      </c>
      <c r="N1996" s="2">
        <v>101.58</v>
      </c>
      <c r="O1996" s="2">
        <v>72.739999999999995</v>
      </c>
      <c r="P1996" s="2">
        <v>28.84</v>
      </c>
      <c r="Q1996" t="s">
        <v>26</v>
      </c>
    </row>
    <row r="1997" spans="1:17" x14ac:dyDescent="0.2">
      <c r="A1997" t="s">
        <v>2162</v>
      </c>
      <c r="B1997" s="1">
        <v>45902</v>
      </c>
      <c r="C1997" t="s">
        <v>43</v>
      </c>
      <c r="D1997" t="s">
        <v>44</v>
      </c>
      <c r="E1997" t="s">
        <v>147</v>
      </c>
      <c r="F1997" t="s">
        <v>53</v>
      </c>
      <c r="G1997" t="s">
        <v>75</v>
      </c>
      <c r="H1997" t="s">
        <v>47</v>
      </c>
      <c r="I1997" t="s">
        <v>141</v>
      </c>
      <c r="J1997" t="s">
        <v>201</v>
      </c>
      <c r="K1997">
        <v>2</v>
      </c>
      <c r="L1997" s="2">
        <v>326.02</v>
      </c>
      <c r="M1997" s="3">
        <v>0.1</v>
      </c>
      <c r="N1997" s="2">
        <v>586.84</v>
      </c>
      <c r="O1997" s="2">
        <v>377.12</v>
      </c>
      <c r="P1997" s="2">
        <v>209.72</v>
      </c>
      <c r="Q1997" t="s">
        <v>61</v>
      </c>
    </row>
    <row r="1998" spans="1:17" x14ac:dyDescent="0.2">
      <c r="A1998" t="s">
        <v>2163</v>
      </c>
      <c r="B1998" s="1">
        <v>45902</v>
      </c>
      <c r="C1998" t="s">
        <v>77</v>
      </c>
      <c r="D1998" t="s">
        <v>95</v>
      </c>
      <c r="E1998" t="s">
        <v>367</v>
      </c>
      <c r="F1998" t="s">
        <v>130</v>
      </c>
      <c r="G1998" t="s">
        <v>75</v>
      </c>
      <c r="H1998" t="s">
        <v>31</v>
      </c>
      <c r="I1998" t="s">
        <v>40</v>
      </c>
      <c r="J1998" t="s">
        <v>41</v>
      </c>
      <c r="K1998">
        <v>1</v>
      </c>
      <c r="L1998" s="2">
        <v>199.43</v>
      </c>
      <c r="M1998" s="3">
        <v>0.15</v>
      </c>
      <c r="N1998" s="2">
        <v>169.52</v>
      </c>
      <c r="O1998" s="2">
        <v>106.08</v>
      </c>
      <c r="P1998" s="2">
        <v>63.44</v>
      </c>
      <c r="Q1998" t="s">
        <v>34</v>
      </c>
    </row>
    <row r="1999" spans="1:17" x14ac:dyDescent="0.2">
      <c r="A1999" t="s">
        <v>2164</v>
      </c>
      <c r="B1999" s="1">
        <v>45902</v>
      </c>
      <c r="C1999" t="s">
        <v>43</v>
      </c>
      <c r="D1999" t="s">
        <v>161</v>
      </c>
      <c r="E1999" t="s">
        <v>418</v>
      </c>
      <c r="F1999" t="s">
        <v>21</v>
      </c>
      <c r="G1999" t="s">
        <v>75</v>
      </c>
      <c r="H1999" t="s">
        <v>47</v>
      </c>
      <c r="I1999" t="s">
        <v>89</v>
      </c>
      <c r="J1999" t="s">
        <v>204</v>
      </c>
      <c r="K1999">
        <v>6</v>
      </c>
      <c r="L1999" s="2">
        <v>175.64</v>
      </c>
      <c r="M1999" s="3">
        <v>0.1</v>
      </c>
      <c r="N1999" s="2">
        <v>948.46</v>
      </c>
      <c r="O1999" s="2">
        <v>709.32</v>
      </c>
      <c r="P1999" s="2">
        <v>239.14</v>
      </c>
      <c r="Q1999" t="s">
        <v>57</v>
      </c>
    </row>
    <row r="2000" spans="1:17" x14ac:dyDescent="0.2">
      <c r="A2000" t="s">
        <v>2165</v>
      </c>
      <c r="B2000" s="1">
        <v>45902</v>
      </c>
      <c r="C2000" t="s">
        <v>18</v>
      </c>
      <c r="D2000" t="s">
        <v>86</v>
      </c>
      <c r="E2000" t="s">
        <v>92</v>
      </c>
      <c r="F2000" t="s">
        <v>39</v>
      </c>
      <c r="G2000" t="s">
        <v>54</v>
      </c>
      <c r="H2000" t="s">
        <v>23</v>
      </c>
      <c r="I2000" t="s">
        <v>24</v>
      </c>
      <c r="J2000" t="s">
        <v>25</v>
      </c>
      <c r="K2000">
        <v>3</v>
      </c>
      <c r="L2000" s="2">
        <v>15.31</v>
      </c>
      <c r="M2000" s="3">
        <v>0.15</v>
      </c>
      <c r="N2000" s="2">
        <v>39.04</v>
      </c>
      <c r="O2000" s="2">
        <v>24.19</v>
      </c>
      <c r="P2000" s="2">
        <v>14.85</v>
      </c>
      <c r="Q2000" t="s">
        <v>26</v>
      </c>
    </row>
    <row r="2001" spans="1:17" x14ac:dyDescent="0.2">
      <c r="A2001" t="s">
        <v>2166</v>
      </c>
      <c r="B2001" s="1">
        <v>45902</v>
      </c>
      <c r="C2001" t="s">
        <v>43</v>
      </c>
      <c r="D2001" t="s">
        <v>44</v>
      </c>
      <c r="E2001" t="s">
        <v>147</v>
      </c>
      <c r="F2001" t="s">
        <v>130</v>
      </c>
      <c r="G2001" t="s">
        <v>22</v>
      </c>
      <c r="H2001" t="s">
        <v>23</v>
      </c>
      <c r="I2001" t="s">
        <v>55</v>
      </c>
      <c r="J2001" t="s">
        <v>102</v>
      </c>
      <c r="K2001">
        <v>1</v>
      </c>
      <c r="L2001" s="2">
        <v>19.75</v>
      </c>
      <c r="M2001" s="3">
        <v>0</v>
      </c>
      <c r="N2001" s="2">
        <v>19.75</v>
      </c>
      <c r="O2001" s="2">
        <v>12.61</v>
      </c>
      <c r="P2001" s="2">
        <v>7.14</v>
      </c>
      <c r="Q2001" t="s">
        <v>57</v>
      </c>
    </row>
    <row r="2002" spans="1:17" x14ac:dyDescent="0.2">
      <c r="A2002" t="s">
        <v>2167</v>
      </c>
      <c r="B2002" s="1">
        <v>45902</v>
      </c>
      <c r="C2002" t="s">
        <v>43</v>
      </c>
      <c r="D2002" t="s">
        <v>44</v>
      </c>
      <c r="E2002" t="s">
        <v>45</v>
      </c>
      <c r="F2002" t="s">
        <v>71</v>
      </c>
      <c r="G2002" t="s">
        <v>22</v>
      </c>
      <c r="H2002" t="s">
        <v>31</v>
      </c>
      <c r="I2002" t="s">
        <v>32</v>
      </c>
      <c r="J2002" t="s">
        <v>104</v>
      </c>
      <c r="K2002">
        <v>7</v>
      </c>
      <c r="L2002" s="2">
        <v>838.23</v>
      </c>
      <c r="M2002" s="3">
        <v>0</v>
      </c>
      <c r="N2002" s="2">
        <v>5867.61</v>
      </c>
      <c r="O2002" s="2">
        <v>4686.32</v>
      </c>
      <c r="P2002" s="2">
        <v>1181.29</v>
      </c>
      <c r="Q2002" t="s">
        <v>61</v>
      </c>
    </row>
    <row r="2003" spans="1:17" x14ac:dyDescent="0.2">
      <c r="A2003" t="s">
        <v>2168</v>
      </c>
      <c r="B2003" s="1">
        <v>45902</v>
      </c>
      <c r="C2003" t="s">
        <v>36</v>
      </c>
      <c r="D2003" t="s">
        <v>110</v>
      </c>
      <c r="E2003" t="s">
        <v>111</v>
      </c>
      <c r="F2003" t="s">
        <v>60</v>
      </c>
      <c r="G2003" t="s">
        <v>22</v>
      </c>
      <c r="H2003" t="s">
        <v>31</v>
      </c>
      <c r="I2003" t="s">
        <v>112</v>
      </c>
      <c r="J2003" t="s">
        <v>136</v>
      </c>
      <c r="K2003">
        <v>4</v>
      </c>
      <c r="L2003" s="2">
        <v>294</v>
      </c>
      <c r="M2003" s="3">
        <v>0.15</v>
      </c>
      <c r="N2003" s="2">
        <v>999.6</v>
      </c>
      <c r="O2003" s="2">
        <v>732.47</v>
      </c>
      <c r="P2003" s="2">
        <v>267.13</v>
      </c>
      <c r="Q2003" t="s">
        <v>26</v>
      </c>
    </row>
    <row r="2004" spans="1:17" x14ac:dyDescent="0.2">
      <c r="A2004" t="s">
        <v>2169</v>
      </c>
      <c r="B2004" s="1">
        <v>45902</v>
      </c>
      <c r="C2004" t="s">
        <v>77</v>
      </c>
      <c r="D2004" t="s">
        <v>149</v>
      </c>
      <c r="E2004" t="s">
        <v>206</v>
      </c>
      <c r="F2004" t="s">
        <v>130</v>
      </c>
      <c r="G2004" t="s">
        <v>22</v>
      </c>
      <c r="H2004" t="s">
        <v>23</v>
      </c>
      <c r="I2004" t="s">
        <v>79</v>
      </c>
      <c r="J2004" t="s">
        <v>179</v>
      </c>
      <c r="K2004">
        <v>10</v>
      </c>
      <c r="L2004" s="2">
        <v>250.54</v>
      </c>
      <c r="M2004" s="3">
        <v>0.15</v>
      </c>
      <c r="N2004" s="2">
        <v>2129.59</v>
      </c>
      <c r="O2004" s="2">
        <v>1408.73</v>
      </c>
      <c r="P2004" s="2">
        <v>720.86</v>
      </c>
      <c r="Q2004" t="s">
        <v>26</v>
      </c>
    </row>
    <row r="2005" spans="1:17" x14ac:dyDescent="0.2">
      <c r="A2005" t="s">
        <v>2170</v>
      </c>
      <c r="B2005" s="1">
        <v>45903</v>
      </c>
      <c r="C2005" t="s">
        <v>18</v>
      </c>
      <c r="D2005" t="s">
        <v>152</v>
      </c>
      <c r="E2005" t="s">
        <v>185</v>
      </c>
      <c r="F2005" t="s">
        <v>53</v>
      </c>
      <c r="G2005" t="s">
        <v>22</v>
      </c>
      <c r="H2005" t="s">
        <v>31</v>
      </c>
      <c r="I2005" t="s">
        <v>32</v>
      </c>
      <c r="J2005" t="s">
        <v>104</v>
      </c>
      <c r="K2005">
        <v>5</v>
      </c>
      <c r="L2005" s="2">
        <v>766.58</v>
      </c>
      <c r="M2005" s="3">
        <v>0</v>
      </c>
      <c r="N2005" s="2">
        <v>3832.9</v>
      </c>
      <c r="O2005" s="2">
        <v>2261.44</v>
      </c>
      <c r="P2005" s="2">
        <v>1571.46</v>
      </c>
      <c r="Q2005" t="s">
        <v>57</v>
      </c>
    </row>
    <row r="2006" spans="1:17" x14ac:dyDescent="0.2">
      <c r="A2006" t="s">
        <v>2171</v>
      </c>
      <c r="B2006" s="1">
        <v>45903</v>
      </c>
      <c r="C2006" t="s">
        <v>36</v>
      </c>
      <c r="D2006" t="s">
        <v>110</v>
      </c>
      <c r="E2006" t="s">
        <v>115</v>
      </c>
      <c r="F2006" t="s">
        <v>39</v>
      </c>
      <c r="G2006" t="s">
        <v>22</v>
      </c>
      <c r="H2006" t="s">
        <v>47</v>
      </c>
      <c r="I2006" t="s">
        <v>97</v>
      </c>
      <c r="J2006" t="s">
        <v>116</v>
      </c>
      <c r="K2006">
        <v>5</v>
      </c>
      <c r="L2006" s="2">
        <v>430.23</v>
      </c>
      <c r="M2006" s="3">
        <v>0.1</v>
      </c>
      <c r="N2006" s="2">
        <v>1936.04</v>
      </c>
      <c r="O2006" s="2">
        <v>1292.6300000000001</v>
      </c>
      <c r="P2006" s="2">
        <v>643.41</v>
      </c>
      <c r="Q2006" t="s">
        <v>34</v>
      </c>
    </row>
    <row r="2007" spans="1:17" x14ac:dyDescent="0.2">
      <c r="A2007" t="s">
        <v>2172</v>
      </c>
      <c r="B2007" s="1">
        <v>45903</v>
      </c>
      <c r="C2007" t="s">
        <v>77</v>
      </c>
      <c r="D2007" t="s">
        <v>128</v>
      </c>
      <c r="E2007" t="s">
        <v>155</v>
      </c>
      <c r="F2007" t="s">
        <v>53</v>
      </c>
      <c r="G2007" t="s">
        <v>22</v>
      </c>
      <c r="H2007" t="s">
        <v>23</v>
      </c>
      <c r="I2007" t="s">
        <v>24</v>
      </c>
      <c r="J2007" t="s">
        <v>108</v>
      </c>
      <c r="K2007">
        <v>5</v>
      </c>
      <c r="L2007" s="2">
        <v>15.16</v>
      </c>
      <c r="M2007" s="3">
        <v>0.05</v>
      </c>
      <c r="N2007" s="2">
        <v>72.010000000000005</v>
      </c>
      <c r="O2007" s="2">
        <v>54.57</v>
      </c>
      <c r="P2007" s="2">
        <v>17.440000000000001</v>
      </c>
      <c r="Q2007" t="s">
        <v>57</v>
      </c>
    </row>
    <row r="2008" spans="1:17" x14ac:dyDescent="0.2">
      <c r="A2008" t="s">
        <v>2173</v>
      </c>
      <c r="B2008" s="1">
        <v>45903</v>
      </c>
      <c r="C2008" t="s">
        <v>77</v>
      </c>
      <c r="D2008" t="s">
        <v>106</v>
      </c>
      <c r="E2008" t="s">
        <v>107</v>
      </c>
      <c r="F2008" t="s">
        <v>30</v>
      </c>
      <c r="G2008" t="s">
        <v>75</v>
      </c>
      <c r="H2008" t="s">
        <v>31</v>
      </c>
      <c r="I2008" t="s">
        <v>112</v>
      </c>
      <c r="J2008" t="s">
        <v>176</v>
      </c>
      <c r="K2008">
        <v>2</v>
      </c>
      <c r="L2008" s="2">
        <v>572.85</v>
      </c>
      <c r="M2008" s="3">
        <v>0.15</v>
      </c>
      <c r="N2008" s="2">
        <v>973.84</v>
      </c>
      <c r="O2008" s="2">
        <v>666.64</v>
      </c>
      <c r="P2008" s="2">
        <v>307.2</v>
      </c>
      <c r="Q2008" t="s">
        <v>26</v>
      </c>
    </row>
    <row r="2009" spans="1:17" x14ac:dyDescent="0.2">
      <c r="A2009" t="s">
        <v>2174</v>
      </c>
      <c r="B2009" s="1">
        <v>45903</v>
      </c>
      <c r="C2009" t="s">
        <v>18</v>
      </c>
      <c r="D2009" t="s">
        <v>28</v>
      </c>
      <c r="E2009" t="s">
        <v>157</v>
      </c>
      <c r="F2009" t="s">
        <v>39</v>
      </c>
      <c r="G2009" t="s">
        <v>54</v>
      </c>
      <c r="H2009" t="s">
        <v>23</v>
      </c>
      <c r="I2009" t="s">
        <v>83</v>
      </c>
      <c r="J2009" t="s">
        <v>131</v>
      </c>
      <c r="K2009">
        <v>5</v>
      </c>
      <c r="L2009" s="2">
        <v>25.87</v>
      </c>
      <c r="M2009" s="3">
        <v>0.15</v>
      </c>
      <c r="N2009" s="2">
        <v>109.95</v>
      </c>
      <c r="O2009" s="2">
        <v>84.07</v>
      </c>
      <c r="P2009" s="2">
        <v>25.88</v>
      </c>
      <c r="Q2009" t="s">
        <v>57</v>
      </c>
    </row>
    <row r="2010" spans="1:17" x14ac:dyDescent="0.2">
      <c r="A2010" t="s">
        <v>2175</v>
      </c>
      <c r="B2010" s="1">
        <v>45903</v>
      </c>
      <c r="C2010" t="s">
        <v>36</v>
      </c>
      <c r="D2010" t="s">
        <v>67</v>
      </c>
      <c r="E2010" t="s">
        <v>323</v>
      </c>
      <c r="F2010" t="s">
        <v>130</v>
      </c>
      <c r="G2010" t="s">
        <v>22</v>
      </c>
      <c r="H2010" t="s">
        <v>23</v>
      </c>
      <c r="I2010" t="s">
        <v>79</v>
      </c>
      <c r="J2010" t="s">
        <v>233</v>
      </c>
      <c r="K2010">
        <v>7</v>
      </c>
      <c r="L2010" s="2">
        <v>413.18</v>
      </c>
      <c r="M2010" s="3">
        <v>0.05</v>
      </c>
      <c r="N2010" s="2">
        <v>2747.65</v>
      </c>
      <c r="O2010" s="2">
        <v>2094.66</v>
      </c>
      <c r="P2010" s="2">
        <v>652.99</v>
      </c>
      <c r="Q2010" t="s">
        <v>57</v>
      </c>
    </row>
    <row r="2011" spans="1:17" x14ac:dyDescent="0.2">
      <c r="A2011" t="s">
        <v>2176</v>
      </c>
      <c r="B2011" s="1">
        <v>45904</v>
      </c>
      <c r="C2011" t="s">
        <v>18</v>
      </c>
      <c r="D2011" t="s">
        <v>133</v>
      </c>
      <c r="E2011" t="s">
        <v>134</v>
      </c>
      <c r="F2011" t="s">
        <v>46</v>
      </c>
      <c r="G2011" t="s">
        <v>22</v>
      </c>
      <c r="H2011" t="s">
        <v>47</v>
      </c>
      <c r="I2011" t="s">
        <v>89</v>
      </c>
      <c r="J2011" t="s">
        <v>90</v>
      </c>
      <c r="K2011">
        <v>4</v>
      </c>
      <c r="L2011" s="2">
        <v>198.93</v>
      </c>
      <c r="M2011" s="3">
        <v>0.05</v>
      </c>
      <c r="N2011" s="2">
        <v>755.93</v>
      </c>
      <c r="O2011" s="2">
        <v>592.38</v>
      </c>
      <c r="P2011" s="2">
        <v>163.55000000000001</v>
      </c>
      <c r="Q2011" t="s">
        <v>61</v>
      </c>
    </row>
    <row r="2012" spans="1:17" x14ac:dyDescent="0.2">
      <c r="A2012" t="s">
        <v>2177</v>
      </c>
      <c r="B2012" s="1">
        <v>45904</v>
      </c>
      <c r="C2012" t="s">
        <v>18</v>
      </c>
      <c r="D2012" t="s">
        <v>152</v>
      </c>
      <c r="E2012" t="s">
        <v>153</v>
      </c>
      <c r="F2012" t="s">
        <v>39</v>
      </c>
      <c r="G2012" t="s">
        <v>22</v>
      </c>
      <c r="H2012" t="s">
        <v>23</v>
      </c>
      <c r="I2012" t="s">
        <v>79</v>
      </c>
      <c r="J2012" t="s">
        <v>80</v>
      </c>
      <c r="K2012">
        <v>8</v>
      </c>
      <c r="L2012" s="2">
        <v>325.04000000000002</v>
      </c>
      <c r="M2012" s="3">
        <v>0.1</v>
      </c>
      <c r="N2012" s="2">
        <v>2340.29</v>
      </c>
      <c r="O2012" s="2">
        <v>1555.35</v>
      </c>
      <c r="P2012" s="2">
        <v>784.94</v>
      </c>
      <c r="Q2012" t="s">
        <v>57</v>
      </c>
    </row>
    <row r="2013" spans="1:17" x14ac:dyDescent="0.2">
      <c r="A2013" t="s">
        <v>2178</v>
      </c>
      <c r="B2013" s="1">
        <v>45904</v>
      </c>
      <c r="C2013" t="s">
        <v>18</v>
      </c>
      <c r="D2013" t="s">
        <v>86</v>
      </c>
      <c r="E2013" t="s">
        <v>140</v>
      </c>
      <c r="F2013" t="s">
        <v>46</v>
      </c>
      <c r="G2013" t="s">
        <v>54</v>
      </c>
      <c r="H2013" t="s">
        <v>47</v>
      </c>
      <c r="I2013" t="s">
        <v>48</v>
      </c>
      <c r="J2013" t="s">
        <v>49</v>
      </c>
      <c r="K2013">
        <v>4</v>
      </c>
      <c r="L2013" s="2">
        <v>532.65</v>
      </c>
      <c r="M2013" s="3">
        <v>0.05</v>
      </c>
      <c r="N2013" s="2">
        <v>2024.07</v>
      </c>
      <c r="O2013" s="2">
        <v>1434.22</v>
      </c>
      <c r="P2013" s="2">
        <v>589.85</v>
      </c>
      <c r="Q2013" t="s">
        <v>34</v>
      </c>
    </row>
    <row r="2014" spans="1:17" x14ac:dyDescent="0.2">
      <c r="A2014" t="s">
        <v>2179</v>
      </c>
      <c r="B2014" s="1">
        <v>45904</v>
      </c>
      <c r="C2014" t="s">
        <v>18</v>
      </c>
      <c r="D2014" t="s">
        <v>28</v>
      </c>
      <c r="E2014" t="s">
        <v>29</v>
      </c>
      <c r="F2014" t="s">
        <v>39</v>
      </c>
      <c r="G2014" t="s">
        <v>75</v>
      </c>
      <c r="H2014" t="s">
        <v>47</v>
      </c>
      <c r="I2014" t="s">
        <v>97</v>
      </c>
      <c r="J2014" t="s">
        <v>98</v>
      </c>
      <c r="K2014">
        <v>4</v>
      </c>
      <c r="L2014" s="2">
        <v>193.2</v>
      </c>
      <c r="M2014" s="3">
        <v>0</v>
      </c>
      <c r="N2014" s="2">
        <v>772.8</v>
      </c>
      <c r="O2014" s="2">
        <v>535.65</v>
      </c>
      <c r="P2014" s="2">
        <v>237.15</v>
      </c>
      <c r="Q2014" t="s">
        <v>61</v>
      </c>
    </row>
    <row r="2015" spans="1:17" x14ac:dyDescent="0.2">
      <c r="A2015" t="s">
        <v>2180</v>
      </c>
      <c r="B2015" s="1">
        <v>45904</v>
      </c>
      <c r="C2015" t="s">
        <v>43</v>
      </c>
      <c r="D2015" t="s">
        <v>244</v>
      </c>
      <c r="E2015" t="s">
        <v>300</v>
      </c>
      <c r="F2015" t="s">
        <v>46</v>
      </c>
      <c r="G2015" t="s">
        <v>22</v>
      </c>
      <c r="H2015" t="s">
        <v>31</v>
      </c>
      <c r="I2015" t="s">
        <v>40</v>
      </c>
      <c r="J2015" t="s">
        <v>122</v>
      </c>
      <c r="K2015">
        <v>9</v>
      </c>
      <c r="L2015" s="2">
        <v>197.35</v>
      </c>
      <c r="M2015" s="3">
        <v>0</v>
      </c>
      <c r="N2015" s="2">
        <v>1776.15</v>
      </c>
      <c r="O2015" s="2">
        <v>1101.21</v>
      </c>
      <c r="P2015" s="2">
        <v>674.94</v>
      </c>
      <c r="Q2015" t="s">
        <v>57</v>
      </c>
    </row>
    <row r="2016" spans="1:17" x14ac:dyDescent="0.2">
      <c r="A2016" t="s">
        <v>2181</v>
      </c>
      <c r="B2016" s="1">
        <v>45904</v>
      </c>
      <c r="C2016" t="s">
        <v>18</v>
      </c>
      <c r="D2016" t="s">
        <v>28</v>
      </c>
      <c r="E2016" t="s">
        <v>29</v>
      </c>
      <c r="F2016" t="s">
        <v>30</v>
      </c>
      <c r="G2016" t="s">
        <v>54</v>
      </c>
      <c r="H2016" t="s">
        <v>23</v>
      </c>
      <c r="I2016" t="s">
        <v>55</v>
      </c>
      <c r="J2016" t="s">
        <v>56</v>
      </c>
      <c r="K2016">
        <v>7</v>
      </c>
      <c r="L2016" s="2">
        <v>12.14</v>
      </c>
      <c r="M2016" s="3">
        <v>0</v>
      </c>
      <c r="N2016" s="2">
        <v>84.98</v>
      </c>
      <c r="O2016" s="2">
        <v>66.8</v>
      </c>
      <c r="P2016" s="2">
        <v>18.18</v>
      </c>
      <c r="Q2016" t="s">
        <v>34</v>
      </c>
    </row>
    <row r="2017" spans="1:17" x14ac:dyDescent="0.2">
      <c r="A2017" t="s">
        <v>2182</v>
      </c>
      <c r="B2017" s="1">
        <v>45904</v>
      </c>
      <c r="C2017" t="s">
        <v>43</v>
      </c>
      <c r="D2017" t="s">
        <v>51</v>
      </c>
      <c r="E2017" t="s">
        <v>59</v>
      </c>
      <c r="F2017" t="s">
        <v>21</v>
      </c>
      <c r="G2017" t="s">
        <v>75</v>
      </c>
      <c r="H2017" t="s">
        <v>31</v>
      </c>
      <c r="I2017" t="s">
        <v>112</v>
      </c>
      <c r="J2017" t="s">
        <v>113</v>
      </c>
      <c r="K2017">
        <v>1</v>
      </c>
      <c r="L2017" s="2">
        <v>451.06</v>
      </c>
      <c r="M2017" s="3">
        <v>0</v>
      </c>
      <c r="N2017" s="2">
        <v>451.06</v>
      </c>
      <c r="O2017" s="2">
        <v>359.65</v>
      </c>
      <c r="P2017" s="2">
        <v>91.41</v>
      </c>
      <c r="Q2017" t="s">
        <v>34</v>
      </c>
    </row>
    <row r="2018" spans="1:17" x14ac:dyDescent="0.2">
      <c r="A2018" t="s">
        <v>2183</v>
      </c>
      <c r="B2018" s="1">
        <v>45904</v>
      </c>
      <c r="C2018" t="s">
        <v>36</v>
      </c>
      <c r="D2018" t="s">
        <v>67</v>
      </c>
      <c r="E2018" t="s">
        <v>270</v>
      </c>
      <c r="F2018" t="s">
        <v>21</v>
      </c>
      <c r="G2018" t="s">
        <v>22</v>
      </c>
      <c r="H2018" t="s">
        <v>47</v>
      </c>
      <c r="I2018" t="s">
        <v>97</v>
      </c>
      <c r="J2018" t="s">
        <v>98</v>
      </c>
      <c r="K2018">
        <v>5</v>
      </c>
      <c r="L2018" s="2">
        <v>679.79</v>
      </c>
      <c r="M2018" s="3">
        <v>0</v>
      </c>
      <c r="N2018" s="2">
        <v>3398.95</v>
      </c>
      <c r="O2018" s="2">
        <v>2716.93</v>
      </c>
      <c r="P2018" s="2">
        <v>682.02</v>
      </c>
      <c r="Q2018" t="s">
        <v>61</v>
      </c>
    </row>
    <row r="2019" spans="1:17" x14ac:dyDescent="0.2">
      <c r="A2019" t="s">
        <v>2184</v>
      </c>
      <c r="B2019" s="1">
        <v>45905</v>
      </c>
      <c r="C2019" t="s">
        <v>77</v>
      </c>
      <c r="D2019" t="s">
        <v>149</v>
      </c>
      <c r="E2019" t="s">
        <v>206</v>
      </c>
      <c r="F2019" t="s">
        <v>130</v>
      </c>
      <c r="G2019" t="s">
        <v>75</v>
      </c>
      <c r="H2019" t="s">
        <v>31</v>
      </c>
      <c r="I2019" t="s">
        <v>40</v>
      </c>
      <c r="J2019" t="s">
        <v>122</v>
      </c>
      <c r="K2019">
        <v>10</v>
      </c>
      <c r="L2019" s="2">
        <v>83.92</v>
      </c>
      <c r="M2019" s="3">
        <v>0.1</v>
      </c>
      <c r="N2019" s="2">
        <v>755.28</v>
      </c>
      <c r="O2019" s="2">
        <v>529.64</v>
      </c>
      <c r="P2019" s="2">
        <v>225.64</v>
      </c>
      <c r="Q2019" t="s">
        <v>34</v>
      </c>
    </row>
    <row r="2020" spans="1:17" x14ac:dyDescent="0.2">
      <c r="A2020" t="s">
        <v>2185</v>
      </c>
      <c r="B2020" s="1">
        <v>45905</v>
      </c>
      <c r="C2020" t="s">
        <v>77</v>
      </c>
      <c r="D2020" t="s">
        <v>106</v>
      </c>
      <c r="E2020" t="s">
        <v>303</v>
      </c>
      <c r="F2020" t="s">
        <v>30</v>
      </c>
      <c r="G2020" t="s">
        <v>22</v>
      </c>
      <c r="H2020" t="s">
        <v>31</v>
      </c>
      <c r="I2020" t="s">
        <v>64</v>
      </c>
      <c r="J2020" t="s">
        <v>126</v>
      </c>
      <c r="K2020">
        <v>3</v>
      </c>
      <c r="L2020" s="2">
        <v>142.66999999999999</v>
      </c>
      <c r="M2020" s="3">
        <v>0</v>
      </c>
      <c r="N2020" s="2">
        <v>428.01</v>
      </c>
      <c r="O2020" s="2">
        <v>292.58999999999997</v>
      </c>
      <c r="P2020" s="2">
        <v>135.41999999999999</v>
      </c>
      <c r="Q2020" t="s">
        <v>57</v>
      </c>
    </row>
    <row r="2021" spans="1:17" x14ac:dyDescent="0.2">
      <c r="A2021" t="s">
        <v>2186</v>
      </c>
      <c r="B2021" s="1">
        <v>45905</v>
      </c>
      <c r="C2021" t="s">
        <v>77</v>
      </c>
      <c r="D2021" t="s">
        <v>106</v>
      </c>
      <c r="E2021" t="s">
        <v>303</v>
      </c>
      <c r="F2021" t="s">
        <v>21</v>
      </c>
      <c r="G2021" t="s">
        <v>54</v>
      </c>
      <c r="H2021" t="s">
        <v>31</v>
      </c>
      <c r="I2021" t="s">
        <v>64</v>
      </c>
      <c r="J2021" t="s">
        <v>126</v>
      </c>
      <c r="K2021">
        <v>5</v>
      </c>
      <c r="L2021" s="2">
        <v>132.44999999999999</v>
      </c>
      <c r="M2021" s="3">
        <v>0.15</v>
      </c>
      <c r="N2021" s="2">
        <v>562.91</v>
      </c>
      <c r="O2021" s="2">
        <v>408.74</v>
      </c>
      <c r="P2021" s="2">
        <v>154.16999999999999</v>
      </c>
      <c r="Q2021" t="s">
        <v>57</v>
      </c>
    </row>
    <row r="2022" spans="1:17" x14ac:dyDescent="0.2">
      <c r="A2022" t="s">
        <v>2187</v>
      </c>
      <c r="B2022" s="1">
        <v>45905</v>
      </c>
      <c r="C2022" t="s">
        <v>18</v>
      </c>
      <c r="D2022" t="s">
        <v>28</v>
      </c>
      <c r="E2022" t="s">
        <v>29</v>
      </c>
      <c r="F2022" t="s">
        <v>39</v>
      </c>
      <c r="G2022" t="s">
        <v>22</v>
      </c>
      <c r="H2022" t="s">
        <v>31</v>
      </c>
      <c r="I2022" t="s">
        <v>112</v>
      </c>
      <c r="J2022" t="s">
        <v>136</v>
      </c>
      <c r="K2022">
        <v>9</v>
      </c>
      <c r="L2022" s="2">
        <v>676.78</v>
      </c>
      <c r="M2022" s="3">
        <v>0.05</v>
      </c>
      <c r="N2022" s="2">
        <v>5786.47</v>
      </c>
      <c r="O2022" s="2">
        <v>3472.25</v>
      </c>
      <c r="P2022" s="2">
        <v>2314.2199999999998</v>
      </c>
      <c r="Q2022" t="s">
        <v>57</v>
      </c>
    </row>
    <row r="2023" spans="1:17" x14ac:dyDescent="0.2">
      <c r="A2023" t="s">
        <v>2188</v>
      </c>
      <c r="B2023" s="1">
        <v>45905</v>
      </c>
      <c r="C2023" t="s">
        <v>36</v>
      </c>
      <c r="D2023" t="s">
        <v>73</v>
      </c>
      <c r="E2023" t="s">
        <v>74</v>
      </c>
      <c r="F2023" t="s">
        <v>21</v>
      </c>
      <c r="G2023" t="s">
        <v>75</v>
      </c>
      <c r="H2023" t="s">
        <v>31</v>
      </c>
      <c r="I2023" t="s">
        <v>40</v>
      </c>
      <c r="J2023" t="s">
        <v>216</v>
      </c>
      <c r="K2023">
        <v>6</v>
      </c>
      <c r="L2023" s="2">
        <v>97.32</v>
      </c>
      <c r="M2023" s="3">
        <v>0.1</v>
      </c>
      <c r="N2023" s="2">
        <v>525.53</v>
      </c>
      <c r="O2023" s="2">
        <v>374.51</v>
      </c>
      <c r="P2023" s="2">
        <v>151.02000000000001</v>
      </c>
      <c r="Q2023" t="s">
        <v>34</v>
      </c>
    </row>
    <row r="2024" spans="1:17" x14ac:dyDescent="0.2">
      <c r="A2024" t="s">
        <v>2189</v>
      </c>
      <c r="B2024" s="1">
        <v>45905</v>
      </c>
      <c r="C2024" t="s">
        <v>18</v>
      </c>
      <c r="D2024" t="s">
        <v>152</v>
      </c>
      <c r="E2024" t="s">
        <v>153</v>
      </c>
      <c r="F2024" t="s">
        <v>53</v>
      </c>
      <c r="G2024" t="s">
        <v>75</v>
      </c>
      <c r="H2024" t="s">
        <v>31</v>
      </c>
      <c r="I2024" t="s">
        <v>40</v>
      </c>
      <c r="J2024" t="s">
        <v>122</v>
      </c>
      <c r="K2024">
        <v>10</v>
      </c>
      <c r="L2024" s="2">
        <v>113.32</v>
      </c>
      <c r="M2024" s="3">
        <v>0.05</v>
      </c>
      <c r="N2024" s="2">
        <v>1076.54</v>
      </c>
      <c r="O2024" s="2">
        <v>617.89</v>
      </c>
      <c r="P2024" s="2">
        <v>458.65</v>
      </c>
      <c r="Q2024" t="s">
        <v>26</v>
      </c>
    </row>
    <row r="2025" spans="1:17" x14ac:dyDescent="0.2">
      <c r="A2025" t="s">
        <v>2190</v>
      </c>
      <c r="B2025" s="1">
        <v>45905</v>
      </c>
      <c r="C2025" t="s">
        <v>43</v>
      </c>
      <c r="D2025" t="s">
        <v>161</v>
      </c>
      <c r="E2025" t="s">
        <v>172</v>
      </c>
      <c r="F2025" t="s">
        <v>46</v>
      </c>
      <c r="G2025" t="s">
        <v>22</v>
      </c>
      <c r="H2025" t="s">
        <v>23</v>
      </c>
      <c r="I2025" t="s">
        <v>24</v>
      </c>
      <c r="J2025" t="s">
        <v>25</v>
      </c>
      <c r="K2025">
        <v>8</v>
      </c>
      <c r="L2025" s="2">
        <v>29.83</v>
      </c>
      <c r="M2025" s="3">
        <v>0</v>
      </c>
      <c r="N2025" s="2">
        <v>238.64</v>
      </c>
      <c r="O2025" s="2">
        <v>157.46</v>
      </c>
      <c r="P2025" s="2">
        <v>81.180000000000007</v>
      </c>
      <c r="Q2025" t="s">
        <v>34</v>
      </c>
    </row>
    <row r="2026" spans="1:17" x14ac:dyDescent="0.2">
      <c r="A2026" t="s">
        <v>2191</v>
      </c>
      <c r="B2026" s="1">
        <v>45905</v>
      </c>
      <c r="C2026" t="s">
        <v>18</v>
      </c>
      <c r="D2026" t="s">
        <v>133</v>
      </c>
      <c r="E2026" t="s">
        <v>197</v>
      </c>
      <c r="F2026" t="s">
        <v>130</v>
      </c>
      <c r="G2026" t="s">
        <v>22</v>
      </c>
      <c r="H2026" t="s">
        <v>31</v>
      </c>
      <c r="I2026" t="s">
        <v>64</v>
      </c>
      <c r="J2026" t="s">
        <v>252</v>
      </c>
      <c r="K2026">
        <v>5</v>
      </c>
      <c r="L2026" s="2">
        <v>98.94</v>
      </c>
      <c r="M2026" s="3">
        <v>0.05</v>
      </c>
      <c r="N2026" s="2">
        <v>469.96</v>
      </c>
      <c r="O2026" s="2">
        <v>265.45999999999998</v>
      </c>
      <c r="P2026" s="2">
        <v>204.5</v>
      </c>
      <c r="Q2026" t="s">
        <v>61</v>
      </c>
    </row>
    <row r="2027" spans="1:17" x14ac:dyDescent="0.2">
      <c r="A2027" t="s">
        <v>2192</v>
      </c>
      <c r="B2027" s="1">
        <v>45905</v>
      </c>
      <c r="C2027" t="s">
        <v>43</v>
      </c>
      <c r="D2027" t="s">
        <v>244</v>
      </c>
      <c r="E2027" t="s">
        <v>326</v>
      </c>
      <c r="F2027" t="s">
        <v>69</v>
      </c>
      <c r="G2027" t="s">
        <v>54</v>
      </c>
      <c r="H2027" t="s">
        <v>23</v>
      </c>
      <c r="I2027" t="s">
        <v>79</v>
      </c>
      <c r="J2027" t="s">
        <v>80</v>
      </c>
      <c r="K2027">
        <v>8</v>
      </c>
      <c r="L2027" s="2">
        <v>306.45999999999998</v>
      </c>
      <c r="M2027" s="3">
        <v>0.2</v>
      </c>
      <c r="N2027" s="2">
        <v>1961.34</v>
      </c>
      <c r="O2027" s="2">
        <v>1164.3900000000001</v>
      </c>
      <c r="P2027" s="2">
        <v>796.95</v>
      </c>
      <c r="Q2027" t="s">
        <v>61</v>
      </c>
    </row>
    <row r="2028" spans="1:17" x14ac:dyDescent="0.2">
      <c r="A2028" t="s">
        <v>2193</v>
      </c>
      <c r="B2028" s="1">
        <v>45905</v>
      </c>
      <c r="C2028" t="s">
        <v>18</v>
      </c>
      <c r="D2028" t="s">
        <v>19</v>
      </c>
      <c r="E2028" t="s">
        <v>20</v>
      </c>
      <c r="F2028" t="s">
        <v>138</v>
      </c>
      <c r="G2028" t="s">
        <v>75</v>
      </c>
      <c r="H2028" t="s">
        <v>47</v>
      </c>
      <c r="I2028" t="s">
        <v>141</v>
      </c>
      <c r="J2028" t="s">
        <v>142</v>
      </c>
      <c r="K2028">
        <v>7</v>
      </c>
      <c r="L2028" s="2">
        <v>532.27</v>
      </c>
      <c r="M2028" s="3">
        <v>0</v>
      </c>
      <c r="N2028" s="2">
        <v>3725.89</v>
      </c>
      <c r="O2028" s="2">
        <v>2494.48</v>
      </c>
      <c r="P2028" s="2">
        <v>1231.4100000000001</v>
      </c>
      <c r="Q2028" t="s">
        <v>34</v>
      </c>
    </row>
    <row r="2029" spans="1:17" x14ac:dyDescent="0.2">
      <c r="A2029" t="s">
        <v>2194</v>
      </c>
      <c r="B2029" s="1">
        <v>45905</v>
      </c>
      <c r="C2029" t="s">
        <v>18</v>
      </c>
      <c r="D2029" t="s">
        <v>133</v>
      </c>
      <c r="E2029" t="s">
        <v>226</v>
      </c>
      <c r="F2029" t="s">
        <v>30</v>
      </c>
      <c r="G2029" t="s">
        <v>75</v>
      </c>
      <c r="H2029" t="s">
        <v>23</v>
      </c>
      <c r="I2029" t="s">
        <v>79</v>
      </c>
      <c r="J2029" t="s">
        <v>233</v>
      </c>
      <c r="K2029">
        <v>3</v>
      </c>
      <c r="L2029" s="2">
        <v>549.16999999999996</v>
      </c>
      <c r="M2029" s="3">
        <v>0.05</v>
      </c>
      <c r="N2029" s="2">
        <v>1565.13</v>
      </c>
      <c r="O2029" s="2">
        <v>1197.8699999999999</v>
      </c>
      <c r="P2029" s="2">
        <v>367.26</v>
      </c>
      <c r="Q2029" t="s">
        <v>57</v>
      </c>
    </row>
    <row r="2030" spans="1:17" x14ac:dyDescent="0.2">
      <c r="A2030" t="s">
        <v>2195</v>
      </c>
      <c r="B2030" s="1">
        <v>45906</v>
      </c>
      <c r="C2030" t="s">
        <v>18</v>
      </c>
      <c r="D2030" t="s">
        <v>133</v>
      </c>
      <c r="E2030" t="s">
        <v>197</v>
      </c>
      <c r="F2030" t="s">
        <v>21</v>
      </c>
      <c r="G2030" t="s">
        <v>22</v>
      </c>
      <c r="H2030" t="s">
        <v>47</v>
      </c>
      <c r="I2030" t="s">
        <v>97</v>
      </c>
      <c r="J2030" t="s">
        <v>116</v>
      </c>
      <c r="K2030">
        <v>5</v>
      </c>
      <c r="L2030" s="2">
        <v>150.16</v>
      </c>
      <c r="M2030" s="3">
        <v>0.05</v>
      </c>
      <c r="N2030" s="2">
        <v>713.26</v>
      </c>
      <c r="O2030" s="2">
        <v>445.97</v>
      </c>
      <c r="P2030" s="2">
        <v>267.29000000000002</v>
      </c>
      <c r="Q2030" t="s">
        <v>34</v>
      </c>
    </row>
    <row r="2031" spans="1:17" x14ac:dyDescent="0.2">
      <c r="A2031" t="s">
        <v>2196</v>
      </c>
      <c r="B2031" s="1">
        <v>45906</v>
      </c>
      <c r="C2031" t="s">
        <v>77</v>
      </c>
      <c r="D2031" t="s">
        <v>78</v>
      </c>
      <c r="E2031" t="s">
        <v>261</v>
      </c>
      <c r="F2031" t="s">
        <v>53</v>
      </c>
      <c r="G2031" t="s">
        <v>54</v>
      </c>
      <c r="H2031" t="s">
        <v>31</v>
      </c>
      <c r="I2031" t="s">
        <v>112</v>
      </c>
      <c r="J2031" t="s">
        <v>176</v>
      </c>
      <c r="K2031">
        <v>4</v>
      </c>
      <c r="L2031" s="2">
        <v>643.13</v>
      </c>
      <c r="M2031" s="3">
        <v>0.15</v>
      </c>
      <c r="N2031" s="2">
        <v>2186.64</v>
      </c>
      <c r="O2031" s="2">
        <v>1613.65</v>
      </c>
      <c r="P2031" s="2">
        <v>572.99</v>
      </c>
      <c r="Q2031" t="s">
        <v>34</v>
      </c>
    </row>
    <row r="2032" spans="1:17" x14ac:dyDescent="0.2">
      <c r="A2032" t="s">
        <v>2197</v>
      </c>
      <c r="B2032" s="1">
        <v>45906</v>
      </c>
      <c r="C2032" t="s">
        <v>77</v>
      </c>
      <c r="D2032" t="s">
        <v>128</v>
      </c>
      <c r="E2032" t="s">
        <v>159</v>
      </c>
      <c r="F2032" t="s">
        <v>60</v>
      </c>
      <c r="G2032" t="s">
        <v>54</v>
      </c>
      <c r="H2032" t="s">
        <v>31</v>
      </c>
      <c r="I2032" t="s">
        <v>40</v>
      </c>
      <c r="J2032" t="s">
        <v>216</v>
      </c>
      <c r="K2032">
        <v>3</v>
      </c>
      <c r="L2032" s="2">
        <v>51.67</v>
      </c>
      <c r="M2032" s="3">
        <v>0</v>
      </c>
      <c r="N2032" s="2">
        <v>155.01</v>
      </c>
      <c r="O2032" s="2">
        <v>106.19</v>
      </c>
      <c r="P2032" s="2">
        <v>48.82</v>
      </c>
      <c r="Q2032" t="s">
        <v>57</v>
      </c>
    </row>
    <row r="2033" spans="1:17" x14ac:dyDescent="0.2">
      <c r="A2033" t="s">
        <v>2198</v>
      </c>
      <c r="B2033" s="1">
        <v>45906</v>
      </c>
      <c r="C2033" t="s">
        <v>77</v>
      </c>
      <c r="D2033" t="s">
        <v>95</v>
      </c>
      <c r="E2033" t="s">
        <v>300</v>
      </c>
      <c r="F2033" t="s">
        <v>30</v>
      </c>
      <c r="G2033" t="s">
        <v>54</v>
      </c>
      <c r="H2033" t="s">
        <v>47</v>
      </c>
      <c r="I2033" t="s">
        <v>48</v>
      </c>
      <c r="J2033" t="s">
        <v>49</v>
      </c>
      <c r="K2033">
        <v>6</v>
      </c>
      <c r="L2033" s="2">
        <v>493.02</v>
      </c>
      <c r="M2033" s="3">
        <v>0.1</v>
      </c>
      <c r="N2033" s="2">
        <v>2662.31</v>
      </c>
      <c r="O2033" s="2">
        <v>1982.74</v>
      </c>
      <c r="P2033" s="2">
        <v>679.57</v>
      </c>
      <c r="Q2033" t="s">
        <v>26</v>
      </c>
    </row>
    <row r="2034" spans="1:17" x14ac:dyDescent="0.2">
      <c r="A2034" t="s">
        <v>2199</v>
      </c>
      <c r="B2034" s="1">
        <v>45906</v>
      </c>
      <c r="C2034" t="s">
        <v>36</v>
      </c>
      <c r="D2034" t="s">
        <v>110</v>
      </c>
      <c r="E2034" t="s">
        <v>111</v>
      </c>
      <c r="F2034" t="s">
        <v>21</v>
      </c>
      <c r="G2034" t="s">
        <v>75</v>
      </c>
      <c r="H2034" t="s">
        <v>31</v>
      </c>
      <c r="I2034" t="s">
        <v>32</v>
      </c>
      <c r="J2034" t="s">
        <v>258</v>
      </c>
      <c r="K2034">
        <v>1</v>
      </c>
      <c r="L2034" s="2">
        <v>1179.72</v>
      </c>
      <c r="M2034" s="3">
        <v>0.05</v>
      </c>
      <c r="N2034" s="2">
        <v>1120.73</v>
      </c>
      <c r="O2034" s="2">
        <v>672.76</v>
      </c>
      <c r="P2034" s="2">
        <v>447.97</v>
      </c>
      <c r="Q2034" t="s">
        <v>34</v>
      </c>
    </row>
    <row r="2035" spans="1:17" x14ac:dyDescent="0.2">
      <c r="A2035" t="s">
        <v>2200</v>
      </c>
      <c r="B2035" s="1">
        <v>45906</v>
      </c>
      <c r="C2035" t="s">
        <v>18</v>
      </c>
      <c r="D2035" t="s">
        <v>152</v>
      </c>
      <c r="E2035" t="s">
        <v>166</v>
      </c>
      <c r="F2035" t="s">
        <v>138</v>
      </c>
      <c r="G2035" t="s">
        <v>75</v>
      </c>
      <c r="H2035" t="s">
        <v>31</v>
      </c>
      <c r="I2035" t="s">
        <v>32</v>
      </c>
      <c r="J2035" t="s">
        <v>104</v>
      </c>
      <c r="K2035">
        <v>6</v>
      </c>
      <c r="L2035" s="2">
        <v>891.28</v>
      </c>
      <c r="M2035" s="3">
        <v>0.1</v>
      </c>
      <c r="N2035" s="2">
        <v>4812.91</v>
      </c>
      <c r="O2035" s="2">
        <v>2649.19</v>
      </c>
      <c r="P2035" s="2">
        <v>2163.7199999999998</v>
      </c>
      <c r="Q2035" t="s">
        <v>34</v>
      </c>
    </row>
    <row r="2036" spans="1:17" x14ac:dyDescent="0.2">
      <c r="A2036" t="s">
        <v>2201</v>
      </c>
      <c r="B2036" s="1">
        <v>45907</v>
      </c>
      <c r="C2036" t="s">
        <v>43</v>
      </c>
      <c r="D2036" t="s">
        <v>244</v>
      </c>
      <c r="E2036" t="s">
        <v>300</v>
      </c>
      <c r="F2036" t="s">
        <v>46</v>
      </c>
      <c r="G2036" t="s">
        <v>75</v>
      </c>
      <c r="H2036" t="s">
        <v>31</v>
      </c>
      <c r="I2036" t="s">
        <v>112</v>
      </c>
      <c r="J2036" t="s">
        <v>136</v>
      </c>
      <c r="K2036">
        <v>1</v>
      </c>
      <c r="L2036" s="2">
        <v>358.38</v>
      </c>
      <c r="M2036" s="3">
        <v>0.05</v>
      </c>
      <c r="N2036" s="2">
        <v>340.46</v>
      </c>
      <c r="O2036" s="2">
        <v>244.71</v>
      </c>
      <c r="P2036" s="2">
        <v>95.75</v>
      </c>
      <c r="Q2036" t="s">
        <v>57</v>
      </c>
    </row>
    <row r="2037" spans="1:17" x14ac:dyDescent="0.2">
      <c r="A2037" t="s">
        <v>2202</v>
      </c>
      <c r="B2037" s="1">
        <v>45907</v>
      </c>
      <c r="C2037" t="s">
        <v>36</v>
      </c>
      <c r="D2037" t="s">
        <v>110</v>
      </c>
      <c r="E2037" t="s">
        <v>111</v>
      </c>
      <c r="F2037" t="s">
        <v>69</v>
      </c>
      <c r="G2037" t="s">
        <v>54</v>
      </c>
      <c r="H2037" t="s">
        <v>47</v>
      </c>
      <c r="I2037" t="s">
        <v>141</v>
      </c>
      <c r="J2037" t="s">
        <v>201</v>
      </c>
      <c r="K2037">
        <v>8</v>
      </c>
      <c r="L2037" s="2">
        <v>488.21</v>
      </c>
      <c r="M2037" s="3">
        <v>0.15</v>
      </c>
      <c r="N2037" s="2">
        <v>3319.83</v>
      </c>
      <c r="O2037" s="2">
        <v>2633.18</v>
      </c>
      <c r="P2037" s="2">
        <v>686.65</v>
      </c>
      <c r="Q2037" t="s">
        <v>61</v>
      </c>
    </row>
    <row r="2038" spans="1:17" x14ac:dyDescent="0.2">
      <c r="A2038" t="s">
        <v>2203</v>
      </c>
      <c r="B2038" s="1">
        <v>45907</v>
      </c>
      <c r="C2038" t="s">
        <v>36</v>
      </c>
      <c r="D2038" t="s">
        <v>110</v>
      </c>
      <c r="E2038" t="s">
        <v>203</v>
      </c>
      <c r="F2038" t="s">
        <v>69</v>
      </c>
      <c r="G2038" t="s">
        <v>75</v>
      </c>
      <c r="H2038" t="s">
        <v>31</v>
      </c>
      <c r="I2038" t="s">
        <v>112</v>
      </c>
      <c r="J2038" t="s">
        <v>113</v>
      </c>
      <c r="K2038">
        <v>6</v>
      </c>
      <c r="L2038" s="2">
        <v>514.83000000000004</v>
      </c>
      <c r="M2038" s="3">
        <v>0.1</v>
      </c>
      <c r="N2038" s="2">
        <v>2780.08</v>
      </c>
      <c r="O2038" s="2">
        <v>2241.2399999999998</v>
      </c>
      <c r="P2038" s="2">
        <v>538.84</v>
      </c>
      <c r="Q2038" t="s">
        <v>34</v>
      </c>
    </row>
    <row r="2039" spans="1:17" x14ac:dyDescent="0.2">
      <c r="A2039" t="s">
        <v>2204</v>
      </c>
      <c r="B2039" s="1">
        <v>45907</v>
      </c>
      <c r="C2039" t="s">
        <v>77</v>
      </c>
      <c r="D2039" t="s">
        <v>95</v>
      </c>
      <c r="E2039" t="s">
        <v>367</v>
      </c>
      <c r="F2039" t="s">
        <v>53</v>
      </c>
      <c r="G2039" t="s">
        <v>54</v>
      </c>
      <c r="H2039" t="s">
        <v>31</v>
      </c>
      <c r="I2039" t="s">
        <v>112</v>
      </c>
      <c r="J2039" t="s">
        <v>113</v>
      </c>
      <c r="K2039">
        <v>2</v>
      </c>
      <c r="L2039" s="2">
        <v>266.33</v>
      </c>
      <c r="M2039" s="3">
        <v>0</v>
      </c>
      <c r="N2039" s="2">
        <v>532.66</v>
      </c>
      <c r="O2039" s="2">
        <v>346.4</v>
      </c>
      <c r="P2039" s="2">
        <v>186.26</v>
      </c>
      <c r="Q2039" t="s">
        <v>57</v>
      </c>
    </row>
    <row r="2040" spans="1:17" x14ac:dyDescent="0.2">
      <c r="A2040" t="s">
        <v>2205</v>
      </c>
      <c r="B2040" s="1">
        <v>45907</v>
      </c>
      <c r="C2040" t="s">
        <v>18</v>
      </c>
      <c r="D2040" t="s">
        <v>19</v>
      </c>
      <c r="E2040" t="s">
        <v>100</v>
      </c>
      <c r="F2040" t="s">
        <v>30</v>
      </c>
      <c r="G2040" t="s">
        <v>22</v>
      </c>
      <c r="H2040" t="s">
        <v>23</v>
      </c>
      <c r="I2040" t="s">
        <v>83</v>
      </c>
      <c r="J2040" t="s">
        <v>84</v>
      </c>
      <c r="K2040">
        <v>4</v>
      </c>
      <c r="L2040" s="2">
        <v>31.77</v>
      </c>
      <c r="M2040" s="3">
        <v>0.05</v>
      </c>
      <c r="N2040" s="2">
        <v>120.73</v>
      </c>
      <c r="O2040" s="2">
        <v>92.47</v>
      </c>
      <c r="P2040" s="2">
        <v>28.26</v>
      </c>
      <c r="Q2040" t="s">
        <v>26</v>
      </c>
    </row>
    <row r="2041" spans="1:17" x14ac:dyDescent="0.2">
      <c r="A2041" t="s">
        <v>2206</v>
      </c>
      <c r="B2041" s="1">
        <v>45907</v>
      </c>
      <c r="C2041" t="s">
        <v>77</v>
      </c>
      <c r="D2041" t="s">
        <v>149</v>
      </c>
      <c r="E2041" t="s">
        <v>206</v>
      </c>
      <c r="F2041" t="s">
        <v>46</v>
      </c>
      <c r="G2041" t="s">
        <v>54</v>
      </c>
      <c r="H2041" t="s">
        <v>23</v>
      </c>
      <c r="I2041" t="s">
        <v>55</v>
      </c>
      <c r="J2041" t="s">
        <v>102</v>
      </c>
      <c r="K2041">
        <v>6</v>
      </c>
      <c r="L2041" s="2">
        <v>16.73</v>
      </c>
      <c r="M2041" s="3">
        <v>0.15</v>
      </c>
      <c r="N2041" s="2">
        <v>85.32</v>
      </c>
      <c r="O2041" s="2">
        <v>61.42</v>
      </c>
      <c r="P2041" s="2">
        <v>23.9</v>
      </c>
      <c r="Q2041" t="s">
        <v>57</v>
      </c>
    </row>
    <row r="2042" spans="1:17" x14ac:dyDescent="0.2">
      <c r="A2042" t="s">
        <v>2207</v>
      </c>
      <c r="B2042" s="1">
        <v>45907</v>
      </c>
      <c r="C2042" t="s">
        <v>36</v>
      </c>
      <c r="D2042" t="s">
        <v>73</v>
      </c>
      <c r="E2042" t="s">
        <v>212</v>
      </c>
      <c r="F2042" t="s">
        <v>71</v>
      </c>
      <c r="G2042" t="s">
        <v>75</v>
      </c>
      <c r="H2042" t="s">
        <v>23</v>
      </c>
      <c r="I2042" t="s">
        <v>83</v>
      </c>
      <c r="J2042" t="s">
        <v>131</v>
      </c>
      <c r="K2042">
        <v>1</v>
      </c>
      <c r="L2042" s="2">
        <v>18.89</v>
      </c>
      <c r="M2042" s="3">
        <v>0.05</v>
      </c>
      <c r="N2042" s="2">
        <v>17.95</v>
      </c>
      <c r="O2042" s="2">
        <v>10.32</v>
      </c>
      <c r="P2042" s="2">
        <v>7.63</v>
      </c>
      <c r="Q2042" t="s">
        <v>57</v>
      </c>
    </row>
    <row r="2043" spans="1:17" x14ac:dyDescent="0.2">
      <c r="A2043" t="s">
        <v>2208</v>
      </c>
      <c r="B2043" s="1">
        <v>45907</v>
      </c>
      <c r="C2043" t="s">
        <v>43</v>
      </c>
      <c r="D2043" t="s">
        <v>208</v>
      </c>
      <c r="E2043" t="s">
        <v>287</v>
      </c>
      <c r="F2043" t="s">
        <v>130</v>
      </c>
      <c r="G2043" t="s">
        <v>75</v>
      </c>
      <c r="H2043" t="s">
        <v>23</v>
      </c>
      <c r="I2043" t="s">
        <v>83</v>
      </c>
      <c r="J2043" t="s">
        <v>84</v>
      </c>
      <c r="K2043">
        <v>1</v>
      </c>
      <c r="L2043" s="2">
        <v>30.17</v>
      </c>
      <c r="M2043" s="3">
        <v>0.05</v>
      </c>
      <c r="N2043" s="2">
        <v>28.66</v>
      </c>
      <c r="O2043" s="2">
        <v>19.7</v>
      </c>
      <c r="P2043" s="2">
        <v>8.9600000000000009</v>
      </c>
      <c r="Q2043" t="s">
        <v>26</v>
      </c>
    </row>
    <row r="2044" spans="1:17" x14ac:dyDescent="0.2">
      <c r="A2044" t="s">
        <v>2209</v>
      </c>
      <c r="B2044" s="1">
        <v>45907</v>
      </c>
      <c r="C2044" t="s">
        <v>36</v>
      </c>
      <c r="D2044" t="s">
        <v>110</v>
      </c>
      <c r="E2044" t="s">
        <v>203</v>
      </c>
      <c r="F2044" t="s">
        <v>46</v>
      </c>
      <c r="G2044" t="s">
        <v>54</v>
      </c>
      <c r="H2044" t="s">
        <v>23</v>
      </c>
      <c r="I2044" t="s">
        <v>24</v>
      </c>
      <c r="J2044" t="s">
        <v>220</v>
      </c>
      <c r="K2044">
        <v>8</v>
      </c>
      <c r="L2044" s="2">
        <v>16.89</v>
      </c>
      <c r="M2044" s="3">
        <v>0</v>
      </c>
      <c r="N2044" s="2">
        <v>135.12</v>
      </c>
      <c r="O2044" s="2">
        <v>78.22</v>
      </c>
      <c r="P2044" s="2">
        <v>56.9</v>
      </c>
      <c r="Q2044" t="s">
        <v>61</v>
      </c>
    </row>
    <row r="2045" spans="1:17" x14ac:dyDescent="0.2">
      <c r="A2045" t="s">
        <v>2210</v>
      </c>
      <c r="B2045" s="1">
        <v>45907</v>
      </c>
      <c r="C2045" t="s">
        <v>43</v>
      </c>
      <c r="D2045" t="s">
        <v>51</v>
      </c>
      <c r="E2045" t="s">
        <v>52</v>
      </c>
      <c r="F2045" t="s">
        <v>46</v>
      </c>
      <c r="G2045" t="s">
        <v>75</v>
      </c>
      <c r="H2045" t="s">
        <v>47</v>
      </c>
      <c r="I2045" t="s">
        <v>48</v>
      </c>
      <c r="J2045" t="s">
        <v>93</v>
      </c>
      <c r="K2045">
        <v>8</v>
      </c>
      <c r="L2045" s="2">
        <v>313.2</v>
      </c>
      <c r="M2045" s="3">
        <v>0.1</v>
      </c>
      <c r="N2045" s="2">
        <v>2255.04</v>
      </c>
      <c r="O2045" s="2">
        <v>1556.83</v>
      </c>
      <c r="P2045" s="2">
        <v>698.21</v>
      </c>
      <c r="Q2045" t="s">
        <v>26</v>
      </c>
    </row>
    <row r="2046" spans="1:17" x14ac:dyDescent="0.2">
      <c r="A2046" t="s">
        <v>2211</v>
      </c>
      <c r="B2046" s="1">
        <v>45908</v>
      </c>
      <c r="C2046" t="s">
        <v>43</v>
      </c>
      <c r="D2046" t="s">
        <v>51</v>
      </c>
      <c r="E2046" t="s">
        <v>52</v>
      </c>
      <c r="F2046" t="s">
        <v>53</v>
      </c>
      <c r="G2046" t="s">
        <v>22</v>
      </c>
      <c r="H2046" t="s">
        <v>23</v>
      </c>
      <c r="I2046" t="s">
        <v>24</v>
      </c>
      <c r="J2046" t="s">
        <v>108</v>
      </c>
      <c r="K2046">
        <v>10</v>
      </c>
      <c r="L2046" s="2">
        <v>22.14</v>
      </c>
      <c r="M2046" s="3">
        <v>0</v>
      </c>
      <c r="N2046" s="2">
        <v>221.4</v>
      </c>
      <c r="O2046" s="2">
        <v>155.83000000000001</v>
      </c>
      <c r="P2046" s="2">
        <v>65.569999999999993</v>
      </c>
      <c r="Q2046" t="s">
        <v>57</v>
      </c>
    </row>
    <row r="2047" spans="1:17" x14ac:dyDescent="0.2">
      <c r="A2047" t="s">
        <v>2212</v>
      </c>
      <c r="B2047" s="1">
        <v>45908</v>
      </c>
      <c r="C2047" t="s">
        <v>36</v>
      </c>
      <c r="D2047" t="s">
        <v>144</v>
      </c>
      <c r="E2047" t="s">
        <v>145</v>
      </c>
      <c r="F2047" t="s">
        <v>46</v>
      </c>
      <c r="G2047" t="s">
        <v>22</v>
      </c>
      <c r="H2047" t="s">
        <v>23</v>
      </c>
      <c r="I2047" t="s">
        <v>79</v>
      </c>
      <c r="J2047" t="s">
        <v>179</v>
      </c>
      <c r="K2047">
        <v>4</v>
      </c>
      <c r="L2047" s="2">
        <v>377.18</v>
      </c>
      <c r="M2047" s="3">
        <v>0.1</v>
      </c>
      <c r="N2047" s="2">
        <v>1357.85</v>
      </c>
      <c r="O2047" s="2">
        <v>1063.69</v>
      </c>
      <c r="P2047" s="2">
        <v>294.16000000000003</v>
      </c>
      <c r="Q2047" t="s">
        <v>61</v>
      </c>
    </row>
    <row r="2048" spans="1:17" x14ac:dyDescent="0.2">
      <c r="A2048" t="s">
        <v>2213</v>
      </c>
      <c r="B2048" s="1">
        <v>45908</v>
      </c>
      <c r="C2048" t="s">
        <v>18</v>
      </c>
      <c r="D2048" t="s">
        <v>28</v>
      </c>
      <c r="E2048" t="s">
        <v>29</v>
      </c>
      <c r="F2048" t="s">
        <v>130</v>
      </c>
      <c r="G2048" t="s">
        <v>22</v>
      </c>
      <c r="H2048" t="s">
        <v>23</v>
      </c>
      <c r="I2048" t="s">
        <v>83</v>
      </c>
      <c r="J2048" t="s">
        <v>120</v>
      </c>
      <c r="K2048">
        <v>4</v>
      </c>
      <c r="L2048" s="2">
        <v>25.67</v>
      </c>
      <c r="M2048" s="3">
        <v>0</v>
      </c>
      <c r="N2048" s="2">
        <v>102.68</v>
      </c>
      <c r="O2048" s="2">
        <v>73.56</v>
      </c>
      <c r="P2048" s="2">
        <v>29.12</v>
      </c>
      <c r="Q2048" t="s">
        <v>26</v>
      </c>
    </row>
    <row r="2049" spans="1:17" x14ac:dyDescent="0.2">
      <c r="A2049" t="s">
        <v>2214</v>
      </c>
      <c r="B2049" s="1">
        <v>45908</v>
      </c>
      <c r="C2049" t="s">
        <v>43</v>
      </c>
      <c r="D2049" t="s">
        <v>44</v>
      </c>
      <c r="E2049" t="s">
        <v>147</v>
      </c>
      <c r="F2049" t="s">
        <v>60</v>
      </c>
      <c r="G2049" t="s">
        <v>75</v>
      </c>
      <c r="H2049" t="s">
        <v>31</v>
      </c>
      <c r="I2049" t="s">
        <v>64</v>
      </c>
      <c r="J2049" t="s">
        <v>126</v>
      </c>
      <c r="K2049">
        <v>7</v>
      </c>
      <c r="L2049" s="2">
        <v>37.619999999999997</v>
      </c>
      <c r="M2049" s="3">
        <v>0.1</v>
      </c>
      <c r="N2049" s="2">
        <v>237.01</v>
      </c>
      <c r="O2049" s="2">
        <v>154.72</v>
      </c>
      <c r="P2049" s="2">
        <v>82.29</v>
      </c>
      <c r="Q2049" t="s">
        <v>61</v>
      </c>
    </row>
    <row r="2050" spans="1:17" x14ac:dyDescent="0.2">
      <c r="A2050" t="s">
        <v>2215</v>
      </c>
      <c r="B2050" s="1">
        <v>45908</v>
      </c>
      <c r="C2050" t="s">
        <v>18</v>
      </c>
      <c r="D2050" t="s">
        <v>28</v>
      </c>
      <c r="E2050" t="s">
        <v>29</v>
      </c>
      <c r="F2050" t="s">
        <v>69</v>
      </c>
      <c r="G2050" t="s">
        <v>54</v>
      </c>
      <c r="H2050" t="s">
        <v>31</v>
      </c>
      <c r="I2050" t="s">
        <v>112</v>
      </c>
      <c r="J2050" t="s">
        <v>176</v>
      </c>
      <c r="K2050">
        <v>6</v>
      </c>
      <c r="L2050" s="2">
        <v>691.23</v>
      </c>
      <c r="M2050" s="3">
        <v>0.05</v>
      </c>
      <c r="N2050" s="2">
        <v>3940.01</v>
      </c>
      <c r="O2050" s="2">
        <v>2398.1</v>
      </c>
      <c r="P2050" s="2">
        <v>1541.91</v>
      </c>
      <c r="Q2050" t="s">
        <v>26</v>
      </c>
    </row>
    <row r="2051" spans="1:17" x14ac:dyDescent="0.2">
      <c r="A2051" t="s">
        <v>2216</v>
      </c>
      <c r="B2051" s="1">
        <v>45908</v>
      </c>
      <c r="C2051" t="s">
        <v>18</v>
      </c>
      <c r="D2051" t="s">
        <v>28</v>
      </c>
      <c r="E2051" t="s">
        <v>157</v>
      </c>
      <c r="F2051" t="s">
        <v>53</v>
      </c>
      <c r="G2051" t="s">
        <v>22</v>
      </c>
      <c r="H2051" t="s">
        <v>23</v>
      </c>
      <c r="I2051" t="s">
        <v>55</v>
      </c>
      <c r="J2051" t="s">
        <v>102</v>
      </c>
      <c r="K2051">
        <v>7</v>
      </c>
      <c r="L2051" s="2">
        <v>13.21</v>
      </c>
      <c r="M2051" s="3">
        <v>0.1</v>
      </c>
      <c r="N2051" s="2">
        <v>83.22</v>
      </c>
      <c r="O2051" s="2">
        <v>55.15</v>
      </c>
      <c r="P2051" s="2">
        <v>28.07</v>
      </c>
      <c r="Q2051" t="s">
        <v>34</v>
      </c>
    </row>
    <row r="2052" spans="1:17" x14ac:dyDescent="0.2">
      <c r="A2052" t="s">
        <v>2217</v>
      </c>
      <c r="B2052" s="1">
        <v>45909</v>
      </c>
      <c r="C2052" t="s">
        <v>18</v>
      </c>
      <c r="D2052" t="s">
        <v>86</v>
      </c>
      <c r="E2052" t="s">
        <v>92</v>
      </c>
      <c r="F2052" t="s">
        <v>71</v>
      </c>
      <c r="G2052" t="s">
        <v>54</v>
      </c>
      <c r="H2052" t="s">
        <v>31</v>
      </c>
      <c r="I2052" t="s">
        <v>40</v>
      </c>
      <c r="J2052" t="s">
        <v>216</v>
      </c>
      <c r="K2052">
        <v>2</v>
      </c>
      <c r="L2052" s="2">
        <v>41.19</v>
      </c>
      <c r="M2052" s="3">
        <v>0</v>
      </c>
      <c r="N2052" s="2">
        <v>82.38</v>
      </c>
      <c r="O2052" s="2">
        <v>64.209999999999994</v>
      </c>
      <c r="P2052" s="2">
        <v>18.170000000000002</v>
      </c>
      <c r="Q2052" t="s">
        <v>57</v>
      </c>
    </row>
    <row r="2053" spans="1:17" x14ac:dyDescent="0.2">
      <c r="A2053" t="s">
        <v>2218</v>
      </c>
      <c r="B2053" s="1">
        <v>45909</v>
      </c>
      <c r="C2053" t="s">
        <v>77</v>
      </c>
      <c r="D2053" t="s">
        <v>106</v>
      </c>
      <c r="E2053" t="s">
        <v>107</v>
      </c>
      <c r="F2053" t="s">
        <v>21</v>
      </c>
      <c r="G2053" t="s">
        <v>22</v>
      </c>
      <c r="H2053" t="s">
        <v>31</v>
      </c>
      <c r="I2053" t="s">
        <v>64</v>
      </c>
      <c r="J2053" t="s">
        <v>65</v>
      </c>
      <c r="K2053">
        <v>5</v>
      </c>
      <c r="L2053" s="2">
        <v>146.94999999999999</v>
      </c>
      <c r="M2053" s="3">
        <v>0</v>
      </c>
      <c r="N2053" s="2">
        <v>734.75</v>
      </c>
      <c r="O2053" s="2">
        <v>531.29</v>
      </c>
      <c r="P2053" s="2">
        <v>203.46</v>
      </c>
      <c r="Q2053" t="s">
        <v>34</v>
      </c>
    </row>
    <row r="2054" spans="1:17" x14ac:dyDescent="0.2">
      <c r="A2054" t="s">
        <v>2219</v>
      </c>
      <c r="B2054" s="1">
        <v>45909</v>
      </c>
      <c r="C2054" t="s">
        <v>18</v>
      </c>
      <c r="D2054" t="s">
        <v>86</v>
      </c>
      <c r="E2054" t="s">
        <v>92</v>
      </c>
      <c r="F2054" t="s">
        <v>39</v>
      </c>
      <c r="G2054" t="s">
        <v>22</v>
      </c>
      <c r="H2054" t="s">
        <v>31</v>
      </c>
      <c r="I2054" t="s">
        <v>32</v>
      </c>
      <c r="J2054" t="s">
        <v>33</v>
      </c>
      <c r="K2054">
        <v>3</v>
      </c>
      <c r="L2054" s="2">
        <v>1279.6600000000001</v>
      </c>
      <c r="M2054" s="3">
        <v>0</v>
      </c>
      <c r="N2054" s="2">
        <v>3838.98</v>
      </c>
      <c r="O2054" s="2">
        <v>3140.38</v>
      </c>
      <c r="P2054" s="2">
        <v>698.6</v>
      </c>
      <c r="Q2054" t="s">
        <v>26</v>
      </c>
    </row>
    <row r="2055" spans="1:17" x14ac:dyDescent="0.2">
      <c r="A2055" t="s">
        <v>2220</v>
      </c>
      <c r="B2055" s="1">
        <v>45909</v>
      </c>
      <c r="C2055" t="s">
        <v>18</v>
      </c>
      <c r="D2055" t="s">
        <v>19</v>
      </c>
      <c r="E2055" t="s">
        <v>118</v>
      </c>
      <c r="F2055" t="s">
        <v>39</v>
      </c>
      <c r="G2055" t="s">
        <v>75</v>
      </c>
      <c r="H2055" t="s">
        <v>31</v>
      </c>
      <c r="I2055" t="s">
        <v>64</v>
      </c>
      <c r="J2055" t="s">
        <v>252</v>
      </c>
      <c r="K2055">
        <v>6</v>
      </c>
      <c r="L2055" s="2">
        <v>101.28</v>
      </c>
      <c r="M2055" s="3">
        <v>0</v>
      </c>
      <c r="N2055" s="2">
        <v>607.67999999999995</v>
      </c>
      <c r="O2055" s="2">
        <v>398.58</v>
      </c>
      <c r="P2055" s="2">
        <v>209.1</v>
      </c>
      <c r="Q2055" t="s">
        <v>26</v>
      </c>
    </row>
    <row r="2056" spans="1:17" x14ac:dyDescent="0.2">
      <c r="A2056" t="s">
        <v>2221</v>
      </c>
      <c r="B2056" s="1">
        <v>45909</v>
      </c>
      <c r="C2056" t="s">
        <v>43</v>
      </c>
      <c r="D2056" t="s">
        <v>51</v>
      </c>
      <c r="E2056" t="s">
        <v>59</v>
      </c>
      <c r="F2056" t="s">
        <v>30</v>
      </c>
      <c r="G2056" t="s">
        <v>54</v>
      </c>
      <c r="H2056" t="s">
        <v>47</v>
      </c>
      <c r="I2056" t="s">
        <v>141</v>
      </c>
      <c r="J2056" t="s">
        <v>142</v>
      </c>
      <c r="K2056">
        <v>6</v>
      </c>
      <c r="L2056" s="2">
        <v>439.82</v>
      </c>
      <c r="M2056" s="3">
        <v>0.05</v>
      </c>
      <c r="N2056" s="2">
        <v>2506.9699999999998</v>
      </c>
      <c r="O2056" s="2">
        <v>1468.26</v>
      </c>
      <c r="P2056" s="2">
        <v>1038.71</v>
      </c>
      <c r="Q2056" t="s">
        <v>26</v>
      </c>
    </row>
    <row r="2057" spans="1:17" x14ac:dyDescent="0.2">
      <c r="A2057" t="s">
        <v>2222</v>
      </c>
      <c r="B2057" s="1">
        <v>45909</v>
      </c>
      <c r="C2057" t="s">
        <v>43</v>
      </c>
      <c r="D2057" t="s">
        <v>208</v>
      </c>
      <c r="E2057" t="s">
        <v>287</v>
      </c>
      <c r="F2057" t="s">
        <v>46</v>
      </c>
      <c r="G2057" t="s">
        <v>75</v>
      </c>
      <c r="H2057" t="s">
        <v>23</v>
      </c>
      <c r="I2057" t="s">
        <v>24</v>
      </c>
      <c r="J2057" t="s">
        <v>220</v>
      </c>
      <c r="K2057">
        <v>4</v>
      </c>
      <c r="L2057" s="2">
        <v>16.39</v>
      </c>
      <c r="M2057" s="3">
        <v>0.1</v>
      </c>
      <c r="N2057" s="2">
        <v>59</v>
      </c>
      <c r="O2057" s="2">
        <v>40.479999999999997</v>
      </c>
      <c r="P2057" s="2">
        <v>18.52</v>
      </c>
      <c r="Q2057" t="s">
        <v>34</v>
      </c>
    </row>
    <row r="2058" spans="1:17" x14ac:dyDescent="0.2">
      <c r="A2058" t="s">
        <v>2223</v>
      </c>
      <c r="B2058" s="1">
        <v>45909</v>
      </c>
      <c r="C2058" t="s">
        <v>43</v>
      </c>
      <c r="D2058" t="s">
        <v>208</v>
      </c>
      <c r="E2058" t="s">
        <v>230</v>
      </c>
      <c r="F2058" t="s">
        <v>138</v>
      </c>
      <c r="G2058" t="s">
        <v>75</v>
      </c>
      <c r="H2058" t="s">
        <v>31</v>
      </c>
      <c r="I2058" t="s">
        <v>112</v>
      </c>
      <c r="J2058" t="s">
        <v>176</v>
      </c>
      <c r="K2058">
        <v>7</v>
      </c>
      <c r="L2058" s="2">
        <v>235.28</v>
      </c>
      <c r="M2058" s="3">
        <v>0.05</v>
      </c>
      <c r="N2058" s="2">
        <v>1564.61</v>
      </c>
      <c r="O2058" s="2">
        <v>975.85</v>
      </c>
      <c r="P2058" s="2">
        <v>588.76</v>
      </c>
      <c r="Q2058" t="s">
        <v>26</v>
      </c>
    </row>
    <row r="2059" spans="1:17" x14ac:dyDescent="0.2">
      <c r="A2059" t="s">
        <v>2224</v>
      </c>
      <c r="B2059" s="1">
        <v>45909</v>
      </c>
      <c r="C2059" t="s">
        <v>77</v>
      </c>
      <c r="D2059" t="s">
        <v>128</v>
      </c>
      <c r="E2059" t="s">
        <v>155</v>
      </c>
      <c r="F2059" t="s">
        <v>60</v>
      </c>
      <c r="G2059" t="s">
        <v>75</v>
      </c>
      <c r="H2059" t="s">
        <v>47</v>
      </c>
      <c r="I2059" t="s">
        <v>89</v>
      </c>
      <c r="J2059" t="s">
        <v>90</v>
      </c>
      <c r="K2059">
        <v>1</v>
      </c>
      <c r="L2059" s="2">
        <v>182.71</v>
      </c>
      <c r="M2059" s="3">
        <v>0</v>
      </c>
      <c r="N2059" s="2">
        <v>182.71</v>
      </c>
      <c r="O2059" s="2">
        <v>118.56</v>
      </c>
      <c r="P2059" s="2">
        <v>64.150000000000006</v>
      </c>
      <c r="Q2059" t="s">
        <v>34</v>
      </c>
    </row>
    <row r="2060" spans="1:17" x14ac:dyDescent="0.2">
      <c r="A2060" t="s">
        <v>2225</v>
      </c>
      <c r="B2060" s="1">
        <v>45910</v>
      </c>
      <c r="C2060" t="s">
        <v>43</v>
      </c>
      <c r="D2060" t="s">
        <v>208</v>
      </c>
      <c r="E2060" t="s">
        <v>230</v>
      </c>
      <c r="F2060" t="s">
        <v>39</v>
      </c>
      <c r="G2060" t="s">
        <v>75</v>
      </c>
      <c r="H2060" t="s">
        <v>31</v>
      </c>
      <c r="I2060" t="s">
        <v>112</v>
      </c>
      <c r="J2060" t="s">
        <v>113</v>
      </c>
      <c r="K2060">
        <v>7</v>
      </c>
      <c r="L2060" s="2">
        <v>580.15</v>
      </c>
      <c r="M2060" s="3">
        <v>0.05</v>
      </c>
      <c r="N2060" s="2">
        <v>3858</v>
      </c>
      <c r="O2060" s="2">
        <v>2211.62</v>
      </c>
      <c r="P2060" s="2">
        <v>1646.38</v>
      </c>
      <c r="Q2060" t="s">
        <v>61</v>
      </c>
    </row>
    <row r="2061" spans="1:17" x14ac:dyDescent="0.2">
      <c r="A2061" t="s">
        <v>2226</v>
      </c>
      <c r="B2061" s="1">
        <v>45910</v>
      </c>
      <c r="C2061" t="s">
        <v>43</v>
      </c>
      <c r="D2061" t="s">
        <v>161</v>
      </c>
      <c r="E2061" t="s">
        <v>418</v>
      </c>
      <c r="F2061" t="s">
        <v>60</v>
      </c>
      <c r="G2061" t="s">
        <v>22</v>
      </c>
      <c r="H2061" t="s">
        <v>31</v>
      </c>
      <c r="I2061" t="s">
        <v>112</v>
      </c>
      <c r="J2061" t="s">
        <v>136</v>
      </c>
      <c r="K2061">
        <v>4</v>
      </c>
      <c r="L2061" s="2">
        <v>572.79</v>
      </c>
      <c r="M2061" s="3">
        <v>0.05</v>
      </c>
      <c r="N2061" s="2">
        <v>2176.6</v>
      </c>
      <c r="O2061" s="2">
        <v>1402.74</v>
      </c>
      <c r="P2061" s="2">
        <v>773.86</v>
      </c>
      <c r="Q2061" t="s">
        <v>26</v>
      </c>
    </row>
    <row r="2062" spans="1:17" x14ac:dyDescent="0.2">
      <c r="A2062" t="s">
        <v>2227</v>
      </c>
      <c r="B2062" s="1">
        <v>45910</v>
      </c>
      <c r="C2062" t="s">
        <v>36</v>
      </c>
      <c r="D2062" t="s">
        <v>110</v>
      </c>
      <c r="E2062" t="s">
        <v>111</v>
      </c>
      <c r="F2062" t="s">
        <v>46</v>
      </c>
      <c r="G2062" t="s">
        <v>54</v>
      </c>
      <c r="H2062" t="s">
        <v>23</v>
      </c>
      <c r="I2062" t="s">
        <v>24</v>
      </c>
      <c r="J2062" t="s">
        <v>220</v>
      </c>
      <c r="K2062">
        <v>9</v>
      </c>
      <c r="L2062" s="2">
        <v>11.61</v>
      </c>
      <c r="M2062" s="3">
        <v>0.05</v>
      </c>
      <c r="N2062" s="2">
        <v>99.27</v>
      </c>
      <c r="O2062" s="2">
        <v>73.94</v>
      </c>
      <c r="P2062" s="2">
        <v>25.33</v>
      </c>
      <c r="Q2062" t="s">
        <v>34</v>
      </c>
    </row>
    <row r="2063" spans="1:17" x14ac:dyDescent="0.2">
      <c r="A2063" t="s">
        <v>2228</v>
      </c>
      <c r="B2063" s="1">
        <v>45910</v>
      </c>
      <c r="C2063" t="s">
        <v>77</v>
      </c>
      <c r="D2063" t="s">
        <v>149</v>
      </c>
      <c r="E2063" t="s">
        <v>206</v>
      </c>
      <c r="F2063" t="s">
        <v>53</v>
      </c>
      <c r="G2063" t="s">
        <v>22</v>
      </c>
      <c r="H2063" t="s">
        <v>23</v>
      </c>
      <c r="I2063" t="s">
        <v>83</v>
      </c>
      <c r="J2063" t="s">
        <v>84</v>
      </c>
      <c r="K2063">
        <v>7</v>
      </c>
      <c r="L2063" s="2">
        <v>16.399999999999999</v>
      </c>
      <c r="M2063" s="3">
        <v>0.05</v>
      </c>
      <c r="N2063" s="2">
        <v>109.06</v>
      </c>
      <c r="O2063" s="2">
        <v>69.010000000000005</v>
      </c>
      <c r="P2063" s="2">
        <v>40.049999999999997</v>
      </c>
      <c r="Q2063" t="s">
        <v>34</v>
      </c>
    </row>
    <row r="2064" spans="1:17" x14ac:dyDescent="0.2">
      <c r="A2064" t="s">
        <v>2229</v>
      </c>
      <c r="B2064" s="1">
        <v>45910</v>
      </c>
      <c r="C2064" t="s">
        <v>77</v>
      </c>
      <c r="D2064" t="s">
        <v>128</v>
      </c>
      <c r="E2064" t="s">
        <v>129</v>
      </c>
      <c r="F2064" t="s">
        <v>138</v>
      </c>
      <c r="G2064" t="s">
        <v>54</v>
      </c>
      <c r="H2064" t="s">
        <v>23</v>
      </c>
      <c r="I2064" t="s">
        <v>24</v>
      </c>
      <c r="J2064" t="s">
        <v>25</v>
      </c>
      <c r="K2064">
        <v>7</v>
      </c>
      <c r="L2064" s="2">
        <v>25.71</v>
      </c>
      <c r="M2064" s="3">
        <v>0</v>
      </c>
      <c r="N2064" s="2">
        <v>179.97</v>
      </c>
      <c r="O2064" s="2">
        <v>116.42</v>
      </c>
      <c r="P2064" s="2">
        <v>63.55</v>
      </c>
      <c r="Q2064" t="s">
        <v>61</v>
      </c>
    </row>
    <row r="2065" spans="1:17" x14ac:dyDescent="0.2">
      <c r="A2065" t="s">
        <v>2230</v>
      </c>
      <c r="B2065" s="1">
        <v>45910</v>
      </c>
      <c r="C2065" t="s">
        <v>77</v>
      </c>
      <c r="D2065" t="s">
        <v>106</v>
      </c>
      <c r="E2065" t="s">
        <v>303</v>
      </c>
      <c r="F2065" t="s">
        <v>69</v>
      </c>
      <c r="G2065" t="s">
        <v>75</v>
      </c>
      <c r="H2065" t="s">
        <v>23</v>
      </c>
      <c r="I2065" t="s">
        <v>79</v>
      </c>
      <c r="J2065" t="s">
        <v>80</v>
      </c>
      <c r="K2065">
        <v>10</v>
      </c>
      <c r="L2065" s="2">
        <v>270.2</v>
      </c>
      <c r="M2065" s="3">
        <v>0.15</v>
      </c>
      <c r="N2065" s="2">
        <v>2296.6999999999998</v>
      </c>
      <c r="O2065" s="2">
        <v>1798.65</v>
      </c>
      <c r="P2065" s="2">
        <v>498.05</v>
      </c>
      <c r="Q2065" t="s">
        <v>57</v>
      </c>
    </row>
    <row r="2066" spans="1:17" x14ac:dyDescent="0.2">
      <c r="A2066" t="s">
        <v>2231</v>
      </c>
      <c r="B2066" s="1">
        <v>45910</v>
      </c>
      <c r="C2066" t="s">
        <v>77</v>
      </c>
      <c r="D2066" t="s">
        <v>95</v>
      </c>
      <c r="E2066" t="s">
        <v>300</v>
      </c>
      <c r="F2066" t="s">
        <v>71</v>
      </c>
      <c r="G2066" t="s">
        <v>54</v>
      </c>
      <c r="H2066" t="s">
        <v>47</v>
      </c>
      <c r="I2066" t="s">
        <v>48</v>
      </c>
      <c r="J2066" t="s">
        <v>164</v>
      </c>
      <c r="K2066">
        <v>10</v>
      </c>
      <c r="L2066" s="2">
        <v>380.67</v>
      </c>
      <c r="M2066" s="3">
        <v>0</v>
      </c>
      <c r="N2066" s="2">
        <v>3806.7</v>
      </c>
      <c r="O2066" s="2">
        <v>2462.06</v>
      </c>
      <c r="P2066" s="2">
        <v>1344.64</v>
      </c>
      <c r="Q2066" t="s">
        <v>61</v>
      </c>
    </row>
    <row r="2067" spans="1:17" x14ac:dyDescent="0.2">
      <c r="A2067" t="s">
        <v>2232</v>
      </c>
      <c r="B2067" s="1">
        <v>45910</v>
      </c>
      <c r="C2067" t="s">
        <v>77</v>
      </c>
      <c r="D2067" t="s">
        <v>106</v>
      </c>
      <c r="E2067" t="s">
        <v>303</v>
      </c>
      <c r="F2067" t="s">
        <v>21</v>
      </c>
      <c r="G2067" t="s">
        <v>22</v>
      </c>
      <c r="H2067" t="s">
        <v>31</v>
      </c>
      <c r="I2067" t="s">
        <v>40</v>
      </c>
      <c r="J2067" t="s">
        <v>41</v>
      </c>
      <c r="K2067">
        <v>8</v>
      </c>
      <c r="L2067" s="2">
        <v>88.38</v>
      </c>
      <c r="M2067" s="3">
        <v>0.05</v>
      </c>
      <c r="N2067" s="2">
        <v>671.69</v>
      </c>
      <c r="O2067" s="2">
        <v>545.63</v>
      </c>
      <c r="P2067" s="2">
        <v>126.06</v>
      </c>
      <c r="Q2067" t="s">
        <v>26</v>
      </c>
    </row>
    <row r="2068" spans="1:17" x14ac:dyDescent="0.2">
      <c r="A2068" t="s">
        <v>2233</v>
      </c>
      <c r="B2068" s="1">
        <v>45910</v>
      </c>
      <c r="C2068" t="s">
        <v>18</v>
      </c>
      <c r="D2068" t="s">
        <v>28</v>
      </c>
      <c r="E2068" t="s">
        <v>157</v>
      </c>
      <c r="F2068" t="s">
        <v>69</v>
      </c>
      <c r="G2068" t="s">
        <v>22</v>
      </c>
      <c r="H2068" t="s">
        <v>47</v>
      </c>
      <c r="I2068" t="s">
        <v>89</v>
      </c>
      <c r="J2068" t="s">
        <v>240</v>
      </c>
      <c r="K2068">
        <v>1</v>
      </c>
      <c r="L2068" s="2">
        <v>278.02</v>
      </c>
      <c r="M2068" s="3">
        <v>0.05</v>
      </c>
      <c r="N2068" s="2">
        <v>264.12</v>
      </c>
      <c r="O2068" s="2">
        <v>153.12</v>
      </c>
      <c r="P2068" s="2">
        <v>111</v>
      </c>
      <c r="Q2068" t="s">
        <v>61</v>
      </c>
    </row>
    <row r="2069" spans="1:17" x14ac:dyDescent="0.2">
      <c r="A2069" t="s">
        <v>2234</v>
      </c>
      <c r="B2069" s="1">
        <v>45910</v>
      </c>
      <c r="C2069" t="s">
        <v>43</v>
      </c>
      <c r="D2069" t="s">
        <v>161</v>
      </c>
      <c r="E2069" t="s">
        <v>172</v>
      </c>
      <c r="F2069" t="s">
        <v>130</v>
      </c>
      <c r="G2069" t="s">
        <v>75</v>
      </c>
      <c r="H2069" t="s">
        <v>31</v>
      </c>
      <c r="I2069" t="s">
        <v>32</v>
      </c>
      <c r="J2069" t="s">
        <v>104</v>
      </c>
      <c r="K2069">
        <v>3</v>
      </c>
      <c r="L2069" s="2">
        <v>1486.85</v>
      </c>
      <c r="M2069" s="3">
        <v>0.05</v>
      </c>
      <c r="N2069" s="2">
        <v>4237.5200000000004</v>
      </c>
      <c r="O2069" s="2">
        <v>3135.03</v>
      </c>
      <c r="P2069" s="2">
        <v>1102.49</v>
      </c>
      <c r="Q2069" t="s">
        <v>26</v>
      </c>
    </row>
    <row r="2070" spans="1:17" x14ac:dyDescent="0.2">
      <c r="A2070" t="s">
        <v>2235</v>
      </c>
      <c r="B2070" s="1">
        <v>45910</v>
      </c>
      <c r="C2070" t="s">
        <v>43</v>
      </c>
      <c r="D2070" t="s">
        <v>161</v>
      </c>
      <c r="E2070" t="s">
        <v>162</v>
      </c>
      <c r="F2070" t="s">
        <v>39</v>
      </c>
      <c r="G2070" t="s">
        <v>75</v>
      </c>
      <c r="H2070" t="s">
        <v>23</v>
      </c>
      <c r="I2070" t="s">
        <v>79</v>
      </c>
      <c r="J2070" t="s">
        <v>179</v>
      </c>
      <c r="K2070">
        <v>4</v>
      </c>
      <c r="L2070" s="2">
        <v>337.19</v>
      </c>
      <c r="M2070" s="3">
        <v>0</v>
      </c>
      <c r="N2070" s="2">
        <v>1348.76</v>
      </c>
      <c r="O2070" s="2">
        <v>1101.92</v>
      </c>
      <c r="P2070" s="2">
        <v>246.84</v>
      </c>
      <c r="Q2070" t="s">
        <v>34</v>
      </c>
    </row>
    <row r="2071" spans="1:17" x14ac:dyDescent="0.2">
      <c r="A2071" t="s">
        <v>2236</v>
      </c>
      <c r="B2071" s="1">
        <v>45911</v>
      </c>
      <c r="C2071" t="s">
        <v>36</v>
      </c>
      <c r="D2071" t="s">
        <v>37</v>
      </c>
      <c r="E2071" t="s">
        <v>38</v>
      </c>
      <c r="F2071" t="s">
        <v>71</v>
      </c>
      <c r="G2071" t="s">
        <v>22</v>
      </c>
      <c r="H2071" t="s">
        <v>31</v>
      </c>
      <c r="I2071" t="s">
        <v>32</v>
      </c>
      <c r="J2071" t="s">
        <v>33</v>
      </c>
      <c r="K2071">
        <v>10</v>
      </c>
      <c r="L2071" s="2">
        <v>1111.21</v>
      </c>
      <c r="M2071" s="3">
        <v>0.05</v>
      </c>
      <c r="N2071" s="2">
        <v>10556.5</v>
      </c>
      <c r="O2071" s="2">
        <v>7719.12</v>
      </c>
      <c r="P2071" s="2">
        <v>2837.38</v>
      </c>
      <c r="Q2071" t="s">
        <v>34</v>
      </c>
    </row>
    <row r="2072" spans="1:17" x14ac:dyDescent="0.2">
      <c r="A2072" t="s">
        <v>2237</v>
      </c>
      <c r="B2072" s="1">
        <v>45911</v>
      </c>
      <c r="C2072" t="s">
        <v>36</v>
      </c>
      <c r="D2072" t="s">
        <v>37</v>
      </c>
      <c r="E2072" t="s">
        <v>187</v>
      </c>
      <c r="F2072" t="s">
        <v>53</v>
      </c>
      <c r="G2072" t="s">
        <v>75</v>
      </c>
      <c r="H2072" t="s">
        <v>31</v>
      </c>
      <c r="I2072" t="s">
        <v>112</v>
      </c>
      <c r="J2072" t="s">
        <v>176</v>
      </c>
      <c r="K2072">
        <v>8</v>
      </c>
      <c r="L2072" s="2">
        <v>616.72</v>
      </c>
      <c r="M2072" s="3">
        <v>0.05</v>
      </c>
      <c r="N2072" s="2">
        <v>4687.07</v>
      </c>
      <c r="O2072" s="2">
        <v>3374.65</v>
      </c>
      <c r="P2072" s="2">
        <v>1312.42</v>
      </c>
      <c r="Q2072" t="s">
        <v>26</v>
      </c>
    </row>
    <row r="2073" spans="1:17" x14ac:dyDescent="0.2">
      <c r="A2073" t="s">
        <v>2238</v>
      </c>
      <c r="B2073" s="1">
        <v>45911</v>
      </c>
      <c r="C2073" t="s">
        <v>18</v>
      </c>
      <c r="D2073" t="s">
        <v>28</v>
      </c>
      <c r="E2073" t="s">
        <v>157</v>
      </c>
      <c r="F2073" t="s">
        <v>53</v>
      </c>
      <c r="G2073" t="s">
        <v>22</v>
      </c>
      <c r="H2073" t="s">
        <v>47</v>
      </c>
      <c r="I2073" t="s">
        <v>141</v>
      </c>
      <c r="J2073" t="s">
        <v>372</v>
      </c>
      <c r="K2073">
        <v>10</v>
      </c>
      <c r="L2073" s="2">
        <v>237.15</v>
      </c>
      <c r="M2073" s="3">
        <v>0</v>
      </c>
      <c r="N2073" s="2">
        <v>2371.5</v>
      </c>
      <c r="O2073" s="2">
        <v>1326.24</v>
      </c>
      <c r="P2073" s="2">
        <v>1045.26</v>
      </c>
      <c r="Q2073" t="s">
        <v>34</v>
      </c>
    </row>
    <row r="2074" spans="1:17" x14ac:dyDescent="0.2">
      <c r="A2074" t="s">
        <v>2239</v>
      </c>
      <c r="B2074" s="1">
        <v>45911</v>
      </c>
      <c r="C2074" t="s">
        <v>18</v>
      </c>
      <c r="D2074" t="s">
        <v>133</v>
      </c>
      <c r="E2074" t="s">
        <v>226</v>
      </c>
      <c r="F2074" t="s">
        <v>138</v>
      </c>
      <c r="G2074" t="s">
        <v>22</v>
      </c>
      <c r="H2074" t="s">
        <v>47</v>
      </c>
      <c r="I2074" t="s">
        <v>97</v>
      </c>
      <c r="J2074" t="s">
        <v>98</v>
      </c>
      <c r="K2074">
        <v>1</v>
      </c>
      <c r="L2074" s="2">
        <v>147.58000000000001</v>
      </c>
      <c r="M2074" s="3">
        <v>0.05</v>
      </c>
      <c r="N2074" s="2">
        <v>140.19999999999999</v>
      </c>
      <c r="O2074" s="2">
        <v>108</v>
      </c>
      <c r="P2074" s="2">
        <v>32.200000000000003</v>
      </c>
      <c r="Q2074" t="s">
        <v>61</v>
      </c>
    </row>
    <row r="2075" spans="1:17" x14ac:dyDescent="0.2">
      <c r="A2075" t="s">
        <v>2240</v>
      </c>
      <c r="B2075" s="1">
        <v>45911</v>
      </c>
      <c r="C2075" t="s">
        <v>77</v>
      </c>
      <c r="D2075" t="s">
        <v>95</v>
      </c>
      <c r="E2075" t="s">
        <v>96</v>
      </c>
      <c r="F2075" t="s">
        <v>71</v>
      </c>
      <c r="G2075" t="s">
        <v>54</v>
      </c>
      <c r="H2075" t="s">
        <v>31</v>
      </c>
      <c r="I2075" t="s">
        <v>64</v>
      </c>
      <c r="J2075" t="s">
        <v>126</v>
      </c>
      <c r="K2075">
        <v>2</v>
      </c>
      <c r="L2075" s="2">
        <v>96.76</v>
      </c>
      <c r="M2075" s="3">
        <v>0.1</v>
      </c>
      <c r="N2075" s="2">
        <v>174.17</v>
      </c>
      <c r="O2075" s="2">
        <v>108.6</v>
      </c>
      <c r="P2075" s="2">
        <v>65.569999999999993</v>
      </c>
      <c r="Q2075" t="s">
        <v>61</v>
      </c>
    </row>
    <row r="2076" spans="1:17" x14ac:dyDescent="0.2">
      <c r="A2076" t="s">
        <v>2241</v>
      </c>
      <c r="B2076" s="1">
        <v>45911</v>
      </c>
      <c r="C2076" t="s">
        <v>36</v>
      </c>
      <c r="D2076" t="s">
        <v>73</v>
      </c>
      <c r="E2076" t="s">
        <v>212</v>
      </c>
      <c r="F2076" t="s">
        <v>21</v>
      </c>
      <c r="G2076" t="s">
        <v>75</v>
      </c>
      <c r="H2076" t="s">
        <v>31</v>
      </c>
      <c r="I2076" t="s">
        <v>32</v>
      </c>
      <c r="J2076" t="s">
        <v>104</v>
      </c>
      <c r="K2076">
        <v>2</v>
      </c>
      <c r="L2076" s="2">
        <v>1425.42</v>
      </c>
      <c r="M2076" s="3">
        <v>0.15</v>
      </c>
      <c r="N2076" s="2">
        <v>2423.21</v>
      </c>
      <c r="O2076" s="2">
        <v>1644.82</v>
      </c>
      <c r="P2076" s="2">
        <v>778.39</v>
      </c>
      <c r="Q2076" t="s">
        <v>26</v>
      </c>
    </row>
    <row r="2077" spans="1:17" x14ac:dyDescent="0.2">
      <c r="A2077" t="s">
        <v>2242</v>
      </c>
      <c r="B2077" s="1">
        <v>45911</v>
      </c>
      <c r="C2077" t="s">
        <v>77</v>
      </c>
      <c r="D2077" t="s">
        <v>78</v>
      </c>
      <c r="E2077" t="s">
        <v>295</v>
      </c>
      <c r="F2077" t="s">
        <v>30</v>
      </c>
      <c r="G2077" t="s">
        <v>75</v>
      </c>
      <c r="H2077" t="s">
        <v>31</v>
      </c>
      <c r="I2077" t="s">
        <v>64</v>
      </c>
      <c r="J2077" t="s">
        <v>126</v>
      </c>
      <c r="K2077">
        <v>10</v>
      </c>
      <c r="L2077" s="2">
        <v>39.31</v>
      </c>
      <c r="M2077" s="3">
        <v>0.1</v>
      </c>
      <c r="N2077" s="2">
        <v>353.79</v>
      </c>
      <c r="O2077" s="2">
        <v>266.88</v>
      </c>
      <c r="P2077" s="2">
        <v>86.91</v>
      </c>
      <c r="Q2077" t="s">
        <v>57</v>
      </c>
    </row>
    <row r="2078" spans="1:17" x14ac:dyDescent="0.2">
      <c r="A2078" t="s">
        <v>2243</v>
      </c>
      <c r="B2078" s="1">
        <v>45911</v>
      </c>
      <c r="C2078" t="s">
        <v>18</v>
      </c>
      <c r="D2078" t="s">
        <v>152</v>
      </c>
      <c r="E2078" t="s">
        <v>166</v>
      </c>
      <c r="F2078" t="s">
        <v>71</v>
      </c>
      <c r="G2078" t="s">
        <v>54</v>
      </c>
      <c r="H2078" t="s">
        <v>47</v>
      </c>
      <c r="I2078" t="s">
        <v>97</v>
      </c>
      <c r="J2078" t="s">
        <v>98</v>
      </c>
      <c r="K2078">
        <v>8</v>
      </c>
      <c r="L2078" s="2">
        <v>189.46</v>
      </c>
      <c r="M2078" s="3">
        <v>0.05</v>
      </c>
      <c r="N2078" s="2">
        <v>1439.9</v>
      </c>
      <c r="O2078" s="2">
        <v>963.6</v>
      </c>
      <c r="P2078" s="2">
        <v>476.3</v>
      </c>
      <c r="Q2078" t="s">
        <v>57</v>
      </c>
    </row>
    <row r="2079" spans="1:17" x14ac:dyDescent="0.2">
      <c r="A2079" t="s">
        <v>2244</v>
      </c>
      <c r="B2079" s="1">
        <v>45912</v>
      </c>
      <c r="C2079" t="s">
        <v>36</v>
      </c>
      <c r="D2079" t="s">
        <v>110</v>
      </c>
      <c r="E2079" t="s">
        <v>203</v>
      </c>
      <c r="F2079" t="s">
        <v>71</v>
      </c>
      <c r="G2079" t="s">
        <v>22</v>
      </c>
      <c r="H2079" t="s">
        <v>47</v>
      </c>
      <c r="I2079" t="s">
        <v>89</v>
      </c>
      <c r="J2079" t="s">
        <v>90</v>
      </c>
      <c r="K2079">
        <v>2</v>
      </c>
      <c r="L2079" s="2">
        <v>485.78</v>
      </c>
      <c r="M2079" s="3">
        <v>0.05</v>
      </c>
      <c r="N2079" s="2">
        <v>922.98</v>
      </c>
      <c r="O2079" s="2">
        <v>601.17999999999995</v>
      </c>
      <c r="P2079" s="2">
        <v>321.8</v>
      </c>
      <c r="Q2079" t="s">
        <v>61</v>
      </c>
    </row>
    <row r="2080" spans="1:17" x14ac:dyDescent="0.2">
      <c r="A2080" t="s">
        <v>2245</v>
      </c>
      <c r="B2080" s="1">
        <v>45912</v>
      </c>
      <c r="C2080" t="s">
        <v>36</v>
      </c>
      <c r="D2080" t="s">
        <v>67</v>
      </c>
      <c r="E2080" t="s">
        <v>270</v>
      </c>
      <c r="F2080" t="s">
        <v>30</v>
      </c>
      <c r="G2080" t="s">
        <v>22</v>
      </c>
      <c r="H2080" t="s">
        <v>47</v>
      </c>
      <c r="I2080" t="s">
        <v>141</v>
      </c>
      <c r="J2080" t="s">
        <v>201</v>
      </c>
      <c r="K2080">
        <v>7</v>
      </c>
      <c r="L2080" s="2">
        <v>643.53</v>
      </c>
      <c r="M2080" s="3">
        <v>0.15</v>
      </c>
      <c r="N2080" s="2">
        <v>3829</v>
      </c>
      <c r="O2080" s="2">
        <v>2859.01</v>
      </c>
      <c r="P2080" s="2">
        <v>969.99</v>
      </c>
      <c r="Q2080" t="s">
        <v>26</v>
      </c>
    </row>
    <row r="2081" spans="1:17" x14ac:dyDescent="0.2">
      <c r="A2081" t="s">
        <v>2246</v>
      </c>
      <c r="B2081" s="1">
        <v>45912</v>
      </c>
      <c r="C2081" t="s">
        <v>43</v>
      </c>
      <c r="D2081" t="s">
        <v>161</v>
      </c>
      <c r="E2081" t="s">
        <v>418</v>
      </c>
      <c r="F2081" t="s">
        <v>71</v>
      </c>
      <c r="G2081" t="s">
        <v>75</v>
      </c>
      <c r="H2081" t="s">
        <v>31</v>
      </c>
      <c r="I2081" t="s">
        <v>64</v>
      </c>
      <c r="J2081" t="s">
        <v>126</v>
      </c>
      <c r="K2081">
        <v>7</v>
      </c>
      <c r="L2081" s="2">
        <v>126.5</v>
      </c>
      <c r="M2081" s="3">
        <v>0</v>
      </c>
      <c r="N2081" s="2">
        <v>885.5</v>
      </c>
      <c r="O2081" s="2">
        <v>509.38</v>
      </c>
      <c r="P2081" s="2">
        <v>376.12</v>
      </c>
      <c r="Q2081" t="s">
        <v>57</v>
      </c>
    </row>
    <row r="2082" spans="1:17" x14ac:dyDescent="0.2">
      <c r="A2082" t="s">
        <v>2247</v>
      </c>
      <c r="B2082" s="1">
        <v>45912</v>
      </c>
      <c r="C2082" t="s">
        <v>36</v>
      </c>
      <c r="D2082" t="s">
        <v>144</v>
      </c>
      <c r="E2082" t="s">
        <v>232</v>
      </c>
      <c r="F2082" t="s">
        <v>69</v>
      </c>
      <c r="G2082" t="s">
        <v>54</v>
      </c>
      <c r="H2082" t="s">
        <v>23</v>
      </c>
      <c r="I2082" t="s">
        <v>55</v>
      </c>
      <c r="J2082" t="s">
        <v>102</v>
      </c>
      <c r="K2082">
        <v>5</v>
      </c>
      <c r="L2082" s="2">
        <v>11.31</v>
      </c>
      <c r="M2082" s="3">
        <v>0.05</v>
      </c>
      <c r="N2082" s="2">
        <v>53.72</v>
      </c>
      <c r="O2082" s="2">
        <v>36.46</v>
      </c>
      <c r="P2082" s="2">
        <v>17.260000000000002</v>
      </c>
      <c r="Q2082" t="s">
        <v>57</v>
      </c>
    </row>
    <row r="2083" spans="1:17" x14ac:dyDescent="0.2">
      <c r="A2083" t="s">
        <v>2248</v>
      </c>
      <c r="B2083" s="1">
        <v>45912</v>
      </c>
      <c r="C2083" t="s">
        <v>77</v>
      </c>
      <c r="D2083" t="s">
        <v>95</v>
      </c>
      <c r="E2083" t="s">
        <v>96</v>
      </c>
      <c r="F2083" t="s">
        <v>69</v>
      </c>
      <c r="G2083" t="s">
        <v>22</v>
      </c>
      <c r="H2083" t="s">
        <v>31</v>
      </c>
      <c r="I2083" t="s">
        <v>32</v>
      </c>
      <c r="J2083" t="s">
        <v>258</v>
      </c>
      <c r="K2083">
        <v>6</v>
      </c>
      <c r="L2083" s="2">
        <v>935.63</v>
      </c>
      <c r="M2083" s="3">
        <v>0.05</v>
      </c>
      <c r="N2083" s="2">
        <v>5333.09</v>
      </c>
      <c r="O2083" s="2">
        <v>4308.92</v>
      </c>
      <c r="P2083" s="2">
        <v>1024.17</v>
      </c>
      <c r="Q2083" t="s">
        <v>57</v>
      </c>
    </row>
    <row r="2084" spans="1:17" x14ac:dyDescent="0.2">
      <c r="A2084" t="s">
        <v>2249</v>
      </c>
      <c r="B2084" s="1">
        <v>45913</v>
      </c>
      <c r="C2084" t="s">
        <v>36</v>
      </c>
      <c r="D2084" t="s">
        <v>144</v>
      </c>
      <c r="E2084" t="s">
        <v>214</v>
      </c>
      <c r="F2084" t="s">
        <v>30</v>
      </c>
      <c r="G2084" t="s">
        <v>75</v>
      </c>
      <c r="H2084" t="s">
        <v>23</v>
      </c>
      <c r="I2084" t="s">
        <v>83</v>
      </c>
      <c r="J2084" t="s">
        <v>120</v>
      </c>
      <c r="K2084">
        <v>2</v>
      </c>
      <c r="L2084" s="2">
        <v>32.15</v>
      </c>
      <c r="M2084" s="3">
        <v>0.15</v>
      </c>
      <c r="N2084" s="2">
        <v>54.65</v>
      </c>
      <c r="O2084" s="2">
        <v>39.090000000000003</v>
      </c>
      <c r="P2084" s="2">
        <v>15.56</v>
      </c>
      <c r="Q2084" t="s">
        <v>61</v>
      </c>
    </row>
    <row r="2085" spans="1:17" x14ac:dyDescent="0.2">
      <c r="A2085" t="s">
        <v>2250</v>
      </c>
      <c r="B2085" s="1">
        <v>45913</v>
      </c>
      <c r="C2085" t="s">
        <v>43</v>
      </c>
      <c r="D2085" t="s">
        <v>51</v>
      </c>
      <c r="E2085" t="s">
        <v>52</v>
      </c>
      <c r="F2085" t="s">
        <v>130</v>
      </c>
      <c r="G2085" t="s">
        <v>75</v>
      </c>
      <c r="H2085" t="s">
        <v>23</v>
      </c>
      <c r="I2085" t="s">
        <v>55</v>
      </c>
      <c r="J2085" t="s">
        <v>56</v>
      </c>
      <c r="K2085">
        <v>5</v>
      </c>
      <c r="L2085" s="2">
        <v>9.0399999999999991</v>
      </c>
      <c r="M2085" s="3">
        <v>0.1</v>
      </c>
      <c r="N2085" s="2">
        <v>40.68</v>
      </c>
      <c r="O2085" s="2">
        <v>31.98</v>
      </c>
      <c r="P2085" s="2">
        <v>8.6999999999999993</v>
      </c>
      <c r="Q2085" t="s">
        <v>61</v>
      </c>
    </row>
    <row r="2086" spans="1:17" x14ac:dyDescent="0.2">
      <c r="A2086" t="s">
        <v>2251</v>
      </c>
      <c r="B2086" s="1">
        <v>45913</v>
      </c>
      <c r="C2086" t="s">
        <v>77</v>
      </c>
      <c r="D2086" t="s">
        <v>106</v>
      </c>
      <c r="E2086" t="s">
        <v>303</v>
      </c>
      <c r="F2086" t="s">
        <v>39</v>
      </c>
      <c r="G2086" t="s">
        <v>22</v>
      </c>
      <c r="H2086" t="s">
        <v>31</v>
      </c>
      <c r="I2086" t="s">
        <v>112</v>
      </c>
      <c r="J2086" t="s">
        <v>136</v>
      </c>
      <c r="K2086">
        <v>6</v>
      </c>
      <c r="L2086" s="2">
        <v>630.67999999999995</v>
      </c>
      <c r="M2086" s="3">
        <v>0.1</v>
      </c>
      <c r="N2086" s="2">
        <v>3405.67</v>
      </c>
      <c r="O2086" s="2">
        <v>2084.17</v>
      </c>
      <c r="P2086" s="2">
        <v>1321.5</v>
      </c>
      <c r="Q2086" t="s">
        <v>34</v>
      </c>
    </row>
    <row r="2087" spans="1:17" x14ac:dyDescent="0.2">
      <c r="A2087" t="s">
        <v>2252</v>
      </c>
      <c r="B2087" s="1">
        <v>45913</v>
      </c>
      <c r="C2087" t="s">
        <v>43</v>
      </c>
      <c r="D2087" t="s">
        <v>161</v>
      </c>
      <c r="E2087" t="s">
        <v>418</v>
      </c>
      <c r="F2087" t="s">
        <v>39</v>
      </c>
      <c r="G2087" t="s">
        <v>22</v>
      </c>
      <c r="H2087" t="s">
        <v>23</v>
      </c>
      <c r="I2087" t="s">
        <v>79</v>
      </c>
      <c r="J2087" t="s">
        <v>233</v>
      </c>
      <c r="K2087">
        <v>5</v>
      </c>
      <c r="L2087" s="2">
        <v>515.29</v>
      </c>
      <c r="M2087" s="3">
        <v>0.1</v>
      </c>
      <c r="N2087" s="2">
        <v>2318.8000000000002</v>
      </c>
      <c r="O2087" s="2">
        <v>1813.94</v>
      </c>
      <c r="P2087" s="2">
        <v>504.86</v>
      </c>
      <c r="Q2087" t="s">
        <v>34</v>
      </c>
    </row>
    <row r="2088" spans="1:17" x14ac:dyDescent="0.2">
      <c r="A2088" t="s">
        <v>2253</v>
      </c>
      <c r="B2088" s="1">
        <v>45913</v>
      </c>
      <c r="C2088" t="s">
        <v>36</v>
      </c>
      <c r="D2088" t="s">
        <v>67</v>
      </c>
      <c r="E2088" t="s">
        <v>323</v>
      </c>
      <c r="F2088" t="s">
        <v>71</v>
      </c>
      <c r="G2088" t="s">
        <v>22</v>
      </c>
      <c r="H2088" t="s">
        <v>23</v>
      </c>
      <c r="I2088" t="s">
        <v>79</v>
      </c>
      <c r="J2088" t="s">
        <v>179</v>
      </c>
      <c r="K2088">
        <v>6</v>
      </c>
      <c r="L2088" s="2">
        <v>408.17</v>
      </c>
      <c r="M2088" s="3">
        <v>0.05</v>
      </c>
      <c r="N2088" s="2">
        <v>2326.5700000000002</v>
      </c>
      <c r="O2088" s="2">
        <v>1431.27</v>
      </c>
      <c r="P2088" s="2">
        <v>895.3</v>
      </c>
      <c r="Q2088" t="s">
        <v>26</v>
      </c>
    </row>
    <row r="2089" spans="1:17" x14ac:dyDescent="0.2">
      <c r="A2089" t="s">
        <v>2254</v>
      </c>
      <c r="B2089" s="1">
        <v>45913</v>
      </c>
      <c r="C2089" t="s">
        <v>43</v>
      </c>
      <c r="D2089" t="s">
        <v>44</v>
      </c>
      <c r="E2089" t="s">
        <v>45</v>
      </c>
      <c r="F2089" t="s">
        <v>71</v>
      </c>
      <c r="G2089" t="s">
        <v>75</v>
      </c>
      <c r="H2089" t="s">
        <v>23</v>
      </c>
      <c r="I2089" t="s">
        <v>83</v>
      </c>
      <c r="J2089" t="s">
        <v>84</v>
      </c>
      <c r="K2089">
        <v>3</v>
      </c>
      <c r="L2089" s="2">
        <v>10.75</v>
      </c>
      <c r="M2089" s="3">
        <v>0.15</v>
      </c>
      <c r="N2089" s="2">
        <v>27.41</v>
      </c>
      <c r="O2089" s="2">
        <v>15.5</v>
      </c>
      <c r="P2089" s="2">
        <v>11.91</v>
      </c>
      <c r="Q2089" t="s">
        <v>34</v>
      </c>
    </row>
    <row r="2090" spans="1:17" x14ac:dyDescent="0.2">
      <c r="A2090" t="s">
        <v>2255</v>
      </c>
      <c r="B2090" s="1">
        <v>45913</v>
      </c>
      <c r="C2090" t="s">
        <v>43</v>
      </c>
      <c r="D2090" t="s">
        <v>208</v>
      </c>
      <c r="E2090" t="s">
        <v>287</v>
      </c>
      <c r="F2090" t="s">
        <v>138</v>
      </c>
      <c r="G2090" t="s">
        <v>22</v>
      </c>
      <c r="H2090" t="s">
        <v>31</v>
      </c>
      <c r="I2090" t="s">
        <v>64</v>
      </c>
      <c r="J2090" t="s">
        <v>252</v>
      </c>
      <c r="K2090">
        <v>3</v>
      </c>
      <c r="L2090" s="2">
        <v>106.62</v>
      </c>
      <c r="M2090" s="3">
        <v>0</v>
      </c>
      <c r="N2090" s="2">
        <v>319.86</v>
      </c>
      <c r="O2090" s="2">
        <v>217.82</v>
      </c>
      <c r="P2090" s="2">
        <v>102.04</v>
      </c>
      <c r="Q2090" t="s">
        <v>34</v>
      </c>
    </row>
    <row r="2091" spans="1:17" x14ac:dyDescent="0.2">
      <c r="A2091" t="s">
        <v>2256</v>
      </c>
      <c r="B2091" s="1">
        <v>45913</v>
      </c>
      <c r="C2091" t="s">
        <v>43</v>
      </c>
      <c r="D2091" t="s">
        <v>161</v>
      </c>
      <c r="E2091" t="s">
        <v>172</v>
      </c>
      <c r="F2091" t="s">
        <v>60</v>
      </c>
      <c r="G2091" t="s">
        <v>54</v>
      </c>
      <c r="H2091" t="s">
        <v>23</v>
      </c>
      <c r="I2091" t="s">
        <v>24</v>
      </c>
      <c r="J2091" t="s">
        <v>108</v>
      </c>
      <c r="K2091">
        <v>8</v>
      </c>
      <c r="L2091" s="2">
        <v>7</v>
      </c>
      <c r="M2091" s="3">
        <v>0.15</v>
      </c>
      <c r="N2091" s="2">
        <v>47.6</v>
      </c>
      <c r="O2091" s="2">
        <v>39.03</v>
      </c>
      <c r="P2091" s="2">
        <v>8.57</v>
      </c>
      <c r="Q2091" t="s">
        <v>61</v>
      </c>
    </row>
    <row r="2092" spans="1:17" x14ac:dyDescent="0.2">
      <c r="A2092" t="s">
        <v>2257</v>
      </c>
      <c r="B2092" s="1">
        <v>45913</v>
      </c>
      <c r="C2092" t="s">
        <v>43</v>
      </c>
      <c r="D2092" t="s">
        <v>244</v>
      </c>
      <c r="E2092" t="s">
        <v>326</v>
      </c>
      <c r="F2092" t="s">
        <v>71</v>
      </c>
      <c r="G2092" t="s">
        <v>75</v>
      </c>
      <c r="H2092" t="s">
        <v>31</v>
      </c>
      <c r="I2092" t="s">
        <v>64</v>
      </c>
      <c r="J2092" t="s">
        <v>252</v>
      </c>
      <c r="K2092">
        <v>2</v>
      </c>
      <c r="L2092" s="2">
        <v>170.86</v>
      </c>
      <c r="M2092" s="3">
        <v>0</v>
      </c>
      <c r="N2092" s="2">
        <v>341.72</v>
      </c>
      <c r="O2092" s="2">
        <v>270.08</v>
      </c>
      <c r="P2092" s="2">
        <v>71.64</v>
      </c>
      <c r="Q2092" t="s">
        <v>61</v>
      </c>
    </row>
    <row r="2093" spans="1:17" x14ac:dyDescent="0.2">
      <c r="A2093" t="s">
        <v>2258</v>
      </c>
      <c r="B2093" s="1">
        <v>45913</v>
      </c>
      <c r="C2093" t="s">
        <v>43</v>
      </c>
      <c r="D2093" t="s">
        <v>51</v>
      </c>
      <c r="E2093" t="s">
        <v>59</v>
      </c>
      <c r="F2093" t="s">
        <v>39</v>
      </c>
      <c r="G2093" t="s">
        <v>54</v>
      </c>
      <c r="H2093" t="s">
        <v>23</v>
      </c>
      <c r="I2093" t="s">
        <v>83</v>
      </c>
      <c r="J2093" t="s">
        <v>84</v>
      </c>
      <c r="K2093">
        <v>9</v>
      </c>
      <c r="L2093" s="2">
        <v>32.03</v>
      </c>
      <c r="M2093" s="3">
        <v>0.05</v>
      </c>
      <c r="N2093" s="2">
        <v>273.86</v>
      </c>
      <c r="O2093" s="2">
        <v>189.66</v>
      </c>
      <c r="P2093" s="2">
        <v>84.2</v>
      </c>
      <c r="Q2093" t="s">
        <v>26</v>
      </c>
    </row>
    <row r="2094" spans="1:17" x14ac:dyDescent="0.2">
      <c r="A2094" t="s">
        <v>2259</v>
      </c>
      <c r="B2094" s="1">
        <v>45913</v>
      </c>
      <c r="C2094" t="s">
        <v>36</v>
      </c>
      <c r="D2094" t="s">
        <v>37</v>
      </c>
      <c r="E2094" t="s">
        <v>255</v>
      </c>
      <c r="F2094" t="s">
        <v>71</v>
      </c>
      <c r="G2094" t="s">
        <v>22</v>
      </c>
      <c r="H2094" t="s">
        <v>31</v>
      </c>
      <c r="I2094" t="s">
        <v>32</v>
      </c>
      <c r="J2094" t="s">
        <v>33</v>
      </c>
      <c r="K2094">
        <v>4</v>
      </c>
      <c r="L2094" s="2">
        <v>1664.17</v>
      </c>
      <c r="M2094" s="3">
        <v>0</v>
      </c>
      <c r="N2094" s="2">
        <v>6656.68</v>
      </c>
      <c r="O2094" s="2">
        <v>5255.24</v>
      </c>
      <c r="P2094" s="2">
        <v>1401.44</v>
      </c>
      <c r="Q2094" t="s">
        <v>57</v>
      </c>
    </row>
    <row r="2095" spans="1:17" x14ac:dyDescent="0.2">
      <c r="A2095" t="s">
        <v>2260</v>
      </c>
      <c r="B2095" s="1">
        <v>45913</v>
      </c>
      <c r="C2095" t="s">
        <v>18</v>
      </c>
      <c r="D2095" t="s">
        <v>19</v>
      </c>
      <c r="E2095" t="s">
        <v>100</v>
      </c>
      <c r="F2095" t="s">
        <v>60</v>
      </c>
      <c r="G2095" t="s">
        <v>54</v>
      </c>
      <c r="H2095" t="s">
        <v>47</v>
      </c>
      <c r="I2095" t="s">
        <v>48</v>
      </c>
      <c r="J2095" t="s">
        <v>49</v>
      </c>
      <c r="K2095">
        <v>2</v>
      </c>
      <c r="L2095" s="2">
        <v>865.12</v>
      </c>
      <c r="M2095" s="3">
        <v>0.05</v>
      </c>
      <c r="N2095" s="2">
        <v>1643.73</v>
      </c>
      <c r="O2095" s="2">
        <v>923.33</v>
      </c>
      <c r="P2095" s="2">
        <v>720.4</v>
      </c>
      <c r="Q2095" t="s">
        <v>61</v>
      </c>
    </row>
    <row r="2096" spans="1:17" x14ac:dyDescent="0.2">
      <c r="A2096" t="s">
        <v>2261</v>
      </c>
      <c r="B2096" s="1">
        <v>45913</v>
      </c>
      <c r="C2096" t="s">
        <v>77</v>
      </c>
      <c r="D2096" t="s">
        <v>106</v>
      </c>
      <c r="E2096" t="s">
        <v>303</v>
      </c>
      <c r="F2096" t="s">
        <v>130</v>
      </c>
      <c r="G2096" t="s">
        <v>22</v>
      </c>
      <c r="H2096" t="s">
        <v>47</v>
      </c>
      <c r="I2096" t="s">
        <v>89</v>
      </c>
      <c r="J2096" t="s">
        <v>90</v>
      </c>
      <c r="K2096">
        <v>3</v>
      </c>
      <c r="L2096" s="2">
        <v>166.48</v>
      </c>
      <c r="M2096" s="3">
        <v>0.05</v>
      </c>
      <c r="N2096" s="2">
        <v>474.47</v>
      </c>
      <c r="O2096" s="2">
        <v>361.05</v>
      </c>
      <c r="P2096" s="2">
        <v>113.42</v>
      </c>
      <c r="Q2096" t="s">
        <v>61</v>
      </c>
    </row>
    <row r="2097" spans="1:17" x14ac:dyDescent="0.2">
      <c r="A2097" t="s">
        <v>2262</v>
      </c>
      <c r="B2097" s="1">
        <v>45913</v>
      </c>
      <c r="C2097" t="s">
        <v>18</v>
      </c>
      <c r="D2097" t="s">
        <v>86</v>
      </c>
      <c r="E2097" t="s">
        <v>87</v>
      </c>
      <c r="F2097" t="s">
        <v>53</v>
      </c>
      <c r="G2097" t="s">
        <v>75</v>
      </c>
      <c r="H2097" t="s">
        <v>23</v>
      </c>
      <c r="I2097" t="s">
        <v>55</v>
      </c>
      <c r="J2097" t="s">
        <v>56</v>
      </c>
      <c r="K2097">
        <v>3</v>
      </c>
      <c r="L2097" s="2">
        <v>21.48</v>
      </c>
      <c r="M2097" s="3">
        <v>0.05</v>
      </c>
      <c r="N2097" s="2">
        <v>61.22</v>
      </c>
      <c r="O2097" s="2">
        <v>33.74</v>
      </c>
      <c r="P2097" s="2">
        <v>27.48</v>
      </c>
      <c r="Q2097" t="s">
        <v>57</v>
      </c>
    </row>
    <row r="2098" spans="1:17" x14ac:dyDescent="0.2">
      <c r="A2098" t="s">
        <v>2263</v>
      </c>
      <c r="B2098" s="1">
        <v>45914</v>
      </c>
      <c r="C2098" t="s">
        <v>43</v>
      </c>
      <c r="D2098" t="s">
        <v>208</v>
      </c>
      <c r="E2098" t="s">
        <v>209</v>
      </c>
      <c r="F2098" t="s">
        <v>46</v>
      </c>
      <c r="G2098" t="s">
        <v>54</v>
      </c>
      <c r="H2098" t="s">
        <v>31</v>
      </c>
      <c r="I2098" t="s">
        <v>112</v>
      </c>
      <c r="J2098" t="s">
        <v>113</v>
      </c>
      <c r="K2098">
        <v>6</v>
      </c>
      <c r="L2098" s="2">
        <v>166.58</v>
      </c>
      <c r="M2098" s="3">
        <v>0.05</v>
      </c>
      <c r="N2098" s="2">
        <v>949.51</v>
      </c>
      <c r="O2098" s="2">
        <v>696.09</v>
      </c>
      <c r="P2098" s="2">
        <v>253.42</v>
      </c>
      <c r="Q2098" t="s">
        <v>61</v>
      </c>
    </row>
    <row r="2099" spans="1:17" x14ac:dyDescent="0.2">
      <c r="A2099" t="s">
        <v>2264</v>
      </c>
      <c r="B2099" s="1">
        <v>45914</v>
      </c>
      <c r="C2099" t="s">
        <v>77</v>
      </c>
      <c r="D2099" t="s">
        <v>128</v>
      </c>
      <c r="E2099" t="s">
        <v>129</v>
      </c>
      <c r="F2099" t="s">
        <v>46</v>
      </c>
      <c r="G2099" t="s">
        <v>75</v>
      </c>
      <c r="H2099" t="s">
        <v>31</v>
      </c>
      <c r="I2099" t="s">
        <v>64</v>
      </c>
      <c r="J2099" t="s">
        <v>252</v>
      </c>
      <c r="K2099">
        <v>10</v>
      </c>
      <c r="L2099" s="2">
        <v>97.98</v>
      </c>
      <c r="M2099" s="3">
        <v>0.1</v>
      </c>
      <c r="N2099" s="2">
        <v>881.82</v>
      </c>
      <c r="O2099" s="2">
        <v>702.84</v>
      </c>
      <c r="P2099" s="2">
        <v>178.98</v>
      </c>
      <c r="Q2099" t="s">
        <v>61</v>
      </c>
    </row>
    <row r="2100" spans="1:17" x14ac:dyDescent="0.2">
      <c r="A2100" t="s">
        <v>2265</v>
      </c>
      <c r="B2100" s="1">
        <v>45914</v>
      </c>
      <c r="C2100" t="s">
        <v>43</v>
      </c>
      <c r="D2100" t="s">
        <v>44</v>
      </c>
      <c r="E2100" t="s">
        <v>147</v>
      </c>
      <c r="F2100" t="s">
        <v>130</v>
      </c>
      <c r="G2100" t="s">
        <v>54</v>
      </c>
      <c r="H2100" t="s">
        <v>31</v>
      </c>
      <c r="I2100" t="s">
        <v>112</v>
      </c>
      <c r="J2100" t="s">
        <v>113</v>
      </c>
      <c r="K2100">
        <v>6</v>
      </c>
      <c r="L2100" s="2">
        <v>667.88</v>
      </c>
      <c r="M2100" s="3">
        <v>0.05</v>
      </c>
      <c r="N2100" s="2">
        <v>3806.92</v>
      </c>
      <c r="O2100" s="2">
        <v>2765.66</v>
      </c>
      <c r="P2100" s="2">
        <v>1041.26</v>
      </c>
      <c r="Q2100" t="s">
        <v>57</v>
      </c>
    </row>
    <row r="2101" spans="1:17" x14ac:dyDescent="0.2">
      <c r="A2101" t="s">
        <v>2266</v>
      </c>
      <c r="B2101" s="1">
        <v>45914</v>
      </c>
      <c r="C2101" t="s">
        <v>18</v>
      </c>
      <c r="D2101" t="s">
        <v>133</v>
      </c>
      <c r="E2101" t="s">
        <v>226</v>
      </c>
      <c r="F2101" t="s">
        <v>130</v>
      </c>
      <c r="G2101" t="s">
        <v>22</v>
      </c>
      <c r="H2101" t="s">
        <v>31</v>
      </c>
      <c r="I2101" t="s">
        <v>40</v>
      </c>
      <c r="J2101" t="s">
        <v>122</v>
      </c>
      <c r="K2101">
        <v>1</v>
      </c>
      <c r="L2101" s="2">
        <v>137.65</v>
      </c>
      <c r="M2101" s="3">
        <v>0.1</v>
      </c>
      <c r="N2101" s="2">
        <v>123.88</v>
      </c>
      <c r="O2101" s="2">
        <v>99.37</v>
      </c>
      <c r="P2101" s="2">
        <v>24.51</v>
      </c>
      <c r="Q2101" t="s">
        <v>61</v>
      </c>
    </row>
    <row r="2102" spans="1:17" x14ac:dyDescent="0.2">
      <c r="A2102" t="s">
        <v>2267</v>
      </c>
      <c r="B2102" s="1">
        <v>45914</v>
      </c>
      <c r="C2102" t="s">
        <v>36</v>
      </c>
      <c r="D2102" t="s">
        <v>37</v>
      </c>
      <c r="E2102" t="s">
        <v>38</v>
      </c>
      <c r="F2102" t="s">
        <v>60</v>
      </c>
      <c r="G2102" t="s">
        <v>22</v>
      </c>
      <c r="H2102" t="s">
        <v>23</v>
      </c>
      <c r="I2102" t="s">
        <v>55</v>
      </c>
      <c r="J2102" t="s">
        <v>102</v>
      </c>
      <c r="K2102">
        <v>10</v>
      </c>
      <c r="L2102" s="2">
        <v>20.51</v>
      </c>
      <c r="M2102" s="3">
        <v>0.15</v>
      </c>
      <c r="N2102" s="2">
        <v>174.34</v>
      </c>
      <c r="O2102" s="2">
        <v>117.64</v>
      </c>
      <c r="P2102" s="2">
        <v>56.7</v>
      </c>
      <c r="Q2102" t="s">
        <v>34</v>
      </c>
    </row>
    <row r="2103" spans="1:17" x14ac:dyDescent="0.2">
      <c r="A2103" t="s">
        <v>2268</v>
      </c>
      <c r="B2103" s="1">
        <v>45914</v>
      </c>
      <c r="C2103" t="s">
        <v>36</v>
      </c>
      <c r="D2103" t="s">
        <v>37</v>
      </c>
      <c r="E2103" t="s">
        <v>255</v>
      </c>
      <c r="F2103" t="s">
        <v>53</v>
      </c>
      <c r="G2103" t="s">
        <v>75</v>
      </c>
      <c r="H2103" t="s">
        <v>31</v>
      </c>
      <c r="I2103" t="s">
        <v>32</v>
      </c>
      <c r="J2103" t="s">
        <v>33</v>
      </c>
      <c r="K2103">
        <v>10</v>
      </c>
      <c r="L2103" s="2">
        <v>1238.3599999999999</v>
      </c>
      <c r="M2103" s="3">
        <v>0.05</v>
      </c>
      <c r="N2103" s="2">
        <v>11764.42</v>
      </c>
      <c r="O2103" s="2">
        <v>8738.5400000000009</v>
      </c>
      <c r="P2103" s="2">
        <v>3025.88</v>
      </c>
      <c r="Q2103" t="s">
        <v>34</v>
      </c>
    </row>
    <row r="2104" spans="1:17" x14ac:dyDescent="0.2">
      <c r="A2104" t="s">
        <v>2269</v>
      </c>
      <c r="B2104" s="1">
        <v>45915</v>
      </c>
      <c r="C2104" t="s">
        <v>18</v>
      </c>
      <c r="D2104" t="s">
        <v>152</v>
      </c>
      <c r="E2104" t="s">
        <v>153</v>
      </c>
      <c r="F2104" t="s">
        <v>60</v>
      </c>
      <c r="G2104" t="s">
        <v>22</v>
      </c>
      <c r="H2104" t="s">
        <v>31</v>
      </c>
      <c r="I2104" t="s">
        <v>64</v>
      </c>
      <c r="J2104" t="s">
        <v>252</v>
      </c>
      <c r="K2104">
        <v>3</v>
      </c>
      <c r="L2104" s="2">
        <v>170.82</v>
      </c>
      <c r="M2104" s="3">
        <v>0.15</v>
      </c>
      <c r="N2104" s="2">
        <v>435.59</v>
      </c>
      <c r="O2104" s="2">
        <v>349.26</v>
      </c>
      <c r="P2104" s="2">
        <v>86.33</v>
      </c>
      <c r="Q2104" t="s">
        <v>26</v>
      </c>
    </row>
    <row r="2105" spans="1:17" x14ac:dyDescent="0.2">
      <c r="A2105" t="s">
        <v>2270</v>
      </c>
      <c r="B2105" s="1">
        <v>45915</v>
      </c>
      <c r="C2105" t="s">
        <v>18</v>
      </c>
      <c r="D2105" t="s">
        <v>86</v>
      </c>
      <c r="E2105" t="s">
        <v>140</v>
      </c>
      <c r="F2105" t="s">
        <v>138</v>
      </c>
      <c r="G2105" t="s">
        <v>22</v>
      </c>
      <c r="H2105" t="s">
        <v>47</v>
      </c>
      <c r="I2105" t="s">
        <v>141</v>
      </c>
      <c r="J2105" t="s">
        <v>142</v>
      </c>
      <c r="K2105">
        <v>10</v>
      </c>
      <c r="L2105" s="2">
        <v>409.86</v>
      </c>
      <c r="M2105" s="3">
        <v>0.05</v>
      </c>
      <c r="N2105" s="2">
        <v>3893.67</v>
      </c>
      <c r="O2105" s="2">
        <v>2932.84</v>
      </c>
      <c r="P2105" s="2">
        <v>960.83</v>
      </c>
      <c r="Q2105" t="s">
        <v>34</v>
      </c>
    </row>
    <row r="2106" spans="1:17" x14ac:dyDescent="0.2">
      <c r="A2106" t="s">
        <v>2271</v>
      </c>
      <c r="B2106" s="1">
        <v>45915</v>
      </c>
      <c r="C2106" t="s">
        <v>36</v>
      </c>
      <c r="D2106" t="s">
        <v>37</v>
      </c>
      <c r="E2106" t="s">
        <v>255</v>
      </c>
      <c r="F2106" t="s">
        <v>69</v>
      </c>
      <c r="G2106" t="s">
        <v>54</v>
      </c>
      <c r="H2106" t="s">
        <v>31</v>
      </c>
      <c r="I2106" t="s">
        <v>32</v>
      </c>
      <c r="J2106" t="s">
        <v>104</v>
      </c>
      <c r="K2106">
        <v>6</v>
      </c>
      <c r="L2106" s="2">
        <v>1796.65</v>
      </c>
      <c r="M2106" s="3">
        <v>0.1</v>
      </c>
      <c r="N2106" s="2">
        <v>9701.91</v>
      </c>
      <c r="O2106" s="2">
        <v>7198.66</v>
      </c>
      <c r="P2106" s="2">
        <v>2503.25</v>
      </c>
      <c r="Q2106" t="s">
        <v>57</v>
      </c>
    </row>
    <row r="2107" spans="1:17" x14ac:dyDescent="0.2">
      <c r="A2107" t="s">
        <v>2272</v>
      </c>
      <c r="B2107" s="1">
        <v>45915</v>
      </c>
      <c r="C2107" t="s">
        <v>18</v>
      </c>
      <c r="D2107" t="s">
        <v>19</v>
      </c>
      <c r="E2107" t="s">
        <v>118</v>
      </c>
      <c r="F2107" t="s">
        <v>30</v>
      </c>
      <c r="G2107" t="s">
        <v>54</v>
      </c>
      <c r="H2107" t="s">
        <v>47</v>
      </c>
      <c r="I2107" t="s">
        <v>97</v>
      </c>
      <c r="J2107" t="s">
        <v>98</v>
      </c>
      <c r="K2107">
        <v>9</v>
      </c>
      <c r="L2107" s="2">
        <v>575.52</v>
      </c>
      <c r="M2107" s="3">
        <v>0.15</v>
      </c>
      <c r="N2107" s="2">
        <v>4402.7299999999996</v>
      </c>
      <c r="O2107" s="2">
        <v>3535.07</v>
      </c>
      <c r="P2107" s="2">
        <v>867.66</v>
      </c>
      <c r="Q2107" t="s">
        <v>57</v>
      </c>
    </row>
    <row r="2108" spans="1:17" x14ac:dyDescent="0.2">
      <c r="A2108" t="s">
        <v>2273</v>
      </c>
      <c r="B2108" s="1">
        <v>45915</v>
      </c>
      <c r="C2108" t="s">
        <v>43</v>
      </c>
      <c r="D2108" t="s">
        <v>208</v>
      </c>
      <c r="E2108" t="s">
        <v>209</v>
      </c>
      <c r="F2108" t="s">
        <v>69</v>
      </c>
      <c r="G2108" t="s">
        <v>22</v>
      </c>
      <c r="H2108" t="s">
        <v>31</v>
      </c>
      <c r="I2108" t="s">
        <v>112</v>
      </c>
      <c r="J2108" t="s">
        <v>113</v>
      </c>
      <c r="K2108">
        <v>4</v>
      </c>
      <c r="L2108" s="2">
        <v>472.72</v>
      </c>
      <c r="M2108" s="3">
        <v>0</v>
      </c>
      <c r="N2108" s="2">
        <v>1890.88</v>
      </c>
      <c r="O2108" s="2">
        <v>1324.36</v>
      </c>
      <c r="P2108" s="2">
        <v>566.52</v>
      </c>
      <c r="Q2108" t="s">
        <v>57</v>
      </c>
    </row>
    <row r="2109" spans="1:17" x14ac:dyDescent="0.2">
      <c r="A2109" t="s">
        <v>2274</v>
      </c>
      <c r="B2109" s="1">
        <v>45915</v>
      </c>
      <c r="C2109" t="s">
        <v>43</v>
      </c>
      <c r="D2109" t="s">
        <v>161</v>
      </c>
      <c r="E2109" t="s">
        <v>172</v>
      </c>
      <c r="F2109" t="s">
        <v>39</v>
      </c>
      <c r="G2109" t="s">
        <v>22</v>
      </c>
      <c r="H2109" t="s">
        <v>23</v>
      </c>
      <c r="I2109" t="s">
        <v>83</v>
      </c>
      <c r="J2109" t="s">
        <v>120</v>
      </c>
      <c r="K2109">
        <v>6</v>
      </c>
      <c r="L2109" s="2">
        <v>27.84</v>
      </c>
      <c r="M2109" s="3">
        <v>0.2</v>
      </c>
      <c r="N2109" s="2">
        <v>133.63</v>
      </c>
      <c r="O2109" s="2">
        <v>88.65</v>
      </c>
      <c r="P2109" s="2">
        <v>44.98</v>
      </c>
      <c r="Q2109" t="s">
        <v>26</v>
      </c>
    </row>
    <row r="2110" spans="1:17" x14ac:dyDescent="0.2">
      <c r="A2110" t="s">
        <v>2275</v>
      </c>
      <c r="B2110" s="1">
        <v>45915</v>
      </c>
      <c r="C2110" t="s">
        <v>36</v>
      </c>
      <c r="D2110" t="s">
        <v>144</v>
      </c>
      <c r="E2110" t="s">
        <v>232</v>
      </c>
      <c r="F2110" t="s">
        <v>130</v>
      </c>
      <c r="G2110" t="s">
        <v>75</v>
      </c>
      <c r="H2110" t="s">
        <v>23</v>
      </c>
      <c r="I2110" t="s">
        <v>55</v>
      </c>
      <c r="J2110" t="s">
        <v>173</v>
      </c>
      <c r="K2110">
        <v>2</v>
      </c>
      <c r="L2110" s="2">
        <v>5.12</v>
      </c>
      <c r="M2110" s="3">
        <v>0.2</v>
      </c>
      <c r="N2110" s="2">
        <v>8.19</v>
      </c>
      <c r="O2110" s="2">
        <v>6.37</v>
      </c>
      <c r="P2110" s="2">
        <v>1.82</v>
      </c>
      <c r="Q2110" t="s">
        <v>61</v>
      </c>
    </row>
    <row r="2111" spans="1:17" x14ac:dyDescent="0.2">
      <c r="A2111" t="s">
        <v>2276</v>
      </c>
      <c r="B2111" s="1">
        <v>45916</v>
      </c>
      <c r="C2111" t="s">
        <v>43</v>
      </c>
      <c r="D2111" t="s">
        <v>208</v>
      </c>
      <c r="E2111" t="s">
        <v>287</v>
      </c>
      <c r="F2111" t="s">
        <v>130</v>
      </c>
      <c r="G2111" t="s">
        <v>22</v>
      </c>
      <c r="H2111" t="s">
        <v>23</v>
      </c>
      <c r="I2111" t="s">
        <v>83</v>
      </c>
      <c r="J2111" t="s">
        <v>84</v>
      </c>
      <c r="K2111">
        <v>5</v>
      </c>
      <c r="L2111" s="2">
        <v>25.31</v>
      </c>
      <c r="M2111" s="3">
        <v>0.05</v>
      </c>
      <c r="N2111" s="2">
        <v>120.22</v>
      </c>
      <c r="O2111" s="2">
        <v>68.78</v>
      </c>
      <c r="P2111" s="2">
        <v>51.44</v>
      </c>
      <c r="Q2111" t="s">
        <v>61</v>
      </c>
    </row>
    <row r="2112" spans="1:17" x14ac:dyDescent="0.2">
      <c r="A2112" t="s">
        <v>2277</v>
      </c>
      <c r="B2112" s="1">
        <v>45916</v>
      </c>
      <c r="C2112" t="s">
        <v>18</v>
      </c>
      <c r="D2112" t="s">
        <v>86</v>
      </c>
      <c r="E2112" t="s">
        <v>140</v>
      </c>
      <c r="F2112" t="s">
        <v>69</v>
      </c>
      <c r="G2112" t="s">
        <v>22</v>
      </c>
      <c r="H2112" t="s">
        <v>47</v>
      </c>
      <c r="I2112" t="s">
        <v>141</v>
      </c>
      <c r="J2112" t="s">
        <v>142</v>
      </c>
      <c r="K2112">
        <v>9</v>
      </c>
      <c r="L2112" s="2">
        <v>415.24</v>
      </c>
      <c r="M2112" s="3">
        <v>0.05</v>
      </c>
      <c r="N2112" s="2">
        <v>3550.3</v>
      </c>
      <c r="O2112" s="2">
        <v>2074.15</v>
      </c>
      <c r="P2112" s="2">
        <v>1476.15</v>
      </c>
      <c r="Q2112" t="s">
        <v>34</v>
      </c>
    </row>
    <row r="2113" spans="1:17" x14ac:dyDescent="0.2">
      <c r="A2113" t="s">
        <v>2278</v>
      </c>
      <c r="B2113" s="1">
        <v>45916</v>
      </c>
      <c r="C2113" t="s">
        <v>43</v>
      </c>
      <c r="D2113" t="s">
        <v>161</v>
      </c>
      <c r="E2113" t="s">
        <v>418</v>
      </c>
      <c r="F2113" t="s">
        <v>130</v>
      </c>
      <c r="G2113" t="s">
        <v>54</v>
      </c>
      <c r="H2113" t="s">
        <v>31</v>
      </c>
      <c r="I2113" t="s">
        <v>112</v>
      </c>
      <c r="J2113" t="s">
        <v>113</v>
      </c>
      <c r="K2113">
        <v>3</v>
      </c>
      <c r="L2113" s="2">
        <v>685.37</v>
      </c>
      <c r="M2113" s="3">
        <v>0.05</v>
      </c>
      <c r="N2113" s="2">
        <v>1953.3</v>
      </c>
      <c r="O2113" s="2">
        <v>1367.33</v>
      </c>
      <c r="P2113" s="2">
        <v>585.97</v>
      </c>
      <c r="Q2113" t="s">
        <v>34</v>
      </c>
    </row>
    <row r="2114" spans="1:17" x14ac:dyDescent="0.2">
      <c r="A2114" t="s">
        <v>2279</v>
      </c>
      <c r="B2114" s="1">
        <v>45916</v>
      </c>
      <c r="C2114" t="s">
        <v>43</v>
      </c>
      <c r="D2114" t="s">
        <v>44</v>
      </c>
      <c r="E2114" t="s">
        <v>45</v>
      </c>
      <c r="F2114" t="s">
        <v>71</v>
      </c>
      <c r="G2114" t="s">
        <v>22</v>
      </c>
      <c r="H2114" t="s">
        <v>47</v>
      </c>
      <c r="I2114" t="s">
        <v>141</v>
      </c>
      <c r="J2114" t="s">
        <v>142</v>
      </c>
      <c r="K2114">
        <v>4</v>
      </c>
      <c r="L2114" s="2">
        <v>268.51</v>
      </c>
      <c r="M2114" s="3">
        <v>0</v>
      </c>
      <c r="N2114" s="2">
        <v>1074.04</v>
      </c>
      <c r="O2114" s="2">
        <v>751.33</v>
      </c>
      <c r="P2114" s="2">
        <v>322.70999999999998</v>
      </c>
      <c r="Q2114" t="s">
        <v>57</v>
      </c>
    </row>
    <row r="2115" spans="1:17" x14ac:dyDescent="0.2">
      <c r="A2115" t="s">
        <v>2280</v>
      </c>
      <c r="B2115" s="1">
        <v>45916</v>
      </c>
      <c r="C2115" t="s">
        <v>77</v>
      </c>
      <c r="D2115" t="s">
        <v>78</v>
      </c>
      <c r="E2115" t="s">
        <v>52</v>
      </c>
      <c r="F2115" t="s">
        <v>30</v>
      </c>
      <c r="G2115" t="s">
        <v>22</v>
      </c>
      <c r="H2115" t="s">
        <v>31</v>
      </c>
      <c r="I2115" t="s">
        <v>64</v>
      </c>
      <c r="J2115" t="s">
        <v>252</v>
      </c>
      <c r="K2115">
        <v>3</v>
      </c>
      <c r="L2115" s="2">
        <v>74.55</v>
      </c>
      <c r="M2115" s="3">
        <v>0.1</v>
      </c>
      <c r="N2115" s="2">
        <v>201.28</v>
      </c>
      <c r="O2115" s="2">
        <v>130.76</v>
      </c>
      <c r="P2115" s="2">
        <v>70.52</v>
      </c>
      <c r="Q2115" t="s">
        <v>26</v>
      </c>
    </row>
    <row r="2116" spans="1:17" x14ac:dyDescent="0.2">
      <c r="A2116" t="s">
        <v>2281</v>
      </c>
      <c r="B2116" s="1">
        <v>45917</v>
      </c>
      <c r="C2116" t="s">
        <v>18</v>
      </c>
      <c r="D2116" t="s">
        <v>19</v>
      </c>
      <c r="E2116" t="s">
        <v>100</v>
      </c>
      <c r="F2116" t="s">
        <v>39</v>
      </c>
      <c r="G2116" t="s">
        <v>75</v>
      </c>
      <c r="H2116" t="s">
        <v>31</v>
      </c>
      <c r="I2116" t="s">
        <v>40</v>
      </c>
      <c r="J2116" t="s">
        <v>122</v>
      </c>
      <c r="K2116">
        <v>6</v>
      </c>
      <c r="L2116" s="2">
        <v>140.5</v>
      </c>
      <c r="M2116" s="3">
        <v>0.15</v>
      </c>
      <c r="N2116" s="2">
        <v>716.55</v>
      </c>
      <c r="O2116" s="2">
        <v>437.79</v>
      </c>
      <c r="P2116" s="2">
        <v>278.76</v>
      </c>
      <c r="Q2116" t="s">
        <v>26</v>
      </c>
    </row>
    <row r="2117" spans="1:17" x14ac:dyDescent="0.2">
      <c r="A2117" t="s">
        <v>2282</v>
      </c>
      <c r="B2117" s="1">
        <v>45917</v>
      </c>
      <c r="C2117" t="s">
        <v>77</v>
      </c>
      <c r="D2117" t="s">
        <v>149</v>
      </c>
      <c r="E2117" t="s">
        <v>206</v>
      </c>
      <c r="F2117" t="s">
        <v>71</v>
      </c>
      <c r="G2117" t="s">
        <v>75</v>
      </c>
      <c r="H2117" t="s">
        <v>23</v>
      </c>
      <c r="I2117" t="s">
        <v>24</v>
      </c>
      <c r="J2117" t="s">
        <v>108</v>
      </c>
      <c r="K2117">
        <v>8</v>
      </c>
      <c r="L2117" s="2">
        <v>26.98</v>
      </c>
      <c r="M2117" s="3">
        <v>0.1</v>
      </c>
      <c r="N2117" s="2">
        <v>194.26</v>
      </c>
      <c r="O2117" s="2">
        <v>125.29</v>
      </c>
      <c r="P2117" s="2">
        <v>68.97</v>
      </c>
      <c r="Q2117" t="s">
        <v>34</v>
      </c>
    </row>
    <row r="2118" spans="1:17" x14ac:dyDescent="0.2">
      <c r="A2118" t="s">
        <v>2283</v>
      </c>
      <c r="B2118" s="1">
        <v>45917</v>
      </c>
      <c r="C2118" t="s">
        <v>43</v>
      </c>
      <c r="D2118" t="s">
        <v>51</v>
      </c>
      <c r="E2118" t="s">
        <v>59</v>
      </c>
      <c r="F2118" t="s">
        <v>30</v>
      </c>
      <c r="G2118" t="s">
        <v>22</v>
      </c>
      <c r="H2118" t="s">
        <v>31</v>
      </c>
      <c r="I2118" t="s">
        <v>40</v>
      </c>
      <c r="J2118" t="s">
        <v>216</v>
      </c>
      <c r="K2118">
        <v>9</v>
      </c>
      <c r="L2118" s="2">
        <v>43.02</v>
      </c>
      <c r="M2118" s="3">
        <v>0.05</v>
      </c>
      <c r="N2118" s="2">
        <v>367.82</v>
      </c>
      <c r="O2118" s="2">
        <v>252.42</v>
      </c>
      <c r="P2118" s="2">
        <v>115.4</v>
      </c>
      <c r="Q2118" t="s">
        <v>61</v>
      </c>
    </row>
    <row r="2119" spans="1:17" x14ac:dyDescent="0.2">
      <c r="A2119" t="s">
        <v>2284</v>
      </c>
      <c r="B2119" s="1">
        <v>45917</v>
      </c>
      <c r="C2119" t="s">
        <v>43</v>
      </c>
      <c r="D2119" t="s">
        <v>244</v>
      </c>
      <c r="E2119" t="s">
        <v>326</v>
      </c>
      <c r="F2119" t="s">
        <v>30</v>
      </c>
      <c r="G2119" t="s">
        <v>22</v>
      </c>
      <c r="H2119" t="s">
        <v>31</v>
      </c>
      <c r="I2119" t="s">
        <v>64</v>
      </c>
      <c r="J2119" t="s">
        <v>252</v>
      </c>
      <c r="K2119">
        <v>3</v>
      </c>
      <c r="L2119" s="2">
        <v>100.97</v>
      </c>
      <c r="M2119" s="3">
        <v>0.05</v>
      </c>
      <c r="N2119" s="2">
        <v>287.76</v>
      </c>
      <c r="O2119" s="2">
        <v>187.66</v>
      </c>
      <c r="P2119" s="2">
        <v>100.1</v>
      </c>
      <c r="Q2119" t="s">
        <v>57</v>
      </c>
    </row>
    <row r="2120" spans="1:17" x14ac:dyDescent="0.2">
      <c r="A2120" t="s">
        <v>2285</v>
      </c>
      <c r="B2120" s="1">
        <v>45917</v>
      </c>
      <c r="C2120" t="s">
        <v>77</v>
      </c>
      <c r="D2120" t="s">
        <v>128</v>
      </c>
      <c r="E2120" t="s">
        <v>155</v>
      </c>
      <c r="F2120" t="s">
        <v>138</v>
      </c>
      <c r="G2120" t="s">
        <v>75</v>
      </c>
      <c r="H2120" t="s">
        <v>31</v>
      </c>
      <c r="I2120" t="s">
        <v>64</v>
      </c>
      <c r="J2120" t="s">
        <v>65</v>
      </c>
      <c r="K2120">
        <v>3</v>
      </c>
      <c r="L2120" s="2">
        <v>145.85</v>
      </c>
      <c r="M2120" s="3">
        <v>0.1</v>
      </c>
      <c r="N2120" s="2">
        <v>393.79</v>
      </c>
      <c r="O2120" s="2">
        <v>257.54000000000002</v>
      </c>
      <c r="P2120" s="2">
        <v>136.25</v>
      </c>
      <c r="Q2120" t="s">
        <v>57</v>
      </c>
    </row>
    <row r="2121" spans="1:17" x14ac:dyDescent="0.2">
      <c r="A2121" t="s">
        <v>2286</v>
      </c>
      <c r="B2121" s="1">
        <v>45917</v>
      </c>
      <c r="C2121" t="s">
        <v>36</v>
      </c>
      <c r="D2121" t="s">
        <v>110</v>
      </c>
      <c r="E2121" t="s">
        <v>115</v>
      </c>
      <c r="F2121" t="s">
        <v>69</v>
      </c>
      <c r="G2121" t="s">
        <v>75</v>
      </c>
      <c r="H2121" t="s">
        <v>47</v>
      </c>
      <c r="I2121" t="s">
        <v>89</v>
      </c>
      <c r="J2121" t="s">
        <v>240</v>
      </c>
      <c r="K2121">
        <v>1</v>
      </c>
      <c r="L2121" s="2">
        <v>252.35</v>
      </c>
      <c r="M2121" s="3">
        <v>0</v>
      </c>
      <c r="N2121" s="2">
        <v>252.35</v>
      </c>
      <c r="O2121" s="2">
        <v>161.30000000000001</v>
      </c>
      <c r="P2121" s="2">
        <v>91.05</v>
      </c>
      <c r="Q2121" t="s">
        <v>34</v>
      </c>
    </row>
    <row r="2122" spans="1:17" x14ac:dyDescent="0.2">
      <c r="A2122" t="s">
        <v>2287</v>
      </c>
      <c r="B2122" s="1">
        <v>45917</v>
      </c>
      <c r="C2122" t="s">
        <v>77</v>
      </c>
      <c r="D2122" t="s">
        <v>149</v>
      </c>
      <c r="E2122" t="s">
        <v>309</v>
      </c>
      <c r="F2122" t="s">
        <v>21</v>
      </c>
      <c r="G2122" t="s">
        <v>22</v>
      </c>
      <c r="H2122" t="s">
        <v>23</v>
      </c>
      <c r="I2122" t="s">
        <v>24</v>
      </c>
      <c r="J2122" t="s">
        <v>108</v>
      </c>
      <c r="K2122">
        <v>6</v>
      </c>
      <c r="L2122" s="2">
        <v>18.010000000000002</v>
      </c>
      <c r="M2122" s="3">
        <v>0</v>
      </c>
      <c r="N2122" s="2">
        <v>108.06</v>
      </c>
      <c r="O2122" s="2">
        <v>84.35</v>
      </c>
      <c r="P2122" s="2">
        <v>23.71</v>
      </c>
      <c r="Q2122" t="s">
        <v>34</v>
      </c>
    </row>
    <row r="2123" spans="1:17" x14ac:dyDescent="0.2">
      <c r="A2123" t="s">
        <v>2288</v>
      </c>
      <c r="B2123" s="1">
        <v>45917</v>
      </c>
      <c r="C2123" t="s">
        <v>18</v>
      </c>
      <c r="D2123" t="s">
        <v>86</v>
      </c>
      <c r="E2123" t="s">
        <v>87</v>
      </c>
      <c r="F2123" t="s">
        <v>21</v>
      </c>
      <c r="G2123" t="s">
        <v>75</v>
      </c>
      <c r="H2123" t="s">
        <v>31</v>
      </c>
      <c r="I2123" t="s">
        <v>40</v>
      </c>
      <c r="J2123" t="s">
        <v>216</v>
      </c>
      <c r="K2123">
        <v>2</v>
      </c>
      <c r="L2123" s="2">
        <v>220.36</v>
      </c>
      <c r="M2123" s="3">
        <v>0.15</v>
      </c>
      <c r="N2123" s="2">
        <v>374.61</v>
      </c>
      <c r="O2123" s="2">
        <v>271.10000000000002</v>
      </c>
      <c r="P2123" s="2">
        <v>103.51</v>
      </c>
      <c r="Q2123" t="s">
        <v>61</v>
      </c>
    </row>
    <row r="2124" spans="1:17" x14ac:dyDescent="0.2">
      <c r="A2124" t="s">
        <v>2289</v>
      </c>
      <c r="B2124" s="1">
        <v>45917</v>
      </c>
      <c r="C2124" t="s">
        <v>18</v>
      </c>
      <c r="D2124" t="s">
        <v>133</v>
      </c>
      <c r="E2124" t="s">
        <v>226</v>
      </c>
      <c r="F2124" t="s">
        <v>21</v>
      </c>
      <c r="G2124" t="s">
        <v>75</v>
      </c>
      <c r="H2124" t="s">
        <v>23</v>
      </c>
      <c r="I2124" t="s">
        <v>83</v>
      </c>
      <c r="J2124" t="s">
        <v>131</v>
      </c>
      <c r="K2124">
        <v>2</v>
      </c>
      <c r="L2124" s="2">
        <v>11.28</v>
      </c>
      <c r="M2124" s="3">
        <v>0.2</v>
      </c>
      <c r="N2124" s="2">
        <v>18.05</v>
      </c>
      <c r="O2124" s="2">
        <v>10</v>
      </c>
      <c r="P2124" s="2">
        <v>8.0500000000000007</v>
      </c>
      <c r="Q2124" t="s">
        <v>57</v>
      </c>
    </row>
    <row r="2125" spans="1:17" x14ac:dyDescent="0.2">
      <c r="A2125" t="s">
        <v>2290</v>
      </c>
      <c r="B2125" s="1">
        <v>45918</v>
      </c>
      <c r="C2125" t="s">
        <v>43</v>
      </c>
      <c r="D2125" t="s">
        <v>208</v>
      </c>
      <c r="E2125" t="s">
        <v>287</v>
      </c>
      <c r="F2125" t="s">
        <v>21</v>
      </c>
      <c r="G2125" t="s">
        <v>75</v>
      </c>
      <c r="H2125" t="s">
        <v>31</v>
      </c>
      <c r="I2125" t="s">
        <v>112</v>
      </c>
      <c r="J2125" t="s">
        <v>176</v>
      </c>
      <c r="K2125">
        <v>7</v>
      </c>
      <c r="L2125" s="2">
        <v>407.64</v>
      </c>
      <c r="M2125" s="3">
        <v>0</v>
      </c>
      <c r="N2125" s="2">
        <v>2853.48</v>
      </c>
      <c r="O2125" s="2">
        <v>1640.38</v>
      </c>
      <c r="P2125" s="2">
        <v>1213.0999999999999</v>
      </c>
      <c r="Q2125" t="s">
        <v>57</v>
      </c>
    </row>
    <row r="2126" spans="1:17" x14ac:dyDescent="0.2">
      <c r="A2126" t="s">
        <v>2291</v>
      </c>
      <c r="B2126" s="1">
        <v>45918</v>
      </c>
      <c r="C2126" t="s">
        <v>36</v>
      </c>
      <c r="D2126" t="s">
        <v>67</v>
      </c>
      <c r="E2126" t="s">
        <v>323</v>
      </c>
      <c r="F2126" t="s">
        <v>71</v>
      </c>
      <c r="G2126" t="s">
        <v>54</v>
      </c>
      <c r="H2126" t="s">
        <v>23</v>
      </c>
      <c r="I2126" t="s">
        <v>79</v>
      </c>
      <c r="J2126" t="s">
        <v>233</v>
      </c>
      <c r="K2126">
        <v>7</v>
      </c>
      <c r="L2126" s="2">
        <v>165.19</v>
      </c>
      <c r="M2126" s="3">
        <v>0.05</v>
      </c>
      <c r="N2126" s="2">
        <v>1098.51</v>
      </c>
      <c r="O2126" s="2">
        <v>763.21</v>
      </c>
      <c r="P2126" s="2">
        <v>335.3</v>
      </c>
      <c r="Q2126" t="s">
        <v>61</v>
      </c>
    </row>
    <row r="2127" spans="1:17" x14ac:dyDescent="0.2">
      <c r="A2127" t="s">
        <v>2292</v>
      </c>
      <c r="B2127" s="1">
        <v>45918</v>
      </c>
      <c r="C2127" t="s">
        <v>36</v>
      </c>
      <c r="D2127" t="s">
        <v>110</v>
      </c>
      <c r="E2127" t="s">
        <v>115</v>
      </c>
      <c r="F2127" t="s">
        <v>71</v>
      </c>
      <c r="G2127" t="s">
        <v>54</v>
      </c>
      <c r="H2127" t="s">
        <v>31</v>
      </c>
      <c r="I2127" t="s">
        <v>40</v>
      </c>
      <c r="J2127" t="s">
        <v>122</v>
      </c>
      <c r="K2127">
        <v>5</v>
      </c>
      <c r="L2127" s="2">
        <v>226.82</v>
      </c>
      <c r="M2127" s="3">
        <v>0.15</v>
      </c>
      <c r="N2127" s="2">
        <v>963.98</v>
      </c>
      <c r="O2127" s="2">
        <v>552.94000000000005</v>
      </c>
      <c r="P2127" s="2">
        <v>411.04</v>
      </c>
      <c r="Q2127" t="s">
        <v>61</v>
      </c>
    </row>
    <row r="2128" spans="1:17" x14ac:dyDescent="0.2">
      <c r="A2128" t="s">
        <v>2293</v>
      </c>
      <c r="B2128" s="1">
        <v>45918</v>
      </c>
      <c r="C2128" t="s">
        <v>18</v>
      </c>
      <c r="D2128" t="s">
        <v>28</v>
      </c>
      <c r="E2128" t="s">
        <v>157</v>
      </c>
      <c r="F2128" t="s">
        <v>46</v>
      </c>
      <c r="G2128" t="s">
        <v>22</v>
      </c>
      <c r="H2128" t="s">
        <v>31</v>
      </c>
      <c r="I2128" t="s">
        <v>64</v>
      </c>
      <c r="J2128" t="s">
        <v>252</v>
      </c>
      <c r="K2128">
        <v>7</v>
      </c>
      <c r="L2128" s="2">
        <v>138.28</v>
      </c>
      <c r="M2128" s="3">
        <v>0.05</v>
      </c>
      <c r="N2128" s="2">
        <v>919.56</v>
      </c>
      <c r="O2128" s="2">
        <v>619.75</v>
      </c>
      <c r="P2128" s="2">
        <v>299.81</v>
      </c>
      <c r="Q2128" t="s">
        <v>57</v>
      </c>
    </row>
    <row r="2129" spans="1:17" x14ac:dyDescent="0.2">
      <c r="A2129" t="s">
        <v>2294</v>
      </c>
      <c r="B2129" s="1">
        <v>45918</v>
      </c>
      <c r="C2129" t="s">
        <v>18</v>
      </c>
      <c r="D2129" t="s">
        <v>152</v>
      </c>
      <c r="E2129" t="s">
        <v>166</v>
      </c>
      <c r="F2129" t="s">
        <v>69</v>
      </c>
      <c r="G2129" t="s">
        <v>22</v>
      </c>
      <c r="H2129" t="s">
        <v>47</v>
      </c>
      <c r="I2129" t="s">
        <v>89</v>
      </c>
      <c r="J2129" t="s">
        <v>204</v>
      </c>
      <c r="K2129">
        <v>7</v>
      </c>
      <c r="L2129" s="2">
        <v>247.73</v>
      </c>
      <c r="M2129" s="3">
        <v>0</v>
      </c>
      <c r="N2129" s="2">
        <v>1734.11</v>
      </c>
      <c r="O2129" s="2">
        <v>1225.69</v>
      </c>
      <c r="P2129" s="2">
        <v>508.42</v>
      </c>
      <c r="Q2129" t="s">
        <v>34</v>
      </c>
    </row>
    <row r="2130" spans="1:17" x14ac:dyDescent="0.2">
      <c r="A2130" t="s">
        <v>2295</v>
      </c>
      <c r="B2130" s="1">
        <v>45918</v>
      </c>
      <c r="C2130" t="s">
        <v>43</v>
      </c>
      <c r="D2130" t="s">
        <v>208</v>
      </c>
      <c r="E2130" t="s">
        <v>287</v>
      </c>
      <c r="F2130" t="s">
        <v>30</v>
      </c>
      <c r="G2130" t="s">
        <v>54</v>
      </c>
      <c r="H2130" t="s">
        <v>31</v>
      </c>
      <c r="I2130" t="s">
        <v>40</v>
      </c>
      <c r="J2130" t="s">
        <v>122</v>
      </c>
      <c r="K2130">
        <v>5</v>
      </c>
      <c r="L2130" s="2">
        <v>176.83</v>
      </c>
      <c r="M2130" s="3">
        <v>0</v>
      </c>
      <c r="N2130" s="2">
        <v>884.15</v>
      </c>
      <c r="O2130" s="2">
        <v>526.61</v>
      </c>
      <c r="P2130" s="2">
        <v>357.54</v>
      </c>
      <c r="Q2130" t="s">
        <v>34</v>
      </c>
    </row>
    <row r="2131" spans="1:17" x14ac:dyDescent="0.2">
      <c r="A2131" t="s">
        <v>2296</v>
      </c>
      <c r="B2131" s="1">
        <v>45918</v>
      </c>
      <c r="C2131" t="s">
        <v>18</v>
      </c>
      <c r="D2131" t="s">
        <v>28</v>
      </c>
      <c r="E2131" t="s">
        <v>170</v>
      </c>
      <c r="F2131" t="s">
        <v>60</v>
      </c>
      <c r="G2131" t="s">
        <v>22</v>
      </c>
      <c r="H2131" t="s">
        <v>23</v>
      </c>
      <c r="I2131" t="s">
        <v>55</v>
      </c>
      <c r="J2131" t="s">
        <v>173</v>
      </c>
      <c r="K2131">
        <v>9</v>
      </c>
      <c r="L2131" s="2">
        <v>23.74</v>
      </c>
      <c r="M2131" s="3">
        <v>0.15</v>
      </c>
      <c r="N2131" s="2">
        <v>181.61</v>
      </c>
      <c r="O2131" s="2">
        <v>143.03</v>
      </c>
      <c r="P2131" s="2">
        <v>38.58</v>
      </c>
      <c r="Q2131" t="s">
        <v>61</v>
      </c>
    </row>
    <row r="2132" spans="1:17" x14ac:dyDescent="0.2">
      <c r="A2132" t="s">
        <v>2297</v>
      </c>
      <c r="B2132" s="1">
        <v>45918</v>
      </c>
      <c r="C2132" t="s">
        <v>43</v>
      </c>
      <c r="D2132" t="s">
        <v>208</v>
      </c>
      <c r="E2132" t="s">
        <v>230</v>
      </c>
      <c r="F2132" t="s">
        <v>130</v>
      </c>
      <c r="G2132" t="s">
        <v>54</v>
      </c>
      <c r="H2132" t="s">
        <v>23</v>
      </c>
      <c r="I2132" t="s">
        <v>83</v>
      </c>
      <c r="J2132" t="s">
        <v>131</v>
      </c>
      <c r="K2132">
        <v>7</v>
      </c>
      <c r="L2132" s="2">
        <v>31.48</v>
      </c>
      <c r="M2132" s="3">
        <v>0</v>
      </c>
      <c r="N2132" s="2">
        <v>220.36</v>
      </c>
      <c r="O2132" s="2">
        <v>131.68</v>
      </c>
      <c r="P2132" s="2">
        <v>88.68</v>
      </c>
      <c r="Q2132" t="s">
        <v>57</v>
      </c>
    </row>
    <row r="2133" spans="1:17" x14ac:dyDescent="0.2">
      <c r="A2133" t="s">
        <v>2298</v>
      </c>
      <c r="B2133" s="1">
        <v>45918</v>
      </c>
      <c r="C2133" t="s">
        <v>36</v>
      </c>
      <c r="D2133" t="s">
        <v>144</v>
      </c>
      <c r="E2133" t="s">
        <v>214</v>
      </c>
      <c r="F2133" t="s">
        <v>46</v>
      </c>
      <c r="G2133" t="s">
        <v>75</v>
      </c>
      <c r="H2133" t="s">
        <v>23</v>
      </c>
      <c r="I2133" t="s">
        <v>79</v>
      </c>
      <c r="J2133" t="s">
        <v>233</v>
      </c>
      <c r="K2133">
        <v>7</v>
      </c>
      <c r="L2133" s="2">
        <v>186.91</v>
      </c>
      <c r="M2133" s="3">
        <v>0.05</v>
      </c>
      <c r="N2133" s="2">
        <v>1242.95</v>
      </c>
      <c r="O2133" s="2">
        <v>789.89</v>
      </c>
      <c r="P2133" s="2">
        <v>453.06</v>
      </c>
      <c r="Q2133" t="s">
        <v>57</v>
      </c>
    </row>
    <row r="2134" spans="1:17" x14ac:dyDescent="0.2">
      <c r="A2134" t="s">
        <v>2299</v>
      </c>
      <c r="B2134" s="1">
        <v>45919</v>
      </c>
      <c r="C2134" t="s">
        <v>43</v>
      </c>
      <c r="D2134" t="s">
        <v>161</v>
      </c>
      <c r="E2134" t="s">
        <v>162</v>
      </c>
      <c r="F2134" t="s">
        <v>69</v>
      </c>
      <c r="G2134" t="s">
        <v>54</v>
      </c>
      <c r="H2134" t="s">
        <v>47</v>
      </c>
      <c r="I2134" t="s">
        <v>89</v>
      </c>
      <c r="J2134" t="s">
        <v>90</v>
      </c>
      <c r="K2134">
        <v>1</v>
      </c>
      <c r="L2134" s="2">
        <v>435.45</v>
      </c>
      <c r="M2134" s="3">
        <v>0.15</v>
      </c>
      <c r="N2134" s="2">
        <v>370.13</v>
      </c>
      <c r="O2134" s="2">
        <v>218.72</v>
      </c>
      <c r="P2134" s="2">
        <v>151.41</v>
      </c>
      <c r="Q2134" t="s">
        <v>61</v>
      </c>
    </row>
    <row r="2135" spans="1:17" x14ac:dyDescent="0.2">
      <c r="A2135" t="s">
        <v>2300</v>
      </c>
      <c r="B2135" s="1">
        <v>45919</v>
      </c>
      <c r="C2135" t="s">
        <v>36</v>
      </c>
      <c r="D2135" t="s">
        <v>67</v>
      </c>
      <c r="E2135" t="s">
        <v>68</v>
      </c>
      <c r="F2135" t="s">
        <v>71</v>
      </c>
      <c r="G2135" t="s">
        <v>54</v>
      </c>
      <c r="H2135" t="s">
        <v>23</v>
      </c>
      <c r="I2135" t="s">
        <v>55</v>
      </c>
      <c r="J2135" t="s">
        <v>56</v>
      </c>
      <c r="K2135">
        <v>6</v>
      </c>
      <c r="L2135" s="2">
        <v>8.58</v>
      </c>
      <c r="M2135" s="3">
        <v>0.05</v>
      </c>
      <c r="N2135" s="2">
        <v>48.91</v>
      </c>
      <c r="O2135" s="2">
        <v>31.83</v>
      </c>
      <c r="P2135" s="2">
        <v>17.079999999999998</v>
      </c>
      <c r="Q2135" t="s">
        <v>26</v>
      </c>
    </row>
    <row r="2136" spans="1:17" x14ac:dyDescent="0.2">
      <c r="A2136" t="s">
        <v>2301</v>
      </c>
      <c r="B2136" s="1">
        <v>45919</v>
      </c>
      <c r="C2136" t="s">
        <v>77</v>
      </c>
      <c r="D2136" t="s">
        <v>149</v>
      </c>
      <c r="E2136" t="s">
        <v>309</v>
      </c>
      <c r="F2136" t="s">
        <v>30</v>
      </c>
      <c r="G2136" t="s">
        <v>54</v>
      </c>
      <c r="H2136" t="s">
        <v>31</v>
      </c>
      <c r="I2136" t="s">
        <v>40</v>
      </c>
      <c r="J2136" t="s">
        <v>216</v>
      </c>
      <c r="K2136">
        <v>6</v>
      </c>
      <c r="L2136" s="2">
        <v>168.71</v>
      </c>
      <c r="M2136" s="3">
        <v>0.1</v>
      </c>
      <c r="N2136" s="2">
        <v>911.03</v>
      </c>
      <c r="O2136" s="2">
        <v>560.73</v>
      </c>
      <c r="P2136" s="2">
        <v>350.3</v>
      </c>
      <c r="Q2136" t="s">
        <v>57</v>
      </c>
    </row>
    <row r="2137" spans="1:17" x14ac:dyDescent="0.2">
      <c r="A2137" t="s">
        <v>2302</v>
      </c>
      <c r="B2137" s="1">
        <v>45919</v>
      </c>
      <c r="C2137" t="s">
        <v>18</v>
      </c>
      <c r="D2137" t="s">
        <v>86</v>
      </c>
      <c r="E2137" t="s">
        <v>87</v>
      </c>
      <c r="F2137" t="s">
        <v>39</v>
      </c>
      <c r="G2137" t="s">
        <v>54</v>
      </c>
      <c r="H2137" t="s">
        <v>23</v>
      </c>
      <c r="I2137" t="s">
        <v>55</v>
      </c>
      <c r="J2137" t="s">
        <v>56</v>
      </c>
      <c r="K2137">
        <v>1</v>
      </c>
      <c r="L2137" s="2">
        <v>24.38</v>
      </c>
      <c r="M2137" s="3">
        <v>0.05</v>
      </c>
      <c r="N2137" s="2">
        <v>23.16</v>
      </c>
      <c r="O2137" s="2">
        <v>15.35</v>
      </c>
      <c r="P2137" s="2">
        <v>7.81</v>
      </c>
      <c r="Q2137" t="s">
        <v>61</v>
      </c>
    </row>
    <row r="2138" spans="1:17" x14ac:dyDescent="0.2">
      <c r="A2138" t="s">
        <v>2303</v>
      </c>
      <c r="B2138" s="1">
        <v>45919</v>
      </c>
      <c r="C2138" t="s">
        <v>43</v>
      </c>
      <c r="D2138" t="s">
        <v>44</v>
      </c>
      <c r="E2138" t="s">
        <v>147</v>
      </c>
      <c r="F2138" t="s">
        <v>46</v>
      </c>
      <c r="G2138" t="s">
        <v>75</v>
      </c>
      <c r="H2138" t="s">
        <v>31</v>
      </c>
      <c r="I2138" t="s">
        <v>64</v>
      </c>
      <c r="J2138" t="s">
        <v>252</v>
      </c>
      <c r="K2138">
        <v>5</v>
      </c>
      <c r="L2138" s="2">
        <v>44.13</v>
      </c>
      <c r="M2138" s="3">
        <v>0.05</v>
      </c>
      <c r="N2138" s="2">
        <v>209.62</v>
      </c>
      <c r="O2138" s="2">
        <v>117.77</v>
      </c>
      <c r="P2138" s="2">
        <v>91.85</v>
      </c>
      <c r="Q2138" t="s">
        <v>57</v>
      </c>
    </row>
    <row r="2139" spans="1:17" x14ac:dyDescent="0.2">
      <c r="A2139" t="s">
        <v>2304</v>
      </c>
      <c r="B2139" s="1">
        <v>45919</v>
      </c>
      <c r="C2139" t="s">
        <v>77</v>
      </c>
      <c r="D2139" t="s">
        <v>106</v>
      </c>
      <c r="E2139" t="s">
        <v>303</v>
      </c>
      <c r="F2139" t="s">
        <v>39</v>
      </c>
      <c r="G2139" t="s">
        <v>54</v>
      </c>
      <c r="H2139" t="s">
        <v>31</v>
      </c>
      <c r="I2139" t="s">
        <v>64</v>
      </c>
      <c r="J2139" t="s">
        <v>65</v>
      </c>
      <c r="K2139">
        <v>2</v>
      </c>
      <c r="L2139" s="2">
        <v>78.3</v>
      </c>
      <c r="M2139" s="3">
        <v>0.15</v>
      </c>
      <c r="N2139" s="2">
        <v>133.11000000000001</v>
      </c>
      <c r="O2139" s="2">
        <v>75.959999999999994</v>
      </c>
      <c r="P2139" s="2">
        <v>57.15</v>
      </c>
      <c r="Q2139" t="s">
        <v>34</v>
      </c>
    </row>
    <row r="2140" spans="1:17" x14ac:dyDescent="0.2">
      <c r="A2140" t="s">
        <v>2305</v>
      </c>
      <c r="B2140" s="1">
        <v>45919</v>
      </c>
      <c r="C2140" t="s">
        <v>43</v>
      </c>
      <c r="D2140" t="s">
        <v>51</v>
      </c>
      <c r="E2140" t="s">
        <v>52</v>
      </c>
      <c r="F2140" t="s">
        <v>21</v>
      </c>
      <c r="G2140" t="s">
        <v>22</v>
      </c>
      <c r="H2140" t="s">
        <v>23</v>
      </c>
      <c r="I2140" t="s">
        <v>24</v>
      </c>
      <c r="J2140" t="s">
        <v>25</v>
      </c>
      <c r="K2140">
        <v>6</v>
      </c>
      <c r="L2140" s="2">
        <v>26.18</v>
      </c>
      <c r="M2140" s="3">
        <v>0.1</v>
      </c>
      <c r="N2140" s="2">
        <v>141.37</v>
      </c>
      <c r="O2140" s="2">
        <v>95.73</v>
      </c>
      <c r="P2140" s="2">
        <v>45.64</v>
      </c>
      <c r="Q2140" t="s">
        <v>26</v>
      </c>
    </row>
    <row r="2141" spans="1:17" x14ac:dyDescent="0.2">
      <c r="A2141" t="s">
        <v>2306</v>
      </c>
      <c r="B2141" s="1">
        <v>45919</v>
      </c>
      <c r="C2141" t="s">
        <v>43</v>
      </c>
      <c r="D2141" t="s">
        <v>208</v>
      </c>
      <c r="E2141" t="s">
        <v>287</v>
      </c>
      <c r="F2141" t="s">
        <v>21</v>
      </c>
      <c r="G2141" t="s">
        <v>22</v>
      </c>
      <c r="H2141" t="s">
        <v>23</v>
      </c>
      <c r="I2141" t="s">
        <v>55</v>
      </c>
      <c r="J2141" t="s">
        <v>56</v>
      </c>
      <c r="K2141">
        <v>9</v>
      </c>
      <c r="L2141" s="2">
        <v>11.52</v>
      </c>
      <c r="M2141" s="3">
        <v>0</v>
      </c>
      <c r="N2141" s="2">
        <v>103.68</v>
      </c>
      <c r="O2141" s="2">
        <v>67.95</v>
      </c>
      <c r="P2141" s="2">
        <v>35.729999999999997</v>
      </c>
      <c r="Q2141" t="s">
        <v>26</v>
      </c>
    </row>
    <row r="2142" spans="1:17" x14ac:dyDescent="0.2">
      <c r="A2142" t="s">
        <v>2307</v>
      </c>
      <c r="B2142" s="1">
        <v>45919</v>
      </c>
      <c r="C2142" t="s">
        <v>18</v>
      </c>
      <c r="D2142" t="s">
        <v>28</v>
      </c>
      <c r="E2142" t="s">
        <v>29</v>
      </c>
      <c r="F2142" t="s">
        <v>39</v>
      </c>
      <c r="G2142" t="s">
        <v>22</v>
      </c>
      <c r="H2142" t="s">
        <v>47</v>
      </c>
      <c r="I2142" t="s">
        <v>141</v>
      </c>
      <c r="J2142" t="s">
        <v>372</v>
      </c>
      <c r="K2142">
        <v>4</v>
      </c>
      <c r="L2142" s="2">
        <v>668.39</v>
      </c>
      <c r="M2142" s="3">
        <v>0.1</v>
      </c>
      <c r="N2142" s="2">
        <v>2406.1999999999998</v>
      </c>
      <c r="O2142" s="2">
        <v>1581.73</v>
      </c>
      <c r="P2142" s="2">
        <v>824.47</v>
      </c>
      <c r="Q2142" t="s">
        <v>57</v>
      </c>
    </row>
    <row r="2143" spans="1:17" x14ac:dyDescent="0.2">
      <c r="A2143" t="s">
        <v>2308</v>
      </c>
      <c r="B2143" s="1">
        <v>45919</v>
      </c>
      <c r="C2143" t="s">
        <v>77</v>
      </c>
      <c r="D2143" t="s">
        <v>149</v>
      </c>
      <c r="E2143" t="s">
        <v>309</v>
      </c>
      <c r="F2143" t="s">
        <v>53</v>
      </c>
      <c r="G2143" t="s">
        <v>22</v>
      </c>
      <c r="H2143" t="s">
        <v>23</v>
      </c>
      <c r="I2143" t="s">
        <v>83</v>
      </c>
      <c r="J2143" t="s">
        <v>120</v>
      </c>
      <c r="K2143">
        <v>8</v>
      </c>
      <c r="L2143" s="2">
        <v>15.59</v>
      </c>
      <c r="M2143" s="3">
        <v>0.1</v>
      </c>
      <c r="N2143" s="2">
        <v>112.25</v>
      </c>
      <c r="O2143" s="2">
        <v>88.85</v>
      </c>
      <c r="P2143" s="2">
        <v>23.4</v>
      </c>
      <c r="Q2143" t="s">
        <v>34</v>
      </c>
    </row>
    <row r="2144" spans="1:17" x14ac:dyDescent="0.2">
      <c r="A2144" t="s">
        <v>2309</v>
      </c>
      <c r="B2144" s="1">
        <v>45919</v>
      </c>
      <c r="C2144" t="s">
        <v>43</v>
      </c>
      <c r="D2144" t="s">
        <v>208</v>
      </c>
      <c r="E2144" t="s">
        <v>230</v>
      </c>
      <c r="F2144" t="s">
        <v>39</v>
      </c>
      <c r="G2144" t="s">
        <v>75</v>
      </c>
      <c r="H2144" t="s">
        <v>47</v>
      </c>
      <c r="I2144" t="s">
        <v>89</v>
      </c>
      <c r="J2144" t="s">
        <v>90</v>
      </c>
      <c r="K2144">
        <v>3</v>
      </c>
      <c r="L2144" s="2">
        <v>316.98</v>
      </c>
      <c r="M2144" s="3">
        <v>0</v>
      </c>
      <c r="N2144" s="2">
        <v>950.94</v>
      </c>
      <c r="O2144" s="2">
        <v>585.1</v>
      </c>
      <c r="P2144" s="2">
        <v>365.84</v>
      </c>
      <c r="Q2144" t="s">
        <v>34</v>
      </c>
    </row>
    <row r="2145" spans="1:17" x14ac:dyDescent="0.2">
      <c r="A2145" t="s">
        <v>2310</v>
      </c>
      <c r="B2145" s="1">
        <v>45919</v>
      </c>
      <c r="C2145" t="s">
        <v>77</v>
      </c>
      <c r="D2145" t="s">
        <v>95</v>
      </c>
      <c r="E2145" t="s">
        <v>300</v>
      </c>
      <c r="F2145" t="s">
        <v>71</v>
      </c>
      <c r="G2145" t="s">
        <v>22</v>
      </c>
      <c r="H2145" t="s">
        <v>47</v>
      </c>
      <c r="I2145" t="s">
        <v>89</v>
      </c>
      <c r="J2145" t="s">
        <v>204</v>
      </c>
      <c r="K2145">
        <v>4</v>
      </c>
      <c r="L2145" s="2">
        <v>460.37</v>
      </c>
      <c r="M2145" s="3">
        <v>0.05</v>
      </c>
      <c r="N2145" s="2">
        <v>1749.41</v>
      </c>
      <c r="O2145" s="2">
        <v>1176.98</v>
      </c>
      <c r="P2145" s="2">
        <v>572.42999999999995</v>
      </c>
      <c r="Q2145" t="s">
        <v>26</v>
      </c>
    </row>
    <row r="2146" spans="1:17" x14ac:dyDescent="0.2">
      <c r="A2146" t="s">
        <v>2311</v>
      </c>
      <c r="B2146" s="1">
        <v>45919</v>
      </c>
      <c r="C2146" t="s">
        <v>36</v>
      </c>
      <c r="D2146" t="s">
        <v>110</v>
      </c>
      <c r="E2146" t="s">
        <v>111</v>
      </c>
      <c r="F2146" t="s">
        <v>130</v>
      </c>
      <c r="G2146" t="s">
        <v>22</v>
      </c>
      <c r="H2146" t="s">
        <v>23</v>
      </c>
      <c r="I2146" t="s">
        <v>55</v>
      </c>
      <c r="J2146" t="s">
        <v>102</v>
      </c>
      <c r="K2146">
        <v>3</v>
      </c>
      <c r="L2146" s="2">
        <v>22.87</v>
      </c>
      <c r="M2146" s="3">
        <v>0</v>
      </c>
      <c r="N2146" s="2">
        <v>68.61</v>
      </c>
      <c r="O2146" s="2">
        <v>56.19</v>
      </c>
      <c r="P2146" s="2">
        <v>12.42</v>
      </c>
      <c r="Q2146" t="s">
        <v>61</v>
      </c>
    </row>
    <row r="2147" spans="1:17" x14ac:dyDescent="0.2">
      <c r="A2147" t="s">
        <v>2312</v>
      </c>
      <c r="B2147" s="1">
        <v>45920</v>
      </c>
      <c r="C2147" t="s">
        <v>36</v>
      </c>
      <c r="D2147" t="s">
        <v>67</v>
      </c>
      <c r="E2147" t="s">
        <v>270</v>
      </c>
      <c r="F2147" t="s">
        <v>53</v>
      </c>
      <c r="G2147" t="s">
        <v>75</v>
      </c>
      <c r="H2147" t="s">
        <v>23</v>
      </c>
      <c r="I2147" t="s">
        <v>55</v>
      </c>
      <c r="J2147" t="s">
        <v>56</v>
      </c>
      <c r="K2147">
        <v>6</v>
      </c>
      <c r="L2147" s="2">
        <v>19.29</v>
      </c>
      <c r="M2147" s="3">
        <v>0</v>
      </c>
      <c r="N2147" s="2">
        <v>115.74</v>
      </c>
      <c r="O2147" s="2">
        <v>63.85</v>
      </c>
      <c r="P2147" s="2">
        <v>51.89</v>
      </c>
      <c r="Q2147" t="s">
        <v>61</v>
      </c>
    </row>
    <row r="2148" spans="1:17" x14ac:dyDescent="0.2">
      <c r="A2148" t="s">
        <v>2313</v>
      </c>
      <c r="B2148" s="1">
        <v>45920</v>
      </c>
      <c r="C2148" t="s">
        <v>43</v>
      </c>
      <c r="D2148" t="s">
        <v>44</v>
      </c>
      <c r="E2148" t="s">
        <v>45</v>
      </c>
      <c r="F2148" t="s">
        <v>39</v>
      </c>
      <c r="G2148" t="s">
        <v>75</v>
      </c>
      <c r="H2148" t="s">
        <v>31</v>
      </c>
      <c r="I2148" t="s">
        <v>112</v>
      </c>
      <c r="J2148" t="s">
        <v>113</v>
      </c>
      <c r="K2148">
        <v>3</v>
      </c>
      <c r="L2148" s="2">
        <v>309.64</v>
      </c>
      <c r="M2148" s="3">
        <v>0.05</v>
      </c>
      <c r="N2148" s="2">
        <v>882.47</v>
      </c>
      <c r="O2148" s="2">
        <v>496.07</v>
      </c>
      <c r="P2148" s="2">
        <v>386.4</v>
      </c>
      <c r="Q2148" t="s">
        <v>34</v>
      </c>
    </row>
    <row r="2149" spans="1:17" x14ac:dyDescent="0.2">
      <c r="A2149" t="s">
        <v>2314</v>
      </c>
      <c r="B2149" s="1">
        <v>45920</v>
      </c>
      <c r="C2149" t="s">
        <v>36</v>
      </c>
      <c r="D2149" t="s">
        <v>67</v>
      </c>
      <c r="E2149" t="s">
        <v>323</v>
      </c>
      <c r="F2149" t="s">
        <v>46</v>
      </c>
      <c r="G2149" t="s">
        <v>22</v>
      </c>
      <c r="H2149" t="s">
        <v>31</v>
      </c>
      <c r="I2149" t="s">
        <v>32</v>
      </c>
      <c r="J2149" t="s">
        <v>33</v>
      </c>
      <c r="K2149">
        <v>2</v>
      </c>
      <c r="L2149" s="2">
        <v>1384.08</v>
      </c>
      <c r="M2149" s="3">
        <v>0</v>
      </c>
      <c r="N2149" s="2">
        <v>2768.16</v>
      </c>
      <c r="O2149" s="2">
        <v>1694.18</v>
      </c>
      <c r="P2149" s="2">
        <v>1073.98</v>
      </c>
      <c r="Q2149" t="s">
        <v>57</v>
      </c>
    </row>
    <row r="2150" spans="1:17" x14ac:dyDescent="0.2">
      <c r="A2150" t="s">
        <v>2315</v>
      </c>
      <c r="B2150" s="1">
        <v>45920</v>
      </c>
      <c r="C2150" t="s">
        <v>43</v>
      </c>
      <c r="D2150" t="s">
        <v>51</v>
      </c>
      <c r="E2150" t="s">
        <v>63</v>
      </c>
      <c r="F2150" t="s">
        <v>46</v>
      </c>
      <c r="G2150" t="s">
        <v>22</v>
      </c>
      <c r="H2150" t="s">
        <v>31</v>
      </c>
      <c r="I2150" t="s">
        <v>112</v>
      </c>
      <c r="J2150" t="s">
        <v>113</v>
      </c>
      <c r="K2150">
        <v>9</v>
      </c>
      <c r="L2150" s="2">
        <v>576.1</v>
      </c>
      <c r="M2150" s="3">
        <v>0.1</v>
      </c>
      <c r="N2150" s="2">
        <v>4666.41</v>
      </c>
      <c r="O2150" s="2">
        <v>3766.16</v>
      </c>
      <c r="P2150" s="2">
        <v>900.25</v>
      </c>
      <c r="Q2150" t="s">
        <v>57</v>
      </c>
    </row>
    <row r="2151" spans="1:17" x14ac:dyDescent="0.2">
      <c r="A2151" t="s">
        <v>2316</v>
      </c>
      <c r="B2151" s="1">
        <v>45920</v>
      </c>
      <c r="C2151" t="s">
        <v>36</v>
      </c>
      <c r="D2151" t="s">
        <v>73</v>
      </c>
      <c r="E2151" t="s">
        <v>247</v>
      </c>
      <c r="F2151" t="s">
        <v>69</v>
      </c>
      <c r="G2151" t="s">
        <v>54</v>
      </c>
      <c r="H2151" t="s">
        <v>31</v>
      </c>
      <c r="I2151" t="s">
        <v>40</v>
      </c>
      <c r="J2151" t="s">
        <v>122</v>
      </c>
      <c r="K2151">
        <v>7</v>
      </c>
      <c r="L2151" s="2">
        <v>49.86</v>
      </c>
      <c r="M2151" s="3">
        <v>0</v>
      </c>
      <c r="N2151" s="2">
        <v>349.02</v>
      </c>
      <c r="O2151" s="2">
        <v>225.9</v>
      </c>
      <c r="P2151" s="2">
        <v>123.12</v>
      </c>
      <c r="Q2151" t="s">
        <v>26</v>
      </c>
    </row>
    <row r="2152" spans="1:17" x14ac:dyDescent="0.2">
      <c r="A2152" t="s">
        <v>2317</v>
      </c>
      <c r="B2152" s="1">
        <v>45920</v>
      </c>
      <c r="C2152" t="s">
        <v>18</v>
      </c>
      <c r="D2152" t="s">
        <v>152</v>
      </c>
      <c r="E2152" t="s">
        <v>185</v>
      </c>
      <c r="F2152" t="s">
        <v>53</v>
      </c>
      <c r="G2152" t="s">
        <v>54</v>
      </c>
      <c r="H2152" t="s">
        <v>31</v>
      </c>
      <c r="I2152" t="s">
        <v>40</v>
      </c>
      <c r="J2152" t="s">
        <v>41</v>
      </c>
      <c r="K2152">
        <v>10</v>
      </c>
      <c r="L2152" s="2">
        <v>211.07</v>
      </c>
      <c r="M2152" s="3">
        <v>0</v>
      </c>
      <c r="N2152" s="2">
        <v>2110.6999999999998</v>
      </c>
      <c r="O2152" s="2">
        <v>1173.8900000000001</v>
      </c>
      <c r="P2152" s="2">
        <v>936.81</v>
      </c>
      <c r="Q2152" t="s">
        <v>26</v>
      </c>
    </row>
    <row r="2153" spans="1:17" x14ac:dyDescent="0.2">
      <c r="A2153" t="s">
        <v>2318</v>
      </c>
      <c r="B2153" s="1">
        <v>45920</v>
      </c>
      <c r="C2153" t="s">
        <v>77</v>
      </c>
      <c r="D2153" t="s">
        <v>106</v>
      </c>
      <c r="E2153" t="s">
        <v>236</v>
      </c>
      <c r="F2153" t="s">
        <v>46</v>
      </c>
      <c r="G2153" t="s">
        <v>75</v>
      </c>
      <c r="H2153" t="s">
        <v>47</v>
      </c>
      <c r="I2153" t="s">
        <v>48</v>
      </c>
      <c r="J2153" t="s">
        <v>93</v>
      </c>
      <c r="K2153">
        <v>4</v>
      </c>
      <c r="L2153" s="2">
        <v>241.59</v>
      </c>
      <c r="M2153" s="3">
        <v>0.1</v>
      </c>
      <c r="N2153" s="2">
        <v>869.72</v>
      </c>
      <c r="O2153" s="2">
        <v>573.38</v>
      </c>
      <c r="P2153" s="2">
        <v>296.33999999999997</v>
      </c>
      <c r="Q2153" t="s">
        <v>61</v>
      </c>
    </row>
    <row r="2154" spans="1:17" x14ac:dyDescent="0.2">
      <c r="A2154" t="s">
        <v>2319</v>
      </c>
      <c r="B2154" s="1">
        <v>45920</v>
      </c>
      <c r="C2154" t="s">
        <v>18</v>
      </c>
      <c r="D2154" t="s">
        <v>133</v>
      </c>
      <c r="E2154" t="s">
        <v>197</v>
      </c>
      <c r="F2154" t="s">
        <v>138</v>
      </c>
      <c r="G2154" t="s">
        <v>22</v>
      </c>
      <c r="H2154" t="s">
        <v>23</v>
      </c>
      <c r="I2154" t="s">
        <v>24</v>
      </c>
      <c r="J2154" t="s">
        <v>25</v>
      </c>
      <c r="K2154">
        <v>2</v>
      </c>
      <c r="L2154" s="2">
        <v>6.34</v>
      </c>
      <c r="M2154" s="3">
        <v>0.05</v>
      </c>
      <c r="N2154" s="2">
        <v>12.05</v>
      </c>
      <c r="O2154" s="2">
        <v>8.0299999999999994</v>
      </c>
      <c r="P2154" s="2">
        <v>4.0199999999999996</v>
      </c>
      <c r="Q2154" t="s">
        <v>34</v>
      </c>
    </row>
    <row r="2155" spans="1:17" x14ac:dyDescent="0.2">
      <c r="A2155" t="s">
        <v>2320</v>
      </c>
      <c r="B2155" s="1">
        <v>45920</v>
      </c>
      <c r="C2155" t="s">
        <v>18</v>
      </c>
      <c r="D2155" t="s">
        <v>152</v>
      </c>
      <c r="E2155" t="s">
        <v>153</v>
      </c>
      <c r="F2155" t="s">
        <v>30</v>
      </c>
      <c r="G2155" t="s">
        <v>75</v>
      </c>
      <c r="H2155" t="s">
        <v>31</v>
      </c>
      <c r="I2155" t="s">
        <v>112</v>
      </c>
      <c r="J2155" t="s">
        <v>136</v>
      </c>
      <c r="K2155">
        <v>4</v>
      </c>
      <c r="L2155" s="2">
        <v>151.91</v>
      </c>
      <c r="M2155" s="3">
        <v>0</v>
      </c>
      <c r="N2155" s="2">
        <v>607.64</v>
      </c>
      <c r="O2155" s="2">
        <v>485.27</v>
      </c>
      <c r="P2155" s="2">
        <v>122.37</v>
      </c>
      <c r="Q2155" t="s">
        <v>61</v>
      </c>
    </row>
    <row r="2156" spans="1:17" x14ac:dyDescent="0.2">
      <c r="A2156" t="s">
        <v>2321</v>
      </c>
      <c r="B2156" s="1">
        <v>45920</v>
      </c>
      <c r="C2156" t="s">
        <v>36</v>
      </c>
      <c r="D2156" t="s">
        <v>144</v>
      </c>
      <c r="E2156" t="s">
        <v>214</v>
      </c>
      <c r="F2156" t="s">
        <v>130</v>
      </c>
      <c r="G2156" t="s">
        <v>75</v>
      </c>
      <c r="H2156" t="s">
        <v>23</v>
      </c>
      <c r="I2156" t="s">
        <v>79</v>
      </c>
      <c r="J2156" t="s">
        <v>233</v>
      </c>
      <c r="K2156">
        <v>5</v>
      </c>
      <c r="L2156" s="2">
        <v>537.52</v>
      </c>
      <c r="M2156" s="3">
        <v>0.15</v>
      </c>
      <c r="N2156" s="2">
        <v>2284.46</v>
      </c>
      <c r="O2156" s="2">
        <v>1477.91</v>
      </c>
      <c r="P2156" s="2">
        <v>806.55</v>
      </c>
      <c r="Q2156" t="s">
        <v>57</v>
      </c>
    </row>
    <row r="2157" spans="1:17" x14ac:dyDescent="0.2">
      <c r="A2157" t="s">
        <v>2322</v>
      </c>
      <c r="B2157" s="1">
        <v>45920</v>
      </c>
      <c r="C2157" t="s">
        <v>36</v>
      </c>
      <c r="D2157" t="s">
        <v>110</v>
      </c>
      <c r="E2157" t="s">
        <v>111</v>
      </c>
      <c r="F2157" t="s">
        <v>21</v>
      </c>
      <c r="G2157" t="s">
        <v>22</v>
      </c>
      <c r="H2157" t="s">
        <v>23</v>
      </c>
      <c r="I2157" t="s">
        <v>79</v>
      </c>
      <c r="J2157" t="s">
        <v>233</v>
      </c>
      <c r="K2157">
        <v>8</v>
      </c>
      <c r="L2157" s="2">
        <v>180.53</v>
      </c>
      <c r="M2157" s="3">
        <v>0.1</v>
      </c>
      <c r="N2157" s="2">
        <v>1299.82</v>
      </c>
      <c r="O2157" s="2">
        <v>996.69</v>
      </c>
      <c r="P2157" s="2">
        <v>303.13</v>
      </c>
      <c r="Q2157" t="s">
        <v>26</v>
      </c>
    </row>
    <row r="2158" spans="1:17" x14ac:dyDescent="0.2">
      <c r="A2158" t="s">
        <v>2323</v>
      </c>
      <c r="B2158" s="1">
        <v>45920</v>
      </c>
      <c r="C2158" t="s">
        <v>43</v>
      </c>
      <c r="D2158" t="s">
        <v>161</v>
      </c>
      <c r="E2158" t="s">
        <v>162</v>
      </c>
      <c r="F2158" t="s">
        <v>71</v>
      </c>
      <c r="G2158" t="s">
        <v>22</v>
      </c>
      <c r="H2158" t="s">
        <v>47</v>
      </c>
      <c r="I2158" t="s">
        <v>89</v>
      </c>
      <c r="J2158" t="s">
        <v>204</v>
      </c>
      <c r="K2158">
        <v>7</v>
      </c>
      <c r="L2158" s="2">
        <v>196.48</v>
      </c>
      <c r="M2158" s="3">
        <v>0</v>
      </c>
      <c r="N2158" s="2">
        <v>1375.36</v>
      </c>
      <c r="O2158" s="2">
        <v>1086.42</v>
      </c>
      <c r="P2158" s="2">
        <v>288.94</v>
      </c>
      <c r="Q2158" t="s">
        <v>61</v>
      </c>
    </row>
    <row r="2159" spans="1:17" x14ac:dyDescent="0.2">
      <c r="A2159" t="s">
        <v>2324</v>
      </c>
      <c r="B2159" s="1">
        <v>45921</v>
      </c>
      <c r="C2159" t="s">
        <v>77</v>
      </c>
      <c r="D2159" t="s">
        <v>128</v>
      </c>
      <c r="E2159" t="s">
        <v>129</v>
      </c>
      <c r="F2159" t="s">
        <v>46</v>
      </c>
      <c r="G2159" t="s">
        <v>75</v>
      </c>
      <c r="H2159" t="s">
        <v>47</v>
      </c>
      <c r="I2159" t="s">
        <v>97</v>
      </c>
      <c r="J2159" t="s">
        <v>168</v>
      </c>
      <c r="K2159">
        <v>3</v>
      </c>
      <c r="L2159" s="2">
        <v>305</v>
      </c>
      <c r="M2159" s="3">
        <v>0.1</v>
      </c>
      <c r="N2159" s="2">
        <v>823.5</v>
      </c>
      <c r="O2159" s="2">
        <v>563.13</v>
      </c>
      <c r="P2159" s="2">
        <v>260.37</v>
      </c>
      <c r="Q2159" t="s">
        <v>26</v>
      </c>
    </row>
    <row r="2160" spans="1:17" x14ac:dyDescent="0.2">
      <c r="A2160" t="s">
        <v>2325</v>
      </c>
      <c r="B2160" s="1">
        <v>45921</v>
      </c>
      <c r="C2160" t="s">
        <v>18</v>
      </c>
      <c r="D2160" t="s">
        <v>152</v>
      </c>
      <c r="E2160" t="s">
        <v>153</v>
      </c>
      <c r="F2160" t="s">
        <v>39</v>
      </c>
      <c r="G2160" t="s">
        <v>22</v>
      </c>
      <c r="H2160" t="s">
        <v>47</v>
      </c>
      <c r="I2160" t="s">
        <v>141</v>
      </c>
      <c r="J2160" t="s">
        <v>372</v>
      </c>
      <c r="K2160">
        <v>5</v>
      </c>
      <c r="L2160" s="2">
        <v>433.77</v>
      </c>
      <c r="M2160" s="3">
        <v>0.05</v>
      </c>
      <c r="N2160" s="2">
        <v>2060.41</v>
      </c>
      <c r="O2160" s="2">
        <v>1557.83</v>
      </c>
      <c r="P2160" s="2">
        <v>502.58</v>
      </c>
      <c r="Q2160" t="s">
        <v>57</v>
      </c>
    </row>
    <row r="2161" spans="1:17" x14ac:dyDescent="0.2">
      <c r="A2161" t="s">
        <v>2326</v>
      </c>
      <c r="B2161" s="1">
        <v>45921</v>
      </c>
      <c r="C2161" t="s">
        <v>43</v>
      </c>
      <c r="D2161" t="s">
        <v>244</v>
      </c>
      <c r="E2161" t="s">
        <v>300</v>
      </c>
      <c r="F2161" t="s">
        <v>53</v>
      </c>
      <c r="G2161" t="s">
        <v>75</v>
      </c>
      <c r="H2161" t="s">
        <v>47</v>
      </c>
      <c r="I2161" t="s">
        <v>141</v>
      </c>
      <c r="J2161" t="s">
        <v>372</v>
      </c>
      <c r="K2161">
        <v>2</v>
      </c>
      <c r="L2161" s="2">
        <v>228.24</v>
      </c>
      <c r="M2161" s="3">
        <v>0.1</v>
      </c>
      <c r="N2161" s="2">
        <v>410.83</v>
      </c>
      <c r="O2161" s="2">
        <v>273.79000000000002</v>
      </c>
      <c r="P2161" s="2">
        <v>137.04</v>
      </c>
      <c r="Q2161" t="s">
        <v>57</v>
      </c>
    </row>
    <row r="2162" spans="1:17" x14ac:dyDescent="0.2">
      <c r="A2162" t="s">
        <v>2327</v>
      </c>
      <c r="B2162" s="1">
        <v>45921</v>
      </c>
      <c r="C2162" t="s">
        <v>77</v>
      </c>
      <c r="D2162" t="s">
        <v>106</v>
      </c>
      <c r="E2162" t="s">
        <v>107</v>
      </c>
      <c r="F2162" t="s">
        <v>53</v>
      </c>
      <c r="G2162" t="s">
        <v>75</v>
      </c>
      <c r="H2162" t="s">
        <v>47</v>
      </c>
      <c r="I2162" t="s">
        <v>141</v>
      </c>
      <c r="J2162" t="s">
        <v>142</v>
      </c>
      <c r="K2162">
        <v>8</v>
      </c>
      <c r="L2162" s="2">
        <v>521.04999999999995</v>
      </c>
      <c r="M2162" s="3">
        <v>0</v>
      </c>
      <c r="N2162" s="2">
        <v>4168.3999999999996</v>
      </c>
      <c r="O2162" s="2">
        <v>3307.14</v>
      </c>
      <c r="P2162" s="2">
        <v>861.26</v>
      </c>
      <c r="Q2162" t="s">
        <v>26</v>
      </c>
    </row>
    <row r="2163" spans="1:17" x14ac:dyDescent="0.2">
      <c r="A2163" t="s">
        <v>2328</v>
      </c>
      <c r="B2163" s="1">
        <v>45921</v>
      </c>
      <c r="C2163" t="s">
        <v>43</v>
      </c>
      <c r="D2163" t="s">
        <v>161</v>
      </c>
      <c r="E2163" t="s">
        <v>418</v>
      </c>
      <c r="F2163" t="s">
        <v>30</v>
      </c>
      <c r="G2163" t="s">
        <v>22</v>
      </c>
      <c r="H2163" t="s">
        <v>23</v>
      </c>
      <c r="I2163" t="s">
        <v>24</v>
      </c>
      <c r="J2163" t="s">
        <v>25</v>
      </c>
      <c r="K2163">
        <v>6</v>
      </c>
      <c r="L2163" s="2">
        <v>10.77</v>
      </c>
      <c r="M2163" s="3">
        <v>0.1</v>
      </c>
      <c r="N2163" s="2">
        <v>58.16</v>
      </c>
      <c r="O2163" s="2">
        <v>44.44</v>
      </c>
      <c r="P2163" s="2">
        <v>13.72</v>
      </c>
      <c r="Q2163" t="s">
        <v>26</v>
      </c>
    </row>
    <row r="2164" spans="1:17" x14ac:dyDescent="0.2">
      <c r="A2164" t="s">
        <v>2329</v>
      </c>
      <c r="B2164" s="1">
        <v>45921</v>
      </c>
      <c r="C2164" t="s">
        <v>43</v>
      </c>
      <c r="D2164" t="s">
        <v>161</v>
      </c>
      <c r="E2164" t="s">
        <v>162</v>
      </c>
      <c r="F2164" t="s">
        <v>69</v>
      </c>
      <c r="G2164" t="s">
        <v>22</v>
      </c>
      <c r="H2164" t="s">
        <v>23</v>
      </c>
      <c r="I2164" t="s">
        <v>83</v>
      </c>
      <c r="J2164" t="s">
        <v>131</v>
      </c>
      <c r="K2164">
        <v>2</v>
      </c>
      <c r="L2164" s="2">
        <v>30.88</v>
      </c>
      <c r="M2164" s="3">
        <v>0</v>
      </c>
      <c r="N2164" s="2">
        <v>61.76</v>
      </c>
      <c r="O2164" s="2">
        <v>47.65</v>
      </c>
      <c r="P2164" s="2">
        <v>14.11</v>
      </c>
      <c r="Q2164" t="s">
        <v>61</v>
      </c>
    </row>
    <row r="2165" spans="1:17" x14ac:dyDescent="0.2">
      <c r="A2165" t="s">
        <v>2330</v>
      </c>
      <c r="B2165" s="1">
        <v>45921</v>
      </c>
      <c r="C2165" t="s">
        <v>36</v>
      </c>
      <c r="D2165" t="s">
        <v>37</v>
      </c>
      <c r="E2165" t="s">
        <v>255</v>
      </c>
      <c r="F2165" t="s">
        <v>39</v>
      </c>
      <c r="G2165" t="s">
        <v>22</v>
      </c>
      <c r="H2165" t="s">
        <v>31</v>
      </c>
      <c r="I2165" t="s">
        <v>112</v>
      </c>
      <c r="J2165" t="s">
        <v>113</v>
      </c>
      <c r="K2165">
        <v>4</v>
      </c>
      <c r="L2165" s="2">
        <v>544.01</v>
      </c>
      <c r="M2165" s="3">
        <v>0.1</v>
      </c>
      <c r="N2165" s="2">
        <v>1958.44</v>
      </c>
      <c r="O2165" s="2">
        <v>1332.45</v>
      </c>
      <c r="P2165" s="2">
        <v>625.99</v>
      </c>
      <c r="Q2165" t="s">
        <v>26</v>
      </c>
    </row>
    <row r="2166" spans="1:17" x14ac:dyDescent="0.2">
      <c r="A2166" t="s">
        <v>2331</v>
      </c>
      <c r="B2166" s="1">
        <v>45921</v>
      </c>
      <c r="C2166" t="s">
        <v>18</v>
      </c>
      <c r="D2166" t="s">
        <v>28</v>
      </c>
      <c r="E2166" t="s">
        <v>170</v>
      </c>
      <c r="F2166" t="s">
        <v>21</v>
      </c>
      <c r="G2166" t="s">
        <v>22</v>
      </c>
      <c r="H2166" t="s">
        <v>31</v>
      </c>
      <c r="I2166" t="s">
        <v>112</v>
      </c>
      <c r="J2166" t="s">
        <v>113</v>
      </c>
      <c r="K2166">
        <v>1</v>
      </c>
      <c r="L2166" s="2">
        <v>259.64999999999998</v>
      </c>
      <c r="M2166" s="3">
        <v>0.05</v>
      </c>
      <c r="N2166" s="2">
        <v>246.67</v>
      </c>
      <c r="O2166" s="2">
        <v>137.87</v>
      </c>
      <c r="P2166" s="2">
        <v>108.8</v>
      </c>
      <c r="Q2166" t="s">
        <v>61</v>
      </c>
    </row>
    <row r="2167" spans="1:17" x14ac:dyDescent="0.2">
      <c r="A2167" t="s">
        <v>2332</v>
      </c>
      <c r="B2167" s="1">
        <v>45921</v>
      </c>
      <c r="C2167" t="s">
        <v>36</v>
      </c>
      <c r="D2167" t="s">
        <v>37</v>
      </c>
      <c r="E2167" t="s">
        <v>255</v>
      </c>
      <c r="F2167" t="s">
        <v>138</v>
      </c>
      <c r="G2167" t="s">
        <v>22</v>
      </c>
      <c r="H2167" t="s">
        <v>23</v>
      </c>
      <c r="I2167" t="s">
        <v>79</v>
      </c>
      <c r="J2167" t="s">
        <v>179</v>
      </c>
      <c r="K2167">
        <v>3</v>
      </c>
      <c r="L2167" s="2">
        <v>159.07</v>
      </c>
      <c r="M2167" s="3">
        <v>0.2</v>
      </c>
      <c r="N2167" s="2">
        <v>381.77</v>
      </c>
      <c r="O2167" s="2">
        <v>259.07</v>
      </c>
      <c r="P2167" s="2">
        <v>122.7</v>
      </c>
      <c r="Q2167" t="s">
        <v>26</v>
      </c>
    </row>
    <row r="2168" spans="1:17" x14ac:dyDescent="0.2">
      <c r="A2168" t="s">
        <v>2333</v>
      </c>
      <c r="B2168" s="1">
        <v>45921</v>
      </c>
      <c r="C2168" t="s">
        <v>36</v>
      </c>
      <c r="D2168" t="s">
        <v>73</v>
      </c>
      <c r="E2168" t="s">
        <v>212</v>
      </c>
      <c r="F2168" t="s">
        <v>60</v>
      </c>
      <c r="G2168" t="s">
        <v>75</v>
      </c>
      <c r="H2168" t="s">
        <v>31</v>
      </c>
      <c r="I2168" t="s">
        <v>112</v>
      </c>
      <c r="J2168" t="s">
        <v>113</v>
      </c>
      <c r="K2168">
        <v>2</v>
      </c>
      <c r="L2168" s="2">
        <v>348.58</v>
      </c>
      <c r="M2168" s="3">
        <v>0.1</v>
      </c>
      <c r="N2168" s="2">
        <v>627.44000000000005</v>
      </c>
      <c r="O2168" s="2">
        <v>367.87</v>
      </c>
      <c r="P2168" s="2">
        <v>259.57</v>
      </c>
      <c r="Q2168" t="s">
        <v>61</v>
      </c>
    </row>
    <row r="2169" spans="1:17" x14ac:dyDescent="0.2">
      <c r="A2169" t="s">
        <v>2334</v>
      </c>
      <c r="B2169" s="1">
        <v>45922</v>
      </c>
      <c r="C2169" t="s">
        <v>18</v>
      </c>
      <c r="D2169" t="s">
        <v>152</v>
      </c>
      <c r="E2169" t="s">
        <v>166</v>
      </c>
      <c r="F2169" t="s">
        <v>21</v>
      </c>
      <c r="G2169" t="s">
        <v>54</v>
      </c>
      <c r="H2169" t="s">
        <v>31</v>
      </c>
      <c r="I2169" t="s">
        <v>32</v>
      </c>
      <c r="J2169" t="s">
        <v>33</v>
      </c>
      <c r="K2169">
        <v>7</v>
      </c>
      <c r="L2169" s="2">
        <v>1360.36</v>
      </c>
      <c r="M2169" s="3">
        <v>0.05</v>
      </c>
      <c r="N2169" s="2">
        <v>9046.39</v>
      </c>
      <c r="O2169" s="2">
        <v>6516.04</v>
      </c>
      <c r="P2169" s="2">
        <v>2530.35</v>
      </c>
      <c r="Q2169" t="s">
        <v>34</v>
      </c>
    </row>
    <row r="2170" spans="1:17" x14ac:dyDescent="0.2">
      <c r="A2170" t="s">
        <v>2335</v>
      </c>
      <c r="B2170" s="1">
        <v>45922</v>
      </c>
      <c r="C2170" t="s">
        <v>18</v>
      </c>
      <c r="D2170" t="s">
        <v>152</v>
      </c>
      <c r="E2170" t="s">
        <v>185</v>
      </c>
      <c r="F2170" t="s">
        <v>69</v>
      </c>
      <c r="G2170" t="s">
        <v>22</v>
      </c>
      <c r="H2170" t="s">
        <v>23</v>
      </c>
      <c r="I2170" t="s">
        <v>55</v>
      </c>
      <c r="J2170" t="s">
        <v>102</v>
      </c>
      <c r="K2170">
        <v>8</v>
      </c>
      <c r="L2170" s="2">
        <v>17.73</v>
      </c>
      <c r="M2170" s="3">
        <v>0.05</v>
      </c>
      <c r="N2170" s="2">
        <v>134.75</v>
      </c>
      <c r="O2170" s="2">
        <v>89.59</v>
      </c>
      <c r="P2170" s="2">
        <v>45.16</v>
      </c>
      <c r="Q2170" t="s">
        <v>26</v>
      </c>
    </row>
    <row r="2171" spans="1:17" x14ac:dyDescent="0.2">
      <c r="A2171" t="s">
        <v>2336</v>
      </c>
      <c r="B2171" s="1">
        <v>45922</v>
      </c>
      <c r="C2171" t="s">
        <v>43</v>
      </c>
      <c r="D2171" t="s">
        <v>244</v>
      </c>
      <c r="E2171" t="s">
        <v>326</v>
      </c>
      <c r="F2171" t="s">
        <v>60</v>
      </c>
      <c r="G2171" t="s">
        <v>22</v>
      </c>
      <c r="H2171" t="s">
        <v>23</v>
      </c>
      <c r="I2171" t="s">
        <v>55</v>
      </c>
      <c r="J2171" t="s">
        <v>102</v>
      </c>
      <c r="K2171">
        <v>6</v>
      </c>
      <c r="L2171" s="2">
        <v>20.04</v>
      </c>
      <c r="M2171" s="3">
        <v>0</v>
      </c>
      <c r="N2171" s="2">
        <v>120.24</v>
      </c>
      <c r="O2171" s="2">
        <v>85.21</v>
      </c>
      <c r="P2171" s="2">
        <v>35.03</v>
      </c>
      <c r="Q2171" t="s">
        <v>61</v>
      </c>
    </row>
    <row r="2172" spans="1:17" x14ac:dyDescent="0.2">
      <c r="A2172" t="s">
        <v>2337</v>
      </c>
      <c r="B2172" s="1">
        <v>45922</v>
      </c>
      <c r="C2172" t="s">
        <v>36</v>
      </c>
      <c r="D2172" t="s">
        <v>73</v>
      </c>
      <c r="E2172" t="s">
        <v>74</v>
      </c>
      <c r="F2172" t="s">
        <v>30</v>
      </c>
      <c r="G2172" t="s">
        <v>54</v>
      </c>
      <c r="H2172" t="s">
        <v>31</v>
      </c>
      <c r="I2172" t="s">
        <v>112</v>
      </c>
      <c r="J2172" t="s">
        <v>176</v>
      </c>
      <c r="K2172">
        <v>7</v>
      </c>
      <c r="L2172" s="2">
        <v>515.28</v>
      </c>
      <c r="M2172" s="3">
        <v>0.05</v>
      </c>
      <c r="N2172" s="2">
        <v>3426.61</v>
      </c>
      <c r="O2172" s="2">
        <v>2078.84</v>
      </c>
      <c r="P2172" s="2">
        <v>1347.77</v>
      </c>
      <c r="Q2172" t="s">
        <v>34</v>
      </c>
    </row>
    <row r="2173" spans="1:17" x14ac:dyDescent="0.2">
      <c r="A2173" t="s">
        <v>2338</v>
      </c>
      <c r="B2173" s="1">
        <v>45922</v>
      </c>
      <c r="C2173" t="s">
        <v>43</v>
      </c>
      <c r="D2173" t="s">
        <v>51</v>
      </c>
      <c r="E2173" t="s">
        <v>59</v>
      </c>
      <c r="F2173" t="s">
        <v>69</v>
      </c>
      <c r="G2173" t="s">
        <v>22</v>
      </c>
      <c r="H2173" t="s">
        <v>47</v>
      </c>
      <c r="I2173" t="s">
        <v>48</v>
      </c>
      <c r="J2173" t="s">
        <v>49</v>
      </c>
      <c r="K2173">
        <v>8</v>
      </c>
      <c r="L2173" s="2">
        <v>530.74</v>
      </c>
      <c r="M2173" s="3">
        <v>0</v>
      </c>
      <c r="N2173" s="2">
        <v>4245.92</v>
      </c>
      <c r="O2173" s="2">
        <v>2873.38</v>
      </c>
      <c r="P2173" s="2">
        <v>1372.54</v>
      </c>
      <c r="Q2173" t="s">
        <v>61</v>
      </c>
    </row>
    <row r="2174" spans="1:17" x14ac:dyDescent="0.2">
      <c r="A2174" t="s">
        <v>2339</v>
      </c>
      <c r="B2174" s="1">
        <v>45922</v>
      </c>
      <c r="C2174" t="s">
        <v>36</v>
      </c>
      <c r="D2174" t="s">
        <v>67</v>
      </c>
      <c r="E2174" t="s">
        <v>323</v>
      </c>
      <c r="F2174" t="s">
        <v>138</v>
      </c>
      <c r="G2174" t="s">
        <v>54</v>
      </c>
      <c r="H2174" t="s">
        <v>31</v>
      </c>
      <c r="I2174" t="s">
        <v>64</v>
      </c>
      <c r="J2174" t="s">
        <v>126</v>
      </c>
      <c r="K2174">
        <v>3</v>
      </c>
      <c r="L2174" s="2">
        <v>165.73</v>
      </c>
      <c r="M2174" s="3">
        <v>0</v>
      </c>
      <c r="N2174" s="2">
        <v>497.19</v>
      </c>
      <c r="O2174" s="2">
        <v>275.12</v>
      </c>
      <c r="P2174" s="2">
        <v>222.07</v>
      </c>
      <c r="Q2174" t="s">
        <v>61</v>
      </c>
    </row>
    <row r="2175" spans="1:17" x14ac:dyDescent="0.2">
      <c r="A2175" t="s">
        <v>2340</v>
      </c>
      <c r="B2175" s="1">
        <v>45923</v>
      </c>
      <c r="C2175" t="s">
        <v>77</v>
      </c>
      <c r="D2175" t="s">
        <v>149</v>
      </c>
      <c r="E2175" t="s">
        <v>150</v>
      </c>
      <c r="F2175" t="s">
        <v>71</v>
      </c>
      <c r="G2175" t="s">
        <v>22</v>
      </c>
      <c r="H2175" t="s">
        <v>31</v>
      </c>
      <c r="I2175" t="s">
        <v>32</v>
      </c>
      <c r="J2175" t="s">
        <v>33</v>
      </c>
      <c r="K2175">
        <v>7</v>
      </c>
      <c r="L2175" s="2">
        <v>877.58</v>
      </c>
      <c r="M2175" s="3">
        <v>0</v>
      </c>
      <c r="N2175" s="2">
        <v>6143.06</v>
      </c>
      <c r="O2175" s="2">
        <v>3595.14</v>
      </c>
      <c r="P2175" s="2">
        <v>2547.92</v>
      </c>
      <c r="Q2175" t="s">
        <v>26</v>
      </c>
    </row>
    <row r="2176" spans="1:17" x14ac:dyDescent="0.2">
      <c r="A2176" t="s">
        <v>2341</v>
      </c>
      <c r="B2176" s="1">
        <v>45923</v>
      </c>
      <c r="C2176" t="s">
        <v>18</v>
      </c>
      <c r="D2176" t="s">
        <v>28</v>
      </c>
      <c r="E2176" t="s">
        <v>170</v>
      </c>
      <c r="F2176" t="s">
        <v>71</v>
      </c>
      <c r="G2176" t="s">
        <v>22</v>
      </c>
      <c r="H2176" t="s">
        <v>31</v>
      </c>
      <c r="I2176" t="s">
        <v>64</v>
      </c>
      <c r="J2176" t="s">
        <v>252</v>
      </c>
      <c r="K2176">
        <v>4</v>
      </c>
      <c r="L2176" s="2">
        <v>145.63</v>
      </c>
      <c r="M2176" s="3">
        <v>0.05</v>
      </c>
      <c r="N2176" s="2">
        <v>553.39</v>
      </c>
      <c r="O2176" s="2">
        <v>373.27</v>
      </c>
      <c r="P2176" s="2">
        <v>180.12</v>
      </c>
      <c r="Q2176" t="s">
        <v>34</v>
      </c>
    </row>
    <row r="2177" spans="1:17" x14ac:dyDescent="0.2">
      <c r="A2177" t="s">
        <v>2342</v>
      </c>
      <c r="B2177" s="1">
        <v>45923</v>
      </c>
      <c r="C2177" t="s">
        <v>18</v>
      </c>
      <c r="D2177" t="s">
        <v>86</v>
      </c>
      <c r="E2177" t="s">
        <v>92</v>
      </c>
      <c r="F2177" t="s">
        <v>53</v>
      </c>
      <c r="G2177" t="s">
        <v>75</v>
      </c>
      <c r="H2177" t="s">
        <v>47</v>
      </c>
      <c r="I2177" t="s">
        <v>48</v>
      </c>
      <c r="J2177" t="s">
        <v>93</v>
      </c>
      <c r="K2177">
        <v>2</v>
      </c>
      <c r="L2177" s="2">
        <v>596.28</v>
      </c>
      <c r="M2177" s="3">
        <v>0.1</v>
      </c>
      <c r="N2177" s="2">
        <v>1073.3</v>
      </c>
      <c r="O2177" s="2">
        <v>626.83000000000004</v>
      </c>
      <c r="P2177" s="2">
        <v>446.47</v>
      </c>
      <c r="Q2177" t="s">
        <v>34</v>
      </c>
    </row>
    <row r="2178" spans="1:17" x14ac:dyDescent="0.2">
      <c r="A2178" t="s">
        <v>2343</v>
      </c>
      <c r="B2178" s="1">
        <v>45923</v>
      </c>
      <c r="C2178" t="s">
        <v>43</v>
      </c>
      <c r="D2178" t="s">
        <v>161</v>
      </c>
      <c r="E2178" t="s">
        <v>162</v>
      </c>
      <c r="F2178" t="s">
        <v>39</v>
      </c>
      <c r="G2178" t="s">
        <v>22</v>
      </c>
      <c r="H2178" t="s">
        <v>47</v>
      </c>
      <c r="I2178" t="s">
        <v>141</v>
      </c>
      <c r="J2178" t="s">
        <v>372</v>
      </c>
      <c r="K2178">
        <v>5</v>
      </c>
      <c r="L2178" s="2">
        <v>406.44</v>
      </c>
      <c r="M2178" s="3">
        <v>0.2</v>
      </c>
      <c r="N2178" s="2">
        <v>1625.76</v>
      </c>
      <c r="O2178" s="2">
        <v>1271.04</v>
      </c>
      <c r="P2178" s="2">
        <v>354.72</v>
      </c>
      <c r="Q2178" t="s">
        <v>26</v>
      </c>
    </row>
    <row r="2179" spans="1:17" x14ac:dyDescent="0.2">
      <c r="A2179" t="s">
        <v>2344</v>
      </c>
      <c r="B2179" s="1">
        <v>45924</v>
      </c>
      <c r="C2179" t="s">
        <v>77</v>
      </c>
      <c r="D2179" t="s">
        <v>149</v>
      </c>
      <c r="E2179" t="s">
        <v>309</v>
      </c>
      <c r="F2179" t="s">
        <v>138</v>
      </c>
      <c r="G2179" t="s">
        <v>54</v>
      </c>
      <c r="H2179" t="s">
        <v>47</v>
      </c>
      <c r="I2179" t="s">
        <v>97</v>
      </c>
      <c r="J2179" t="s">
        <v>168</v>
      </c>
      <c r="K2179">
        <v>6</v>
      </c>
      <c r="L2179" s="2">
        <v>664.56</v>
      </c>
      <c r="M2179" s="3">
        <v>0.1</v>
      </c>
      <c r="N2179" s="2">
        <v>3588.62</v>
      </c>
      <c r="O2179" s="2">
        <v>2746.39</v>
      </c>
      <c r="P2179" s="2">
        <v>842.23</v>
      </c>
      <c r="Q2179" t="s">
        <v>26</v>
      </c>
    </row>
    <row r="2180" spans="1:17" x14ac:dyDescent="0.2">
      <c r="A2180" t="s">
        <v>2345</v>
      </c>
      <c r="B2180" s="1">
        <v>45924</v>
      </c>
      <c r="C2180" t="s">
        <v>18</v>
      </c>
      <c r="D2180" t="s">
        <v>86</v>
      </c>
      <c r="E2180" t="s">
        <v>140</v>
      </c>
      <c r="F2180" t="s">
        <v>39</v>
      </c>
      <c r="G2180" t="s">
        <v>75</v>
      </c>
      <c r="H2180" t="s">
        <v>31</v>
      </c>
      <c r="I2180" t="s">
        <v>40</v>
      </c>
      <c r="J2180" t="s">
        <v>216</v>
      </c>
      <c r="K2180">
        <v>8</v>
      </c>
      <c r="L2180" s="2">
        <v>93.11</v>
      </c>
      <c r="M2180" s="3">
        <v>0.15</v>
      </c>
      <c r="N2180" s="2">
        <v>633.15</v>
      </c>
      <c r="O2180" s="2">
        <v>357.03</v>
      </c>
      <c r="P2180" s="2">
        <v>276.12</v>
      </c>
      <c r="Q2180" t="s">
        <v>34</v>
      </c>
    </row>
    <row r="2181" spans="1:17" x14ac:dyDescent="0.2">
      <c r="A2181" t="s">
        <v>2346</v>
      </c>
      <c r="B2181" s="1">
        <v>45924</v>
      </c>
      <c r="C2181" t="s">
        <v>18</v>
      </c>
      <c r="D2181" t="s">
        <v>86</v>
      </c>
      <c r="E2181" t="s">
        <v>140</v>
      </c>
      <c r="F2181" t="s">
        <v>39</v>
      </c>
      <c r="G2181" t="s">
        <v>75</v>
      </c>
      <c r="H2181" t="s">
        <v>31</v>
      </c>
      <c r="I2181" t="s">
        <v>40</v>
      </c>
      <c r="J2181" t="s">
        <v>41</v>
      </c>
      <c r="K2181">
        <v>2</v>
      </c>
      <c r="L2181" s="2">
        <v>85.69</v>
      </c>
      <c r="M2181" s="3">
        <v>0.15</v>
      </c>
      <c r="N2181" s="2">
        <v>145.66999999999999</v>
      </c>
      <c r="O2181" s="2">
        <v>89.92</v>
      </c>
      <c r="P2181" s="2">
        <v>55.75</v>
      </c>
      <c r="Q2181" t="s">
        <v>57</v>
      </c>
    </row>
    <row r="2182" spans="1:17" x14ac:dyDescent="0.2">
      <c r="A2182" t="s">
        <v>2347</v>
      </c>
      <c r="B2182" s="1">
        <v>45924</v>
      </c>
      <c r="C2182" t="s">
        <v>77</v>
      </c>
      <c r="D2182" t="s">
        <v>95</v>
      </c>
      <c r="E2182" t="s">
        <v>367</v>
      </c>
      <c r="F2182" t="s">
        <v>39</v>
      </c>
      <c r="G2182" t="s">
        <v>75</v>
      </c>
      <c r="H2182" t="s">
        <v>31</v>
      </c>
      <c r="I2182" t="s">
        <v>32</v>
      </c>
      <c r="J2182" t="s">
        <v>258</v>
      </c>
      <c r="K2182">
        <v>7</v>
      </c>
      <c r="L2182" s="2">
        <v>749.47</v>
      </c>
      <c r="M2182" s="3">
        <v>0.1</v>
      </c>
      <c r="N2182" s="2">
        <v>4721.66</v>
      </c>
      <c r="O2182" s="2">
        <v>3549.23</v>
      </c>
      <c r="P2182" s="2">
        <v>1172.43</v>
      </c>
      <c r="Q2182" t="s">
        <v>34</v>
      </c>
    </row>
    <row r="2183" spans="1:17" x14ac:dyDescent="0.2">
      <c r="A2183" t="s">
        <v>2348</v>
      </c>
      <c r="B2183" s="1">
        <v>45924</v>
      </c>
      <c r="C2183" t="s">
        <v>77</v>
      </c>
      <c r="D2183" t="s">
        <v>95</v>
      </c>
      <c r="E2183" t="s">
        <v>300</v>
      </c>
      <c r="F2183" t="s">
        <v>69</v>
      </c>
      <c r="G2183" t="s">
        <v>75</v>
      </c>
      <c r="H2183" t="s">
        <v>23</v>
      </c>
      <c r="I2183" t="s">
        <v>79</v>
      </c>
      <c r="J2183" t="s">
        <v>233</v>
      </c>
      <c r="K2183">
        <v>2</v>
      </c>
      <c r="L2183" s="2">
        <v>267.89999999999998</v>
      </c>
      <c r="M2183" s="3">
        <v>0.15</v>
      </c>
      <c r="N2183" s="2">
        <v>455.43</v>
      </c>
      <c r="O2183" s="2">
        <v>356.59</v>
      </c>
      <c r="P2183" s="2">
        <v>98.84</v>
      </c>
      <c r="Q2183" t="s">
        <v>61</v>
      </c>
    </row>
    <row r="2184" spans="1:17" x14ac:dyDescent="0.2">
      <c r="A2184" t="s">
        <v>2349</v>
      </c>
      <c r="B2184" s="1">
        <v>45925</v>
      </c>
      <c r="C2184" t="s">
        <v>18</v>
      </c>
      <c r="D2184" t="s">
        <v>19</v>
      </c>
      <c r="E2184" t="s">
        <v>20</v>
      </c>
      <c r="F2184" t="s">
        <v>30</v>
      </c>
      <c r="G2184" t="s">
        <v>22</v>
      </c>
      <c r="H2184" t="s">
        <v>47</v>
      </c>
      <c r="I2184" t="s">
        <v>48</v>
      </c>
      <c r="J2184" t="s">
        <v>164</v>
      </c>
      <c r="K2184">
        <v>3</v>
      </c>
      <c r="L2184" s="2">
        <v>705.41</v>
      </c>
      <c r="M2184" s="3">
        <v>0.05</v>
      </c>
      <c r="N2184" s="2">
        <v>2010.42</v>
      </c>
      <c r="O2184" s="2">
        <v>1348.5</v>
      </c>
      <c r="P2184" s="2">
        <v>661.92</v>
      </c>
      <c r="Q2184" t="s">
        <v>57</v>
      </c>
    </row>
    <row r="2185" spans="1:17" x14ac:dyDescent="0.2">
      <c r="A2185" t="s">
        <v>2350</v>
      </c>
      <c r="B2185" s="1">
        <v>45925</v>
      </c>
      <c r="C2185" t="s">
        <v>77</v>
      </c>
      <c r="D2185" t="s">
        <v>95</v>
      </c>
      <c r="E2185" t="s">
        <v>367</v>
      </c>
      <c r="F2185" t="s">
        <v>39</v>
      </c>
      <c r="G2185" t="s">
        <v>22</v>
      </c>
      <c r="H2185" t="s">
        <v>23</v>
      </c>
      <c r="I2185" t="s">
        <v>24</v>
      </c>
      <c r="J2185" t="s">
        <v>25</v>
      </c>
      <c r="K2185">
        <v>7</v>
      </c>
      <c r="L2185" s="2">
        <v>6.61</v>
      </c>
      <c r="M2185" s="3">
        <v>0.1</v>
      </c>
      <c r="N2185" s="2">
        <v>41.64</v>
      </c>
      <c r="O2185" s="2">
        <v>33.799999999999997</v>
      </c>
      <c r="P2185" s="2">
        <v>7.84</v>
      </c>
      <c r="Q2185" t="s">
        <v>34</v>
      </c>
    </row>
    <row r="2186" spans="1:17" x14ac:dyDescent="0.2">
      <c r="A2186" t="s">
        <v>2351</v>
      </c>
      <c r="B2186" s="1">
        <v>45925</v>
      </c>
      <c r="C2186" t="s">
        <v>36</v>
      </c>
      <c r="D2186" t="s">
        <v>144</v>
      </c>
      <c r="E2186" t="s">
        <v>214</v>
      </c>
      <c r="F2186" t="s">
        <v>21</v>
      </c>
      <c r="G2186" t="s">
        <v>22</v>
      </c>
      <c r="H2186" t="s">
        <v>23</v>
      </c>
      <c r="I2186" t="s">
        <v>79</v>
      </c>
      <c r="J2186" t="s">
        <v>179</v>
      </c>
      <c r="K2186">
        <v>10</v>
      </c>
      <c r="L2186" s="2">
        <v>159.51</v>
      </c>
      <c r="M2186" s="3">
        <v>0</v>
      </c>
      <c r="N2186" s="2">
        <v>1595.1</v>
      </c>
      <c r="O2186" s="2">
        <v>986.24</v>
      </c>
      <c r="P2186" s="2">
        <v>608.86</v>
      </c>
      <c r="Q2186" t="s">
        <v>26</v>
      </c>
    </row>
    <row r="2187" spans="1:17" x14ac:dyDescent="0.2">
      <c r="A2187" t="s">
        <v>2352</v>
      </c>
      <c r="B2187" s="1">
        <v>45925</v>
      </c>
      <c r="C2187" t="s">
        <v>77</v>
      </c>
      <c r="D2187" t="s">
        <v>78</v>
      </c>
      <c r="E2187" t="s">
        <v>52</v>
      </c>
      <c r="F2187" t="s">
        <v>71</v>
      </c>
      <c r="G2187" t="s">
        <v>22</v>
      </c>
      <c r="H2187" t="s">
        <v>31</v>
      </c>
      <c r="I2187" t="s">
        <v>32</v>
      </c>
      <c r="J2187" t="s">
        <v>33</v>
      </c>
      <c r="K2187">
        <v>6</v>
      </c>
      <c r="L2187" s="2">
        <v>1670.21</v>
      </c>
      <c r="M2187" s="3">
        <v>0.2</v>
      </c>
      <c r="N2187" s="2">
        <v>8017.01</v>
      </c>
      <c r="O2187" s="2">
        <v>5793.94</v>
      </c>
      <c r="P2187" s="2">
        <v>2223.0700000000002</v>
      </c>
      <c r="Q2187" t="s">
        <v>57</v>
      </c>
    </row>
    <row r="2188" spans="1:17" x14ac:dyDescent="0.2">
      <c r="A2188" t="s">
        <v>2353</v>
      </c>
      <c r="B2188" s="1">
        <v>45925</v>
      </c>
      <c r="C2188" t="s">
        <v>77</v>
      </c>
      <c r="D2188" t="s">
        <v>106</v>
      </c>
      <c r="E2188" t="s">
        <v>303</v>
      </c>
      <c r="F2188" t="s">
        <v>39</v>
      </c>
      <c r="G2188" t="s">
        <v>22</v>
      </c>
      <c r="H2188" t="s">
        <v>47</v>
      </c>
      <c r="I2188" t="s">
        <v>89</v>
      </c>
      <c r="J2188" t="s">
        <v>204</v>
      </c>
      <c r="K2188">
        <v>3</v>
      </c>
      <c r="L2188" s="2">
        <v>343.46</v>
      </c>
      <c r="M2188" s="3">
        <v>0.1</v>
      </c>
      <c r="N2188" s="2">
        <v>927.34</v>
      </c>
      <c r="O2188" s="2">
        <v>615.80999999999995</v>
      </c>
      <c r="P2188" s="2">
        <v>311.52999999999997</v>
      </c>
      <c r="Q2188" t="s">
        <v>26</v>
      </c>
    </row>
    <row r="2189" spans="1:17" x14ac:dyDescent="0.2">
      <c r="A2189" t="s">
        <v>2354</v>
      </c>
      <c r="B2189" s="1">
        <v>45925</v>
      </c>
      <c r="C2189" t="s">
        <v>77</v>
      </c>
      <c r="D2189" t="s">
        <v>95</v>
      </c>
      <c r="E2189" t="s">
        <v>367</v>
      </c>
      <c r="F2189" t="s">
        <v>30</v>
      </c>
      <c r="G2189" t="s">
        <v>22</v>
      </c>
      <c r="H2189" t="s">
        <v>23</v>
      </c>
      <c r="I2189" t="s">
        <v>79</v>
      </c>
      <c r="J2189" t="s">
        <v>233</v>
      </c>
      <c r="K2189">
        <v>10</v>
      </c>
      <c r="L2189" s="2">
        <v>408.79</v>
      </c>
      <c r="M2189" s="3">
        <v>0.15</v>
      </c>
      <c r="N2189" s="2">
        <v>3474.72</v>
      </c>
      <c r="O2189" s="2">
        <v>2279.36</v>
      </c>
      <c r="P2189" s="2">
        <v>1195.3599999999999</v>
      </c>
      <c r="Q2189" t="s">
        <v>26</v>
      </c>
    </row>
    <row r="2190" spans="1:17" x14ac:dyDescent="0.2">
      <c r="A2190" t="s">
        <v>2355</v>
      </c>
      <c r="B2190" s="1">
        <v>45926</v>
      </c>
      <c r="C2190" t="s">
        <v>77</v>
      </c>
      <c r="D2190" t="s">
        <v>95</v>
      </c>
      <c r="E2190" t="s">
        <v>300</v>
      </c>
      <c r="F2190" t="s">
        <v>130</v>
      </c>
      <c r="G2190" t="s">
        <v>22</v>
      </c>
      <c r="H2190" t="s">
        <v>47</v>
      </c>
      <c r="I2190" t="s">
        <v>89</v>
      </c>
      <c r="J2190" t="s">
        <v>204</v>
      </c>
      <c r="K2190">
        <v>8</v>
      </c>
      <c r="L2190" s="2">
        <v>255.56</v>
      </c>
      <c r="M2190" s="3">
        <v>0.05</v>
      </c>
      <c r="N2190" s="2">
        <v>1942.26</v>
      </c>
      <c r="O2190" s="2">
        <v>1372.15</v>
      </c>
      <c r="P2190" s="2">
        <v>570.11</v>
      </c>
      <c r="Q2190" t="s">
        <v>57</v>
      </c>
    </row>
    <row r="2191" spans="1:17" x14ac:dyDescent="0.2">
      <c r="A2191" t="s">
        <v>2356</v>
      </c>
      <c r="B2191" s="1">
        <v>45926</v>
      </c>
      <c r="C2191" t="s">
        <v>18</v>
      </c>
      <c r="D2191" t="s">
        <v>19</v>
      </c>
      <c r="E2191" t="s">
        <v>20</v>
      </c>
      <c r="F2191" t="s">
        <v>46</v>
      </c>
      <c r="G2191" t="s">
        <v>75</v>
      </c>
      <c r="H2191" t="s">
        <v>23</v>
      </c>
      <c r="I2191" t="s">
        <v>83</v>
      </c>
      <c r="J2191" t="s">
        <v>84</v>
      </c>
      <c r="K2191">
        <v>5</v>
      </c>
      <c r="L2191" s="2">
        <v>8.16</v>
      </c>
      <c r="M2191" s="3">
        <v>0.1</v>
      </c>
      <c r="N2191" s="2">
        <v>36.72</v>
      </c>
      <c r="O2191" s="2">
        <v>25.66</v>
      </c>
      <c r="P2191" s="2">
        <v>11.06</v>
      </c>
      <c r="Q2191" t="s">
        <v>34</v>
      </c>
    </row>
    <row r="2192" spans="1:17" x14ac:dyDescent="0.2">
      <c r="A2192" t="s">
        <v>2357</v>
      </c>
      <c r="B2192" s="1">
        <v>45926</v>
      </c>
      <c r="C2192" t="s">
        <v>43</v>
      </c>
      <c r="D2192" t="s">
        <v>208</v>
      </c>
      <c r="E2192" t="s">
        <v>209</v>
      </c>
      <c r="F2192" t="s">
        <v>46</v>
      </c>
      <c r="G2192" t="s">
        <v>22</v>
      </c>
      <c r="H2192" t="s">
        <v>31</v>
      </c>
      <c r="I2192" t="s">
        <v>64</v>
      </c>
      <c r="J2192" t="s">
        <v>126</v>
      </c>
      <c r="K2192">
        <v>10</v>
      </c>
      <c r="L2192" s="2">
        <v>30.54</v>
      </c>
      <c r="M2192" s="3">
        <v>0</v>
      </c>
      <c r="N2192" s="2">
        <v>305.39999999999998</v>
      </c>
      <c r="O2192" s="2">
        <v>205.03</v>
      </c>
      <c r="P2192" s="2">
        <v>100.37</v>
      </c>
      <c r="Q2192" t="s">
        <v>34</v>
      </c>
    </row>
    <row r="2193" spans="1:17" x14ac:dyDescent="0.2">
      <c r="A2193" t="s">
        <v>2358</v>
      </c>
      <c r="B2193" s="1">
        <v>45927</v>
      </c>
      <c r="C2193" t="s">
        <v>77</v>
      </c>
      <c r="D2193" t="s">
        <v>149</v>
      </c>
      <c r="E2193" t="s">
        <v>309</v>
      </c>
      <c r="F2193" t="s">
        <v>53</v>
      </c>
      <c r="G2193" t="s">
        <v>75</v>
      </c>
      <c r="H2193" t="s">
        <v>23</v>
      </c>
      <c r="I2193" t="s">
        <v>24</v>
      </c>
      <c r="J2193" t="s">
        <v>25</v>
      </c>
      <c r="K2193">
        <v>4</v>
      </c>
      <c r="L2193" s="2">
        <v>28.36</v>
      </c>
      <c r="M2193" s="3">
        <v>0.1</v>
      </c>
      <c r="N2193" s="2">
        <v>102.1</v>
      </c>
      <c r="O2193" s="2">
        <v>78</v>
      </c>
      <c r="P2193" s="2">
        <v>24.1</v>
      </c>
      <c r="Q2193" t="s">
        <v>57</v>
      </c>
    </row>
    <row r="2194" spans="1:17" x14ac:dyDescent="0.2">
      <c r="A2194" t="s">
        <v>2359</v>
      </c>
      <c r="B2194" s="1">
        <v>45927</v>
      </c>
      <c r="C2194" t="s">
        <v>77</v>
      </c>
      <c r="D2194" t="s">
        <v>95</v>
      </c>
      <c r="E2194" t="s">
        <v>367</v>
      </c>
      <c r="F2194" t="s">
        <v>69</v>
      </c>
      <c r="G2194" t="s">
        <v>75</v>
      </c>
      <c r="H2194" t="s">
        <v>47</v>
      </c>
      <c r="I2194" t="s">
        <v>89</v>
      </c>
      <c r="J2194" t="s">
        <v>90</v>
      </c>
      <c r="K2194">
        <v>9</v>
      </c>
      <c r="L2194" s="2">
        <v>489.61</v>
      </c>
      <c r="M2194" s="3">
        <v>0</v>
      </c>
      <c r="N2194" s="2">
        <v>4406.49</v>
      </c>
      <c r="O2194" s="2">
        <v>2768.27</v>
      </c>
      <c r="P2194" s="2">
        <v>1638.22</v>
      </c>
      <c r="Q2194" t="s">
        <v>26</v>
      </c>
    </row>
    <row r="2195" spans="1:17" x14ac:dyDescent="0.2">
      <c r="A2195" t="s">
        <v>2360</v>
      </c>
      <c r="B2195" s="1">
        <v>45927</v>
      </c>
      <c r="C2195" t="s">
        <v>43</v>
      </c>
      <c r="D2195" t="s">
        <v>161</v>
      </c>
      <c r="E2195" t="s">
        <v>162</v>
      </c>
      <c r="F2195" t="s">
        <v>53</v>
      </c>
      <c r="G2195" t="s">
        <v>75</v>
      </c>
      <c r="H2195" t="s">
        <v>23</v>
      </c>
      <c r="I2195" t="s">
        <v>79</v>
      </c>
      <c r="J2195" t="s">
        <v>80</v>
      </c>
      <c r="K2195">
        <v>5</v>
      </c>
      <c r="L2195" s="2">
        <v>486.45</v>
      </c>
      <c r="M2195" s="3">
        <v>0.05</v>
      </c>
      <c r="N2195" s="2">
        <v>2310.64</v>
      </c>
      <c r="O2195" s="2">
        <v>1747.68</v>
      </c>
      <c r="P2195" s="2">
        <v>562.96</v>
      </c>
      <c r="Q2195" t="s">
        <v>34</v>
      </c>
    </row>
    <row r="2196" spans="1:17" x14ac:dyDescent="0.2">
      <c r="A2196" t="s">
        <v>2361</v>
      </c>
      <c r="B2196" s="1">
        <v>45927</v>
      </c>
      <c r="C2196" t="s">
        <v>43</v>
      </c>
      <c r="D2196" t="s">
        <v>161</v>
      </c>
      <c r="E2196" t="s">
        <v>172</v>
      </c>
      <c r="F2196" t="s">
        <v>46</v>
      </c>
      <c r="G2196" t="s">
        <v>22</v>
      </c>
      <c r="H2196" t="s">
        <v>31</v>
      </c>
      <c r="I2196" t="s">
        <v>112</v>
      </c>
      <c r="J2196" t="s">
        <v>113</v>
      </c>
      <c r="K2196">
        <v>6</v>
      </c>
      <c r="L2196" s="2">
        <v>222.07</v>
      </c>
      <c r="M2196" s="3">
        <v>0.1</v>
      </c>
      <c r="N2196" s="2">
        <v>1199.18</v>
      </c>
      <c r="O2196" s="2">
        <v>666.18</v>
      </c>
      <c r="P2196" s="2">
        <v>533</v>
      </c>
      <c r="Q2196" t="s">
        <v>57</v>
      </c>
    </row>
    <row r="2197" spans="1:17" x14ac:dyDescent="0.2">
      <c r="A2197" t="s">
        <v>2362</v>
      </c>
      <c r="B2197" s="1">
        <v>45927</v>
      </c>
      <c r="C2197" t="s">
        <v>43</v>
      </c>
      <c r="D2197" t="s">
        <v>161</v>
      </c>
      <c r="E2197" t="s">
        <v>418</v>
      </c>
      <c r="F2197" t="s">
        <v>21</v>
      </c>
      <c r="G2197" t="s">
        <v>22</v>
      </c>
      <c r="H2197" t="s">
        <v>31</v>
      </c>
      <c r="I2197" t="s">
        <v>64</v>
      </c>
      <c r="J2197" t="s">
        <v>252</v>
      </c>
      <c r="K2197">
        <v>4</v>
      </c>
      <c r="L2197" s="2">
        <v>36.5</v>
      </c>
      <c r="M2197" s="3">
        <v>0.1</v>
      </c>
      <c r="N2197" s="2">
        <v>131.4</v>
      </c>
      <c r="O2197" s="2">
        <v>105.48</v>
      </c>
      <c r="P2197" s="2">
        <v>25.92</v>
      </c>
      <c r="Q2197" t="s">
        <v>26</v>
      </c>
    </row>
    <row r="2198" spans="1:17" x14ac:dyDescent="0.2">
      <c r="A2198" t="s">
        <v>2363</v>
      </c>
      <c r="B2198" s="1">
        <v>45927</v>
      </c>
      <c r="C2198" t="s">
        <v>43</v>
      </c>
      <c r="D2198" t="s">
        <v>244</v>
      </c>
      <c r="E2198" t="s">
        <v>245</v>
      </c>
      <c r="F2198" t="s">
        <v>21</v>
      </c>
      <c r="G2198" t="s">
        <v>54</v>
      </c>
      <c r="H2198" t="s">
        <v>47</v>
      </c>
      <c r="I2198" t="s">
        <v>97</v>
      </c>
      <c r="J2198" t="s">
        <v>168</v>
      </c>
      <c r="K2198">
        <v>8</v>
      </c>
      <c r="L2198" s="2">
        <v>561.46</v>
      </c>
      <c r="M2198" s="3">
        <v>0</v>
      </c>
      <c r="N2198" s="2">
        <v>4491.68</v>
      </c>
      <c r="O2198" s="2">
        <v>2980.51</v>
      </c>
      <c r="P2198" s="2">
        <v>1511.17</v>
      </c>
      <c r="Q2198" t="s">
        <v>61</v>
      </c>
    </row>
    <row r="2199" spans="1:17" x14ac:dyDescent="0.2">
      <c r="A2199" t="s">
        <v>2364</v>
      </c>
      <c r="B2199" s="1">
        <v>45927</v>
      </c>
      <c r="C2199" t="s">
        <v>43</v>
      </c>
      <c r="D2199" t="s">
        <v>51</v>
      </c>
      <c r="E2199" t="s">
        <v>63</v>
      </c>
      <c r="F2199" t="s">
        <v>21</v>
      </c>
      <c r="G2199" t="s">
        <v>22</v>
      </c>
      <c r="H2199" t="s">
        <v>23</v>
      </c>
      <c r="I2199" t="s">
        <v>24</v>
      </c>
      <c r="J2199" t="s">
        <v>108</v>
      </c>
      <c r="K2199">
        <v>4</v>
      </c>
      <c r="L2199" s="2">
        <v>15.2</v>
      </c>
      <c r="M2199" s="3">
        <v>0.1</v>
      </c>
      <c r="N2199" s="2">
        <v>54.72</v>
      </c>
      <c r="O2199" s="2">
        <v>32.299999999999997</v>
      </c>
      <c r="P2199" s="2">
        <v>22.42</v>
      </c>
      <c r="Q2199" t="s">
        <v>26</v>
      </c>
    </row>
    <row r="2200" spans="1:17" x14ac:dyDescent="0.2">
      <c r="A2200" t="s">
        <v>2365</v>
      </c>
      <c r="B2200" s="1">
        <v>45927</v>
      </c>
      <c r="C2200" t="s">
        <v>18</v>
      </c>
      <c r="D2200" t="s">
        <v>28</v>
      </c>
      <c r="E2200" t="s">
        <v>29</v>
      </c>
      <c r="F2200" t="s">
        <v>69</v>
      </c>
      <c r="G2200" t="s">
        <v>22</v>
      </c>
      <c r="H2200" t="s">
        <v>23</v>
      </c>
      <c r="I2200" t="s">
        <v>79</v>
      </c>
      <c r="J2200" t="s">
        <v>80</v>
      </c>
      <c r="K2200">
        <v>8</v>
      </c>
      <c r="L2200" s="2">
        <v>490.72</v>
      </c>
      <c r="M2200" s="3">
        <v>0.1</v>
      </c>
      <c r="N2200" s="2">
        <v>3533.18</v>
      </c>
      <c r="O2200" s="2">
        <v>2256.29</v>
      </c>
      <c r="P2200" s="2">
        <v>1276.8900000000001</v>
      </c>
      <c r="Q2200" t="s">
        <v>57</v>
      </c>
    </row>
    <row r="2201" spans="1:17" x14ac:dyDescent="0.2">
      <c r="A2201" t="s">
        <v>2366</v>
      </c>
      <c r="B2201" s="1">
        <v>45927</v>
      </c>
      <c r="C2201" t="s">
        <v>36</v>
      </c>
      <c r="D2201" t="s">
        <v>67</v>
      </c>
      <c r="E2201" t="s">
        <v>68</v>
      </c>
      <c r="F2201" t="s">
        <v>71</v>
      </c>
      <c r="G2201" t="s">
        <v>22</v>
      </c>
      <c r="H2201" t="s">
        <v>31</v>
      </c>
      <c r="I2201" t="s">
        <v>40</v>
      </c>
      <c r="J2201" t="s">
        <v>216</v>
      </c>
      <c r="K2201">
        <v>6</v>
      </c>
      <c r="L2201" s="2">
        <v>131.41</v>
      </c>
      <c r="M2201" s="3">
        <v>0</v>
      </c>
      <c r="N2201" s="2">
        <v>788.46</v>
      </c>
      <c r="O2201" s="2">
        <v>581.20000000000005</v>
      </c>
      <c r="P2201" s="2">
        <v>207.26</v>
      </c>
      <c r="Q2201" t="s">
        <v>57</v>
      </c>
    </row>
    <row r="2202" spans="1:17" x14ac:dyDescent="0.2">
      <c r="A2202" t="s">
        <v>2367</v>
      </c>
      <c r="B2202" s="1">
        <v>45927</v>
      </c>
      <c r="C2202" t="s">
        <v>36</v>
      </c>
      <c r="D2202" t="s">
        <v>73</v>
      </c>
      <c r="E2202" t="s">
        <v>247</v>
      </c>
      <c r="F2202" t="s">
        <v>69</v>
      </c>
      <c r="G2202" t="s">
        <v>54</v>
      </c>
      <c r="H2202" t="s">
        <v>31</v>
      </c>
      <c r="I2202" t="s">
        <v>40</v>
      </c>
      <c r="J2202" t="s">
        <v>122</v>
      </c>
      <c r="K2202">
        <v>10</v>
      </c>
      <c r="L2202" s="2">
        <v>67.599999999999994</v>
      </c>
      <c r="M2202" s="3">
        <v>0.1</v>
      </c>
      <c r="N2202" s="2">
        <v>608.4</v>
      </c>
      <c r="O2202" s="2">
        <v>493.1</v>
      </c>
      <c r="P2202" s="2">
        <v>115.3</v>
      </c>
      <c r="Q2202" t="s">
        <v>57</v>
      </c>
    </row>
    <row r="2203" spans="1:17" x14ac:dyDescent="0.2">
      <c r="A2203" t="s">
        <v>2368</v>
      </c>
      <c r="B2203" s="1">
        <v>45927</v>
      </c>
      <c r="C2203" t="s">
        <v>77</v>
      </c>
      <c r="D2203" t="s">
        <v>106</v>
      </c>
      <c r="E2203" t="s">
        <v>107</v>
      </c>
      <c r="F2203" t="s">
        <v>30</v>
      </c>
      <c r="G2203" t="s">
        <v>22</v>
      </c>
      <c r="H2203" t="s">
        <v>23</v>
      </c>
      <c r="I2203" t="s">
        <v>24</v>
      </c>
      <c r="J2203" t="s">
        <v>220</v>
      </c>
      <c r="K2203">
        <v>10</v>
      </c>
      <c r="L2203" s="2">
        <v>16.53</v>
      </c>
      <c r="M2203" s="3">
        <v>0.1</v>
      </c>
      <c r="N2203" s="2">
        <v>148.77000000000001</v>
      </c>
      <c r="O2203" s="2">
        <v>85.89</v>
      </c>
      <c r="P2203" s="2">
        <v>62.88</v>
      </c>
      <c r="Q2203" t="s">
        <v>57</v>
      </c>
    </row>
    <row r="2204" spans="1:17" x14ac:dyDescent="0.2">
      <c r="A2204" t="s">
        <v>2369</v>
      </c>
      <c r="B2204" s="1">
        <v>45928</v>
      </c>
      <c r="C2204" t="s">
        <v>43</v>
      </c>
      <c r="D2204" t="s">
        <v>51</v>
      </c>
      <c r="E2204" t="s">
        <v>52</v>
      </c>
      <c r="F2204" t="s">
        <v>30</v>
      </c>
      <c r="G2204" t="s">
        <v>22</v>
      </c>
      <c r="H2204" t="s">
        <v>23</v>
      </c>
      <c r="I2204" t="s">
        <v>55</v>
      </c>
      <c r="J2204" t="s">
        <v>56</v>
      </c>
      <c r="K2204">
        <v>2</v>
      </c>
      <c r="L2204" s="2">
        <v>21.41</v>
      </c>
      <c r="M2204" s="3">
        <v>0.05</v>
      </c>
      <c r="N2204" s="2">
        <v>40.68</v>
      </c>
      <c r="O2204" s="2">
        <v>29.52</v>
      </c>
      <c r="P2204" s="2">
        <v>11.16</v>
      </c>
      <c r="Q2204" t="s">
        <v>26</v>
      </c>
    </row>
    <row r="2205" spans="1:17" x14ac:dyDescent="0.2">
      <c r="A2205" t="s">
        <v>2370</v>
      </c>
      <c r="B2205" s="1">
        <v>45928</v>
      </c>
      <c r="C2205" t="s">
        <v>36</v>
      </c>
      <c r="D2205" t="s">
        <v>144</v>
      </c>
      <c r="E2205" t="s">
        <v>214</v>
      </c>
      <c r="F2205" t="s">
        <v>138</v>
      </c>
      <c r="G2205" t="s">
        <v>75</v>
      </c>
      <c r="H2205" t="s">
        <v>31</v>
      </c>
      <c r="I2205" t="s">
        <v>40</v>
      </c>
      <c r="J2205" t="s">
        <v>216</v>
      </c>
      <c r="K2205">
        <v>9</v>
      </c>
      <c r="L2205" s="2">
        <v>152.16</v>
      </c>
      <c r="M2205" s="3">
        <v>0.15</v>
      </c>
      <c r="N2205" s="2">
        <v>1164.02</v>
      </c>
      <c r="O2205" s="2">
        <v>761.8</v>
      </c>
      <c r="P2205" s="2">
        <v>402.22</v>
      </c>
      <c r="Q2205" t="s">
        <v>57</v>
      </c>
    </row>
    <row r="2206" spans="1:17" x14ac:dyDescent="0.2">
      <c r="A2206" t="s">
        <v>2371</v>
      </c>
      <c r="B2206" s="1">
        <v>45928</v>
      </c>
      <c r="C2206" t="s">
        <v>77</v>
      </c>
      <c r="D2206" t="s">
        <v>78</v>
      </c>
      <c r="E2206" t="s">
        <v>295</v>
      </c>
      <c r="F2206" t="s">
        <v>46</v>
      </c>
      <c r="G2206" t="s">
        <v>22</v>
      </c>
      <c r="H2206" t="s">
        <v>47</v>
      </c>
      <c r="I2206" t="s">
        <v>48</v>
      </c>
      <c r="J2206" t="s">
        <v>49</v>
      </c>
      <c r="K2206">
        <v>3</v>
      </c>
      <c r="L2206" s="2">
        <v>766.12</v>
      </c>
      <c r="M2206" s="3">
        <v>0.05</v>
      </c>
      <c r="N2206" s="2">
        <v>2183.44</v>
      </c>
      <c r="O2206" s="2">
        <v>1577.44</v>
      </c>
      <c r="P2206" s="2">
        <v>606</v>
      </c>
      <c r="Q2206" t="s">
        <v>57</v>
      </c>
    </row>
    <row r="2207" spans="1:17" x14ac:dyDescent="0.2">
      <c r="A2207" t="s">
        <v>2372</v>
      </c>
      <c r="B2207" s="1">
        <v>45928</v>
      </c>
      <c r="C2207" t="s">
        <v>77</v>
      </c>
      <c r="D2207" t="s">
        <v>106</v>
      </c>
      <c r="E2207" t="s">
        <v>236</v>
      </c>
      <c r="F2207" t="s">
        <v>53</v>
      </c>
      <c r="G2207" t="s">
        <v>75</v>
      </c>
      <c r="H2207" t="s">
        <v>23</v>
      </c>
      <c r="I2207" t="s">
        <v>79</v>
      </c>
      <c r="J2207" t="s">
        <v>80</v>
      </c>
      <c r="K2207">
        <v>5</v>
      </c>
      <c r="L2207" s="2">
        <v>543.04999999999995</v>
      </c>
      <c r="M2207" s="3">
        <v>0.05</v>
      </c>
      <c r="N2207" s="2">
        <v>2579.4899999999998</v>
      </c>
      <c r="O2207" s="2">
        <v>1722.48</v>
      </c>
      <c r="P2207" s="2">
        <v>857.01</v>
      </c>
      <c r="Q2207" t="s">
        <v>57</v>
      </c>
    </row>
    <row r="2208" spans="1:17" x14ac:dyDescent="0.2">
      <c r="A2208" t="s">
        <v>2373</v>
      </c>
      <c r="B2208" s="1">
        <v>45928</v>
      </c>
      <c r="C2208" t="s">
        <v>18</v>
      </c>
      <c r="D2208" t="s">
        <v>133</v>
      </c>
      <c r="E2208" t="s">
        <v>134</v>
      </c>
      <c r="F2208" t="s">
        <v>69</v>
      </c>
      <c r="G2208" t="s">
        <v>22</v>
      </c>
      <c r="H2208" t="s">
        <v>31</v>
      </c>
      <c r="I2208" t="s">
        <v>40</v>
      </c>
      <c r="J2208" t="s">
        <v>216</v>
      </c>
      <c r="K2208">
        <v>1</v>
      </c>
      <c r="L2208" s="2">
        <v>152.13999999999999</v>
      </c>
      <c r="M2208" s="3">
        <v>0.05</v>
      </c>
      <c r="N2208" s="2">
        <v>144.53</v>
      </c>
      <c r="O2208" s="2">
        <v>102.76</v>
      </c>
      <c r="P2208" s="2">
        <v>41.77</v>
      </c>
      <c r="Q2208" t="s">
        <v>57</v>
      </c>
    </row>
    <row r="2209" spans="1:17" x14ac:dyDescent="0.2">
      <c r="A2209" t="s">
        <v>2374</v>
      </c>
      <c r="B2209" s="1">
        <v>45928</v>
      </c>
      <c r="C2209" t="s">
        <v>36</v>
      </c>
      <c r="D2209" t="s">
        <v>73</v>
      </c>
      <c r="E2209" t="s">
        <v>74</v>
      </c>
      <c r="F2209" t="s">
        <v>21</v>
      </c>
      <c r="G2209" t="s">
        <v>54</v>
      </c>
      <c r="H2209" t="s">
        <v>23</v>
      </c>
      <c r="I2209" t="s">
        <v>55</v>
      </c>
      <c r="J2209" t="s">
        <v>102</v>
      </c>
      <c r="K2209">
        <v>4</v>
      </c>
      <c r="L2209" s="2">
        <v>14.04</v>
      </c>
      <c r="M2209" s="3">
        <v>0.05</v>
      </c>
      <c r="N2209" s="2">
        <v>53.35</v>
      </c>
      <c r="O2209" s="2">
        <v>37.04</v>
      </c>
      <c r="P2209" s="2">
        <v>16.309999999999999</v>
      </c>
      <c r="Q2209" t="s">
        <v>34</v>
      </c>
    </row>
    <row r="2210" spans="1:17" x14ac:dyDescent="0.2">
      <c r="A2210" t="s">
        <v>2375</v>
      </c>
      <c r="B2210" s="1">
        <v>45928</v>
      </c>
      <c r="C2210" t="s">
        <v>18</v>
      </c>
      <c r="D2210" t="s">
        <v>28</v>
      </c>
      <c r="E2210" t="s">
        <v>29</v>
      </c>
      <c r="F2210" t="s">
        <v>53</v>
      </c>
      <c r="G2210" t="s">
        <v>22</v>
      </c>
      <c r="H2210" t="s">
        <v>31</v>
      </c>
      <c r="I2210" t="s">
        <v>64</v>
      </c>
      <c r="J2210" t="s">
        <v>252</v>
      </c>
      <c r="K2210">
        <v>8</v>
      </c>
      <c r="L2210" s="2">
        <v>106.83</v>
      </c>
      <c r="M2210" s="3">
        <v>0.05</v>
      </c>
      <c r="N2210" s="2">
        <v>811.91</v>
      </c>
      <c r="O2210" s="2">
        <v>633.69000000000005</v>
      </c>
      <c r="P2210" s="2">
        <v>178.22</v>
      </c>
      <c r="Q2210" t="s">
        <v>61</v>
      </c>
    </row>
    <row r="2211" spans="1:17" x14ac:dyDescent="0.2">
      <c r="A2211" t="s">
        <v>2376</v>
      </c>
      <c r="B2211" s="1">
        <v>45928</v>
      </c>
      <c r="C2211" t="s">
        <v>77</v>
      </c>
      <c r="D2211" t="s">
        <v>106</v>
      </c>
      <c r="E2211" t="s">
        <v>107</v>
      </c>
      <c r="F2211" t="s">
        <v>69</v>
      </c>
      <c r="G2211" t="s">
        <v>54</v>
      </c>
      <c r="H2211" t="s">
        <v>23</v>
      </c>
      <c r="I2211" t="s">
        <v>79</v>
      </c>
      <c r="J2211" t="s">
        <v>80</v>
      </c>
      <c r="K2211">
        <v>3</v>
      </c>
      <c r="L2211" s="2">
        <v>213.58</v>
      </c>
      <c r="M2211" s="3">
        <v>0.1</v>
      </c>
      <c r="N2211" s="2">
        <v>576.66999999999996</v>
      </c>
      <c r="O2211" s="2">
        <v>326.75</v>
      </c>
      <c r="P2211" s="2">
        <v>249.92</v>
      </c>
      <c r="Q2211" t="s">
        <v>57</v>
      </c>
    </row>
    <row r="2212" spans="1:17" x14ac:dyDescent="0.2">
      <c r="A2212" t="s">
        <v>2377</v>
      </c>
      <c r="B2212" s="1">
        <v>45928</v>
      </c>
      <c r="C2212" t="s">
        <v>77</v>
      </c>
      <c r="D2212" t="s">
        <v>149</v>
      </c>
      <c r="E2212" t="s">
        <v>150</v>
      </c>
      <c r="F2212" t="s">
        <v>71</v>
      </c>
      <c r="G2212" t="s">
        <v>75</v>
      </c>
      <c r="H2212" t="s">
        <v>31</v>
      </c>
      <c r="I2212" t="s">
        <v>40</v>
      </c>
      <c r="J2212" t="s">
        <v>41</v>
      </c>
      <c r="K2212">
        <v>8</v>
      </c>
      <c r="L2212" s="2">
        <v>231.92</v>
      </c>
      <c r="M2212" s="3">
        <v>0.05</v>
      </c>
      <c r="N2212" s="2">
        <v>1762.59</v>
      </c>
      <c r="O2212" s="2">
        <v>1147.27</v>
      </c>
      <c r="P2212" s="2">
        <v>615.32000000000005</v>
      </c>
      <c r="Q2212" t="s">
        <v>26</v>
      </c>
    </row>
    <row r="2213" spans="1:17" x14ac:dyDescent="0.2">
      <c r="A2213" t="s">
        <v>2378</v>
      </c>
      <c r="B2213" s="1">
        <v>45928</v>
      </c>
      <c r="C2213" t="s">
        <v>18</v>
      </c>
      <c r="D2213" t="s">
        <v>133</v>
      </c>
      <c r="E2213" t="s">
        <v>134</v>
      </c>
      <c r="F2213" t="s">
        <v>21</v>
      </c>
      <c r="G2213" t="s">
        <v>22</v>
      </c>
      <c r="H2213" t="s">
        <v>47</v>
      </c>
      <c r="I2213" t="s">
        <v>97</v>
      </c>
      <c r="J2213" t="s">
        <v>98</v>
      </c>
      <c r="K2213">
        <v>10</v>
      </c>
      <c r="L2213" s="2">
        <v>501.28</v>
      </c>
      <c r="M2213" s="3">
        <v>0</v>
      </c>
      <c r="N2213" s="2">
        <v>5012.8</v>
      </c>
      <c r="O2213" s="2">
        <v>3388.41</v>
      </c>
      <c r="P2213" s="2">
        <v>1624.39</v>
      </c>
      <c r="Q2213" t="s">
        <v>61</v>
      </c>
    </row>
    <row r="2214" spans="1:17" x14ac:dyDescent="0.2">
      <c r="A2214" t="s">
        <v>2379</v>
      </c>
      <c r="B2214" s="1">
        <v>45928</v>
      </c>
      <c r="C2214" t="s">
        <v>18</v>
      </c>
      <c r="D2214" t="s">
        <v>28</v>
      </c>
      <c r="E2214" t="s">
        <v>29</v>
      </c>
      <c r="F2214" t="s">
        <v>21</v>
      </c>
      <c r="G2214" t="s">
        <v>22</v>
      </c>
      <c r="H2214" t="s">
        <v>31</v>
      </c>
      <c r="I2214" t="s">
        <v>40</v>
      </c>
      <c r="J2214" t="s">
        <v>41</v>
      </c>
      <c r="K2214">
        <v>6</v>
      </c>
      <c r="L2214" s="2">
        <v>239.06</v>
      </c>
      <c r="M2214" s="3">
        <v>0.15</v>
      </c>
      <c r="N2214" s="2">
        <v>1219.21</v>
      </c>
      <c r="O2214" s="2">
        <v>989.35</v>
      </c>
      <c r="P2214" s="2">
        <v>229.86</v>
      </c>
      <c r="Q2214" t="s">
        <v>57</v>
      </c>
    </row>
    <row r="2215" spans="1:17" x14ac:dyDescent="0.2">
      <c r="A2215" t="s">
        <v>2380</v>
      </c>
      <c r="B2215" s="1">
        <v>45928</v>
      </c>
      <c r="C2215" t="s">
        <v>18</v>
      </c>
      <c r="D2215" t="s">
        <v>86</v>
      </c>
      <c r="E2215" t="s">
        <v>140</v>
      </c>
      <c r="F2215" t="s">
        <v>30</v>
      </c>
      <c r="G2215" t="s">
        <v>22</v>
      </c>
      <c r="H2215" t="s">
        <v>47</v>
      </c>
      <c r="I2215" t="s">
        <v>48</v>
      </c>
      <c r="J2215" t="s">
        <v>49</v>
      </c>
      <c r="K2215">
        <v>10</v>
      </c>
      <c r="L2215" s="2">
        <v>860.97</v>
      </c>
      <c r="M2215" s="3">
        <v>0.05</v>
      </c>
      <c r="N2215" s="2">
        <v>8179.22</v>
      </c>
      <c r="O2215" s="2">
        <v>4980.99</v>
      </c>
      <c r="P2215" s="2">
        <v>3198.23</v>
      </c>
      <c r="Q2215" t="s">
        <v>26</v>
      </c>
    </row>
    <row r="2216" spans="1:17" x14ac:dyDescent="0.2">
      <c r="A2216" t="s">
        <v>2381</v>
      </c>
      <c r="B2216" s="1">
        <v>45929</v>
      </c>
      <c r="C2216" t="s">
        <v>43</v>
      </c>
      <c r="D2216" t="s">
        <v>208</v>
      </c>
      <c r="E2216" t="s">
        <v>287</v>
      </c>
      <c r="F2216" t="s">
        <v>60</v>
      </c>
      <c r="G2216" t="s">
        <v>22</v>
      </c>
      <c r="H2216" t="s">
        <v>31</v>
      </c>
      <c r="I2216" t="s">
        <v>40</v>
      </c>
      <c r="J2216" t="s">
        <v>41</v>
      </c>
      <c r="K2216">
        <v>7</v>
      </c>
      <c r="L2216" s="2">
        <v>229.28</v>
      </c>
      <c r="M2216" s="3">
        <v>0</v>
      </c>
      <c r="N2216" s="2">
        <v>1604.96</v>
      </c>
      <c r="O2216" s="2">
        <v>1153</v>
      </c>
      <c r="P2216" s="2">
        <v>451.96</v>
      </c>
      <c r="Q2216" t="s">
        <v>61</v>
      </c>
    </row>
    <row r="2217" spans="1:17" x14ac:dyDescent="0.2">
      <c r="A2217" t="s">
        <v>2382</v>
      </c>
      <c r="B2217" s="1">
        <v>45929</v>
      </c>
      <c r="C2217" t="s">
        <v>18</v>
      </c>
      <c r="D2217" t="s">
        <v>152</v>
      </c>
      <c r="E2217" t="s">
        <v>185</v>
      </c>
      <c r="F2217" t="s">
        <v>69</v>
      </c>
      <c r="G2217" t="s">
        <v>22</v>
      </c>
      <c r="H2217" t="s">
        <v>31</v>
      </c>
      <c r="I2217" t="s">
        <v>32</v>
      </c>
      <c r="J2217" t="s">
        <v>33</v>
      </c>
      <c r="K2217">
        <v>2</v>
      </c>
      <c r="L2217" s="2">
        <v>1427.71</v>
      </c>
      <c r="M2217" s="3">
        <v>0.15</v>
      </c>
      <c r="N2217" s="2">
        <v>2427.11</v>
      </c>
      <c r="O2217" s="2">
        <v>1865.02</v>
      </c>
      <c r="P2217" s="2">
        <v>562.09</v>
      </c>
      <c r="Q2217" t="s">
        <v>57</v>
      </c>
    </row>
    <row r="2218" spans="1:17" x14ac:dyDescent="0.2">
      <c r="A2218" t="s">
        <v>2383</v>
      </c>
      <c r="B2218" s="1">
        <v>45929</v>
      </c>
      <c r="C2218" t="s">
        <v>43</v>
      </c>
      <c r="D2218" t="s">
        <v>208</v>
      </c>
      <c r="E2218" t="s">
        <v>209</v>
      </c>
      <c r="F2218" t="s">
        <v>30</v>
      </c>
      <c r="G2218" t="s">
        <v>54</v>
      </c>
      <c r="H2218" t="s">
        <v>23</v>
      </c>
      <c r="I2218" t="s">
        <v>79</v>
      </c>
      <c r="J2218" t="s">
        <v>80</v>
      </c>
      <c r="K2218">
        <v>9</v>
      </c>
      <c r="L2218" s="2">
        <v>552.16</v>
      </c>
      <c r="M2218" s="3">
        <v>0.05</v>
      </c>
      <c r="N2218" s="2">
        <v>4720.97</v>
      </c>
      <c r="O2218" s="2">
        <v>3591.72</v>
      </c>
      <c r="P2218" s="2">
        <v>1129.25</v>
      </c>
      <c r="Q2218" t="s">
        <v>34</v>
      </c>
    </row>
    <row r="2219" spans="1:17" x14ac:dyDescent="0.2">
      <c r="A2219" t="s">
        <v>2384</v>
      </c>
      <c r="B2219" s="1">
        <v>45929</v>
      </c>
      <c r="C2219" t="s">
        <v>43</v>
      </c>
      <c r="D2219" t="s">
        <v>44</v>
      </c>
      <c r="E2219" t="s">
        <v>82</v>
      </c>
      <c r="F2219" t="s">
        <v>30</v>
      </c>
      <c r="G2219" t="s">
        <v>22</v>
      </c>
      <c r="H2219" t="s">
        <v>23</v>
      </c>
      <c r="I2219" t="s">
        <v>55</v>
      </c>
      <c r="J2219" t="s">
        <v>102</v>
      </c>
      <c r="K2219">
        <v>4</v>
      </c>
      <c r="L2219" s="2">
        <v>15.21</v>
      </c>
      <c r="M2219" s="3">
        <v>0.15</v>
      </c>
      <c r="N2219" s="2">
        <v>51.71</v>
      </c>
      <c r="O2219" s="2">
        <v>29.55</v>
      </c>
      <c r="P2219" s="2">
        <v>22.16</v>
      </c>
      <c r="Q2219" t="s">
        <v>61</v>
      </c>
    </row>
    <row r="2220" spans="1:17" x14ac:dyDescent="0.2">
      <c r="A2220" t="s">
        <v>2385</v>
      </c>
      <c r="B2220" s="1">
        <v>45929</v>
      </c>
      <c r="C2220" t="s">
        <v>77</v>
      </c>
      <c r="D2220" t="s">
        <v>128</v>
      </c>
      <c r="E2220" t="s">
        <v>159</v>
      </c>
      <c r="F2220" t="s">
        <v>39</v>
      </c>
      <c r="G2220" t="s">
        <v>22</v>
      </c>
      <c r="H2220" t="s">
        <v>47</v>
      </c>
      <c r="I2220" t="s">
        <v>48</v>
      </c>
      <c r="J2220" t="s">
        <v>93</v>
      </c>
      <c r="K2220">
        <v>7</v>
      </c>
      <c r="L2220" s="2">
        <v>511.84</v>
      </c>
      <c r="M2220" s="3">
        <v>0.15</v>
      </c>
      <c r="N2220" s="2">
        <v>3045.45</v>
      </c>
      <c r="O2220" s="2">
        <v>2241.0700000000002</v>
      </c>
      <c r="P2220" s="2">
        <v>804.38</v>
      </c>
      <c r="Q2220" t="s">
        <v>34</v>
      </c>
    </row>
    <row r="2221" spans="1:17" x14ac:dyDescent="0.2">
      <c r="A2221" t="s">
        <v>2386</v>
      </c>
      <c r="B2221" s="1">
        <v>45929</v>
      </c>
      <c r="C2221" t="s">
        <v>43</v>
      </c>
      <c r="D2221" t="s">
        <v>51</v>
      </c>
      <c r="E2221" t="s">
        <v>52</v>
      </c>
      <c r="F2221" t="s">
        <v>130</v>
      </c>
      <c r="G2221" t="s">
        <v>22</v>
      </c>
      <c r="H2221" t="s">
        <v>23</v>
      </c>
      <c r="I2221" t="s">
        <v>24</v>
      </c>
      <c r="J2221" t="s">
        <v>220</v>
      </c>
      <c r="K2221">
        <v>8</v>
      </c>
      <c r="L2221" s="2">
        <v>20.21</v>
      </c>
      <c r="M2221" s="3">
        <v>0.1</v>
      </c>
      <c r="N2221" s="2">
        <v>145.51</v>
      </c>
      <c r="O2221" s="2">
        <v>98.99</v>
      </c>
      <c r="P2221" s="2">
        <v>46.52</v>
      </c>
      <c r="Q2221" t="s">
        <v>34</v>
      </c>
    </row>
    <row r="2222" spans="1:17" x14ac:dyDescent="0.2">
      <c r="A2222" t="s">
        <v>2387</v>
      </c>
      <c r="B2222" s="1">
        <v>45929</v>
      </c>
      <c r="C2222" t="s">
        <v>77</v>
      </c>
      <c r="D2222" t="s">
        <v>78</v>
      </c>
      <c r="E2222" t="s">
        <v>261</v>
      </c>
      <c r="F2222" t="s">
        <v>71</v>
      </c>
      <c r="G2222" t="s">
        <v>75</v>
      </c>
      <c r="H2222" t="s">
        <v>47</v>
      </c>
      <c r="I2222" t="s">
        <v>141</v>
      </c>
      <c r="J2222" t="s">
        <v>201</v>
      </c>
      <c r="K2222">
        <v>7</v>
      </c>
      <c r="L2222" s="2">
        <v>738.1</v>
      </c>
      <c r="M2222" s="3">
        <v>0.2</v>
      </c>
      <c r="N2222" s="2">
        <v>4133.3599999999997</v>
      </c>
      <c r="O2222" s="2">
        <v>2866.56</v>
      </c>
      <c r="P2222" s="2">
        <v>1266.8</v>
      </c>
      <c r="Q2222" t="s">
        <v>57</v>
      </c>
    </row>
    <row r="2223" spans="1:17" x14ac:dyDescent="0.2">
      <c r="A2223" t="s">
        <v>2388</v>
      </c>
      <c r="B2223" s="1">
        <v>45929</v>
      </c>
      <c r="C2223" t="s">
        <v>36</v>
      </c>
      <c r="D2223" t="s">
        <v>67</v>
      </c>
      <c r="E2223" t="s">
        <v>323</v>
      </c>
      <c r="F2223" t="s">
        <v>39</v>
      </c>
      <c r="G2223" t="s">
        <v>22</v>
      </c>
      <c r="H2223" t="s">
        <v>31</v>
      </c>
      <c r="I2223" t="s">
        <v>112</v>
      </c>
      <c r="J2223" t="s">
        <v>113</v>
      </c>
      <c r="K2223">
        <v>8</v>
      </c>
      <c r="L2223" s="2">
        <v>462.84</v>
      </c>
      <c r="M2223" s="3">
        <v>0.05</v>
      </c>
      <c r="N2223" s="2">
        <v>3517.58</v>
      </c>
      <c r="O2223" s="2">
        <v>2428.35</v>
      </c>
      <c r="P2223" s="2">
        <v>1089.23</v>
      </c>
      <c r="Q2223" t="s">
        <v>57</v>
      </c>
    </row>
    <row r="2224" spans="1:17" x14ac:dyDescent="0.2">
      <c r="A2224" t="s">
        <v>2389</v>
      </c>
      <c r="B2224" s="1">
        <v>45929</v>
      </c>
      <c r="C2224" t="s">
        <v>77</v>
      </c>
      <c r="D2224" t="s">
        <v>149</v>
      </c>
      <c r="E2224" t="s">
        <v>150</v>
      </c>
      <c r="F2224" t="s">
        <v>138</v>
      </c>
      <c r="G2224" t="s">
        <v>22</v>
      </c>
      <c r="H2224" t="s">
        <v>47</v>
      </c>
      <c r="I2224" t="s">
        <v>97</v>
      </c>
      <c r="J2224" t="s">
        <v>98</v>
      </c>
      <c r="K2224">
        <v>1</v>
      </c>
      <c r="L2224" s="2">
        <v>428.61</v>
      </c>
      <c r="M2224" s="3">
        <v>0.15</v>
      </c>
      <c r="N2224" s="2">
        <v>364.32</v>
      </c>
      <c r="O2224" s="2">
        <v>237.16</v>
      </c>
      <c r="P2224" s="2">
        <v>127.16</v>
      </c>
      <c r="Q2224" t="s">
        <v>26</v>
      </c>
    </row>
    <row r="2225" spans="1:17" x14ac:dyDescent="0.2">
      <c r="A2225" t="s">
        <v>2390</v>
      </c>
      <c r="B2225" s="1">
        <v>45929</v>
      </c>
      <c r="C2225" t="s">
        <v>36</v>
      </c>
      <c r="D2225" t="s">
        <v>73</v>
      </c>
      <c r="E2225" t="s">
        <v>247</v>
      </c>
      <c r="F2225" t="s">
        <v>46</v>
      </c>
      <c r="G2225" t="s">
        <v>54</v>
      </c>
      <c r="H2225" t="s">
        <v>47</v>
      </c>
      <c r="I2225" t="s">
        <v>97</v>
      </c>
      <c r="J2225" t="s">
        <v>98</v>
      </c>
      <c r="K2225">
        <v>5</v>
      </c>
      <c r="L2225" s="2">
        <v>360.19</v>
      </c>
      <c r="M2225" s="3">
        <v>0</v>
      </c>
      <c r="N2225" s="2">
        <v>1800.95</v>
      </c>
      <c r="O2225" s="2">
        <v>1243.6600000000001</v>
      </c>
      <c r="P2225" s="2">
        <v>557.29</v>
      </c>
      <c r="Q2225" t="s">
        <v>26</v>
      </c>
    </row>
    <row r="2226" spans="1:17" x14ac:dyDescent="0.2">
      <c r="A2226" t="s">
        <v>2391</v>
      </c>
      <c r="B2226" s="1">
        <v>45929</v>
      </c>
      <c r="C2226" t="s">
        <v>18</v>
      </c>
      <c r="D2226" t="s">
        <v>152</v>
      </c>
      <c r="E2226" t="s">
        <v>166</v>
      </c>
      <c r="F2226" t="s">
        <v>53</v>
      </c>
      <c r="G2226" t="s">
        <v>22</v>
      </c>
      <c r="H2226" t="s">
        <v>23</v>
      </c>
      <c r="I2226" t="s">
        <v>79</v>
      </c>
      <c r="J2226" t="s">
        <v>80</v>
      </c>
      <c r="K2226">
        <v>6</v>
      </c>
      <c r="L2226" s="2">
        <v>293.18</v>
      </c>
      <c r="M2226" s="3">
        <v>0.05</v>
      </c>
      <c r="N2226" s="2">
        <v>1671.13</v>
      </c>
      <c r="O2226" s="2">
        <v>1235</v>
      </c>
      <c r="P2226" s="2">
        <v>436.13</v>
      </c>
      <c r="Q2226" t="s">
        <v>26</v>
      </c>
    </row>
    <row r="2227" spans="1:17" x14ac:dyDescent="0.2">
      <c r="A2227" t="s">
        <v>2392</v>
      </c>
      <c r="B2227" s="1">
        <v>45930</v>
      </c>
      <c r="C2227" t="s">
        <v>18</v>
      </c>
      <c r="D2227" t="s">
        <v>28</v>
      </c>
      <c r="E2227" t="s">
        <v>157</v>
      </c>
      <c r="F2227" t="s">
        <v>46</v>
      </c>
      <c r="G2227" t="s">
        <v>75</v>
      </c>
      <c r="H2227" t="s">
        <v>47</v>
      </c>
      <c r="I2227" t="s">
        <v>141</v>
      </c>
      <c r="J2227" t="s">
        <v>372</v>
      </c>
      <c r="K2227">
        <v>1</v>
      </c>
      <c r="L2227" s="2">
        <v>517.28</v>
      </c>
      <c r="M2227" s="3">
        <v>0.05</v>
      </c>
      <c r="N2227" s="2">
        <v>491.42</v>
      </c>
      <c r="O2227" s="2">
        <v>282.19</v>
      </c>
      <c r="P2227" s="2">
        <v>209.23</v>
      </c>
      <c r="Q2227" t="s">
        <v>57</v>
      </c>
    </row>
    <row r="2228" spans="1:17" x14ac:dyDescent="0.2">
      <c r="A2228" t="s">
        <v>2393</v>
      </c>
      <c r="B2228" s="1">
        <v>45930</v>
      </c>
      <c r="C2228" t="s">
        <v>77</v>
      </c>
      <c r="D2228" t="s">
        <v>78</v>
      </c>
      <c r="E2228" t="s">
        <v>261</v>
      </c>
      <c r="F2228" t="s">
        <v>138</v>
      </c>
      <c r="G2228" t="s">
        <v>75</v>
      </c>
      <c r="H2228" t="s">
        <v>31</v>
      </c>
      <c r="I2228" t="s">
        <v>32</v>
      </c>
      <c r="J2228" t="s">
        <v>104</v>
      </c>
      <c r="K2228">
        <v>1</v>
      </c>
      <c r="L2228" s="2">
        <v>1678.79</v>
      </c>
      <c r="M2228" s="3">
        <v>0.15</v>
      </c>
      <c r="N2228" s="2">
        <v>1426.97</v>
      </c>
      <c r="O2228" s="2">
        <v>852.16</v>
      </c>
      <c r="P2228" s="2">
        <v>574.80999999999995</v>
      </c>
      <c r="Q2228" t="s">
        <v>61</v>
      </c>
    </row>
    <row r="2229" spans="1:17" x14ac:dyDescent="0.2">
      <c r="A2229" t="s">
        <v>2394</v>
      </c>
      <c r="B2229" s="1">
        <v>45930</v>
      </c>
      <c r="C2229" t="s">
        <v>18</v>
      </c>
      <c r="D2229" t="s">
        <v>19</v>
      </c>
      <c r="E2229" t="s">
        <v>20</v>
      </c>
      <c r="F2229" t="s">
        <v>21</v>
      </c>
      <c r="G2229" t="s">
        <v>75</v>
      </c>
      <c r="H2229" t="s">
        <v>31</v>
      </c>
      <c r="I2229" t="s">
        <v>40</v>
      </c>
      <c r="J2229" t="s">
        <v>122</v>
      </c>
      <c r="K2229">
        <v>2</v>
      </c>
      <c r="L2229" s="2">
        <v>60.95</v>
      </c>
      <c r="M2229" s="3">
        <v>0</v>
      </c>
      <c r="N2229" s="2">
        <v>121.9</v>
      </c>
      <c r="O2229" s="2">
        <v>97.61</v>
      </c>
      <c r="P2229" s="2">
        <v>24.29</v>
      </c>
      <c r="Q2229" t="s">
        <v>26</v>
      </c>
    </row>
    <row r="2230" spans="1:17" x14ac:dyDescent="0.2">
      <c r="A2230" t="s">
        <v>2395</v>
      </c>
      <c r="B2230" s="1">
        <v>45930</v>
      </c>
      <c r="C2230" t="s">
        <v>36</v>
      </c>
      <c r="D2230" t="s">
        <v>110</v>
      </c>
      <c r="E2230" t="s">
        <v>111</v>
      </c>
      <c r="F2230" t="s">
        <v>53</v>
      </c>
      <c r="G2230" t="s">
        <v>22</v>
      </c>
      <c r="H2230" t="s">
        <v>31</v>
      </c>
      <c r="I2230" t="s">
        <v>112</v>
      </c>
      <c r="J2230" t="s">
        <v>176</v>
      </c>
      <c r="K2230">
        <v>3</v>
      </c>
      <c r="L2230" s="2">
        <v>257.52999999999997</v>
      </c>
      <c r="M2230" s="3">
        <v>0</v>
      </c>
      <c r="N2230" s="2">
        <v>772.59</v>
      </c>
      <c r="O2230" s="2">
        <v>469.35</v>
      </c>
      <c r="P2230" s="2">
        <v>303.24</v>
      </c>
      <c r="Q2230" t="s">
        <v>61</v>
      </c>
    </row>
    <row r="2231" spans="1:17" x14ac:dyDescent="0.2">
      <c r="A2231" t="s">
        <v>2396</v>
      </c>
      <c r="B2231" s="1">
        <v>45930</v>
      </c>
      <c r="C2231" t="s">
        <v>36</v>
      </c>
      <c r="D2231" t="s">
        <v>67</v>
      </c>
      <c r="E2231" t="s">
        <v>323</v>
      </c>
      <c r="F2231" t="s">
        <v>60</v>
      </c>
      <c r="G2231" t="s">
        <v>75</v>
      </c>
      <c r="H2231" t="s">
        <v>31</v>
      </c>
      <c r="I2231" t="s">
        <v>112</v>
      </c>
      <c r="J2231" t="s">
        <v>136</v>
      </c>
      <c r="K2231">
        <v>10</v>
      </c>
      <c r="L2231" s="2">
        <v>296.47000000000003</v>
      </c>
      <c r="M2231" s="3">
        <v>0.15</v>
      </c>
      <c r="N2231" s="2">
        <v>2520</v>
      </c>
      <c r="O2231" s="2">
        <v>1626.9</v>
      </c>
      <c r="P2231" s="2">
        <v>893.1</v>
      </c>
      <c r="Q2231" t="s">
        <v>26</v>
      </c>
    </row>
    <row r="2232" spans="1:17" x14ac:dyDescent="0.2">
      <c r="A2232" t="s">
        <v>2397</v>
      </c>
      <c r="B2232" s="1">
        <v>45930</v>
      </c>
      <c r="C2232" t="s">
        <v>18</v>
      </c>
      <c r="D2232" t="s">
        <v>133</v>
      </c>
      <c r="E2232" t="s">
        <v>197</v>
      </c>
      <c r="F2232" t="s">
        <v>138</v>
      </c>
      <c r="G2232" t="s">
        <v>75</v>
      </c>
      <c r="H2232" t="s">
        <v>47</v>
      </c>
      <c r="I2232" t="s">
        <v>48</v>
      </c>
      <c r="J2232" t="s">
        <v>164</v>
      </c>
      <c r="K2232">
        <v>4</v>
      </c>
      <c r="L2232" s="2">
        <v>601.87</v>
      </c>
      <c r="M2232" s="3">
        <v>0</v>
      </c>
      <c r="N2232" s="2">
        <v>2407.48</v>
      </c>
      <c r="O2232" s="2">
        <v>1709.8</v>
      </c>
      <c r="P2232" s="2">
        <v>697.68</v>
      </c>
      <c r="Q2232" t="s">
        <v>57</v>
      </c>
    </row>
    <row r="2233" spans="1:17" x14ac:dyDescent="0.2">
      <c r="A2233" t="s">
        <v>2398</v>
      </c>
      <c r="B2233" s="1">
        <v>45930</v>
      </c>
      <c r="C2233" t="s">
        <v>77</v>
      </c>
      <c r="D2233" t="s">
        <v>149</v>
      </c>
      <c r="E2233" t="s">
        <v>206</v>
      </c>
      <c r="F2233" t="s">
        <v>60</v>
      </c>
      <c r="G2233" t="s">
        <v>75</v>
      </c>
      <c r="H2233" t="s">
        <v>47</v>
      </c>
      <c r="I2233" t="s">
        <v>141</v>
      </c>
      <c r="J2233" t="s">
        <v>142</v>
      </c>
      <c r="K2233">
        <v>2</v>
      </c>
      <c r="L2233" s="2">
        <v>376.23</v>
      </c>
      <c r="M2233" s="3">
        <v>0</v>
      </c>
      <c r="N2233" s="2">
        <v>752.46</v>
      </c>
      <c r="O2233" s="2">
        <v>546.08000000000004</v>
      </c>
      <c r="P2233" s="2">
        <v>206.38</v>
      </c>
      <c r="Q2233" t="s">
        <v>57</v>
      </c>
    </row>
    <row r="2234" spans="1:17" x14ac:dyDescent="0.2">
      <c r="A2234" t="s">
        <v>2399</v>
      </c>
      <c r="B2234" s="1">
        <v>45930</v>
      </c>
      <c r="C2234" t="s">
        <v>43</v>
      </c>
      <c r="D2234" t="s">
        <v>244</v>
      </c>
      <c r="E2234" t="s">
        <v>326</v>
      </c>
      <c r="F2234" t="s">
        <v>60</v>
      </c>
      <c r="G2234" t="s">
        <v>22</v>
      </c>
      <c r="H2234" t="s">
        <v>23</v>
      </c>
      <c r="I2234" t="s">
        <v>55</v>
      </c>
      <c r="J2234" t="s">
        <v>56</v>
      </c>
      <c r="K2234">
        <v>10</v>
      </c>
      <c r="L2234" s="2">
        <v>20.079999999999998</v>
      </c>
      <c r="M2234" s="3">
        <v>0</v>
      </c>
      <c r="N2234" s="2">
        <v>200.8</v>
      </c>
      <c r="O2234" s="2">
        <v>142.04</v>
      </c>
      <c r="P2234" s="2">
        <v>58.76</v>
      </c>
      <c r="Q2234" t="s">
        <v>26</v>
      </c>
    </row>
    <row r="2235" spans="1:17" x14ac:dyDescent="0.2">
      <c r="A2235" t="s">
        <v>2400</v>
      </c>
      <c r="B2235" s="1">
        <v>45931</v>
      </c>
      <c r="C2235" t="s">
        <v>36</v>
      </c>
      <c r="D2235" t="s">
        <v>67</v>
      </c>
      <c r="E2235" t="s">
        <v>323</v>
      </c>
      <c r="F2235" t="s">
        <v>46</v>
      </c>
      <c r="G2235" t="s">
        <v>22</v>
      </c>
      <c r="H2235" t="s">
        <v>31</v>
      </c>
      <c r="I2235" t="s">
        <v>40</v>
      </c>
      <c r="J2235" t="s">
        <v>41</v>
      </c>
      <c r="K2235">
        <v>9</v>
      </c>
      <c r="L2235" s="2">
        <v>185.61</v>
      </c>
      <c r="M2235" s="3">
        <v>0.05</v>
      </c>
      <c r="N2235" s="2">
        <v>1586.97</v>
      </c>
      <c r="O2235" s="2">
        <v>1292.76</v>
      </c>
      <c r="P2235" s="2">
        <v>294.20999999999998</v>
      </c>
      <c r="Q2235" t="s">
        <v>61</v>
      </c>
    </row>
    <row r="2236" spans="1:17" x14ac:dyDescent="0.2">
      <c r="A2236" t="s">
        <v>2401</v>
      </c>
      <c r="B2236" s="1">
        <v>45931</v>
      </c>
      <c r="C2236" t="s">
        <v>77</v>
      </c>
      <c r="D2236" t="s">
        <v>149</v>
      </c>
      <c r="E2236" t="s">
        <v>206</v>
      </c>
      <c r="F2236" t="s">
        <v>71</v>
      </c>
      <c r="G2236" t="s">
        <v>75</v>
      </c>
      <c r="H2236" t="s">
        <v>47</v>
      </c>
      <c r="I2236" t="s">
        <v>89</v>
      </c>
      <c r="J2236" t="s">
        <v>204</v>
      </c>
      <c r="K2236">
        <v>1</v>
      </c>
      <c r="L2236" s="2">
        <v>468.74</v>
      </c>
      <c r="M2236" s="3">
        <v>0.05</v>
      </c>
      <c r="N2236" s="2">
        <v>445.3</v>
      </c>
      <c r="O2236" s="2">
        <v>256.19</v>
      </c>
      <c r="P2236" s="2">
        <v>189.11</v>
      </c>
      <c r="Q2236" t="s">
        <v>57</v>
      </c>
    </row>
    <row r="2237" spans="1:17" x14ac:dyDescent="0.2">
      <c r="A2237" t="s">
        <v>2402</v>
      </c>
      <c r="B2237" s="1">
        <v>45931</v>
      </c>
      <c r="C2237" t="s">
        <v>77</v>
      </c>
      <c r="D2237" t="s">
        <v>106</v>
      </c>
      <c r="E2237" t="s">
        <v>107</v>
      </c>
      <c r="F2237" t="s">
        <v>60</v>
      </c>
      <c r="G2237" t="s">
        <v>54</v>
      </c>
      <c r="H2237" t="s">
        <v>23</v>
      </c>
      <c r="I2237" t="s">
        <v>55</v>
      </c>
      <c r="J2237" t="s">
        <v>173</v>
      </c>
      <c r="K2237">
        <v>10</v>
      </c>
      <c r="L2237" s="2">
        <v>6.22</v>
      </c>
      <c r="M2237" s="3">
        <v>0</v>
      </c>
      <c r="N2237" s="2">
        <v>62.2</v>
      </c>
      <c r="O2237" s="2">
        <v>50.86</v>
      </c>
      <c r="P2237" s="2">
        <v>11.34</v>
      </c>
      <c r="Q2237" t="s">
        <v>34</v>
      </c>
    </row>
    <row r="2238" spans="1:17" x14ac:dyDescent="0.2">
      <c r="A2238" t="s">
        <v>2403</v>
      </c>
      <c r="B2238" s="1">
        <v>45931</v>
      </c>
      <c r="C2238" t="s">
        <v>18</v>
      </c>
      <c r="D2238" t="s">
        <v>28</v>
      </c>
      <c r="E2238" t="s">
        <v>170</v>
      </c>
      <c r="F2238" t="s">
        <v>130</v>
      </c>
      <c r="G2238" t="s">
        <v>22</v>
      </c>
      <c r="H2238" t="s">
        <v>31</v>
      </c>
      <c r="I2238" t="s">
        <v>40</v>
      </c>
      <c r="J2238" t="s">
        <v>122</v>
      </c>
      <c r="K2238">
        <v>7</v>
      </c>
      <c r="L2238" s="2">
        <v>140.97999999999999</v>
      </c>
      <c r="M2238" s="3">
        <v>0.2</v>
      </c>
      <c r="N2238" s="2">
        <v>789.49</v>
      </c>
      <c r="O2238" s="2">
        <v>488.02</v>
      </c>
      <c r="P2238" s="2">
        <v>301.47000000000003</v>
      </c>
      <c r="Q2238" t="s">
        <v>57</v>
      </c>
    </row>
    <row r="2239" spans="1:17" x14ac:dyDescent="0.2">
      <c r="A2239" t="s">
        <v>2404</v>
      </c>
      <c r="B2239" s="1">
        <v>45931</v>
      </c>
      <c r="C2239" t="s">
        <v>43</v>
      </c>
      <c r="D2239" t="s">
        <v>161</v>
      </c>
      <c r="E2239" t="s">
        <v>172</v>
      </c>
      <c r="F2239" t="s">
        <v>21</v>
      </c>
      <c r="G2239" t="s">
        <v>22</v>
      </c>
      <c r="H2239" t="s">
        <v>23</v>
      </c>
      <c r="I2239" t="s">
        <v>83</v>
      </c>
      <c r="J2239" t="s">
        <v>120</v>
      </c>
      <c r="K2239">
        <v>2</v>
      </c>
      <c r="L2239" s="2">
        <v>12.49</v>
      </c>
      <c r="M2239" s="3">
        <v>0</v>
      </c>
      <c r="N2239" s="2">
        <v>24.98</v>
      </c>
      <c r="O2239" s="2">
        <v>19.809999999999999</v>
      </c>
      <c r="P2239" s="2">
        <v>5.17</v>
      </c>
      <c r="Q2239" t="s">
        <v>34</v>
      </c>
    </row>
    <row r="2240" spans="1:17" x14ac:dyDescent="0.2">
      <c r="A2240" t="s">
        <v>2405</v>
      </c>
      <c r="B2240" s="1">
        <v>45931</v>
      </c>
      <c r="C2240" t="s">
        <v>77</v>
      </c>
      <c r="D2240" t="s">
        <v>106</v>
      </c>
      <c r="E2240" t="s">
        <v>236</v>
      </c>
      <c r="F2240" t="s">
        <v>21</v>
      </c>
      <c r="G2240" t="s">
        <v>22</v>
      </c>
      <c r="H2240" t="s">
        <v>23</v>
      </c>
      <c r="I2240" t="s">
        <v>55</v>
      </c>
      <c r="J2240" t="s">
        <v>173</v>
      </c>
      <c r="K2240">
        <v>8</v>
      </c>
      <c r="L2240" s="2">
        <v>6.48</v>
      </c>
      <c r="M2240" s="3">
        <v>0.05</v>
      </c>
      <c r="N2240" s="2">
        <v>49.25</v>
      </c>
      <c r="O2240" s="2">
        <v>33.6</v>
      </c>
      <c r="P2240" s="2">
        <v>15.65</v>
      </c>
      <c r="Q2240" t="s">
        <v>26</v>
      </c>
    </row>
    <row r="2241" spans="1:17" x14ac:dyDescent="0.2">
      <c r="A2241" t="s">
        <v>2406</v>
      </c>
      <c r="B2241" s="1">
        <v>45932</v>
      </c>
      <c r="C2241" t="s">
        <v>36</v>
      </c>
      <c r="D2241" t="s">
        <v>144</v>
      </c>
      <c r="E2241" t="s">
        <v>214</v>
      </c>
      <c r="F2241" t="s">
        <v>69</v>
      </c>
      <c r="G2241" t="s">
        <v>54</v>
      </c>
      <c r="H2241" t="s">
        <v>31</v>
      </c>
      <c r="I2241" t="s">
        <v>32</v>
      </c>
      <c r="J2241" t="s">
        <v>258</v>
      </c>
      <c r="K2241">
        <v>5</v>
      </c>
      <c r="L2241" s="2">
        <v>676.38</v>
      </c>
      <c r="M2241" s="3">
        <v>0.1</v>
      </c>
      <c r="N2241" s="2">
        <v>3043.71</v>
      </c>
      <c r="O2241" s="2">
        <v>2231.96</v>
      </c>
      <c r="P2241" s="2">
        <v>811.75</v>
      </c>
      <c r="Q2241" t="s">
        <v>26</v>
      </c>
    </row>
    <row r="2242" spans="1:17" x14ac:dyDescent="0.2">
      <c r="A2242" t="s">
        <v>2407</v>
      </c>
      <c r="B2242" s="1">
        <v>45932</v>
      </c>
      <c r="C2242" t="s">
        <v>18</v>
      </c>
      <c r="D2242" t="s">
        <v>19</v>
      </c>
      <c r="E2242" t="s">
        <v>118</v>
      </c>
      <c r="F2242" t="s">
        <v>21</v>
      </c>
      <c r="G2242" t="s">
        <v>75</v>
      </c>
      <c r="H2242" t="s">
        <v>47</v>
      </c>
      <c r="I2242" t="s">
        <v>89</v>
      </c>
      <c r="J2242" t="s">
        <v>90</v>
      </c>
      <c r="K2242">
        <v>7</v>
      </c>
      <c r="L2242" s="2">
        <v>355.94</v>
      </c>
      <c r="M2242" s="3">
        <v>0.1</v>
      </c>
      <c r="N2242" s="2">
        <v>2242.42</v>
      </c>
      <c r="O2242" s="2">
        <v>1295.06</v>
      </c>
      <c r="P2242" s="2">
        <v>947.36</v>
      </c>
      <c r="Q2242" t="s">
        <v>34</v>
      </c>
    </row>
    <row r="2243" spans="1:17" x14ac:dyDescent="0.2">
      <c r="A2243" t="s">
        <v>2408</v>
      </c>
      <c r="B2243" s="1">
        <v>45932</v>
      </c>
      <c r="C2243" t="s">
        <v>18</v>
      </c>
      <c r="D2243" t="s">
        <v>19</v>
      </c>
      <c r="E2243" t="s">
        <v>100</v>
      </c>
      <c r="F2243" t="s">
        <v>46</v>
      </c>
      <c r="G2243" t="s">
        <v>54</v>
      </c>
      <c r="H2243" t="s">
        <v>31</v>
      </c>
      <c r="I2243" t="s">
        <v>112</v>
      </c>
      <c r="J2243" t="s">
        <v>113</v>
      </c>
      <c r="K2243">
        <v>7</v>
      </c>
      <c r="L2243" s="2">
        <v>554.26</v>
      </c>
      <c r="M2243" s="3">
        <v>0.1</v>
      </c>
      <c r="N2243" s="2">
        <v>3491.84</v>
      </c>
      <c r="O2243" s="2">
        <v>2832.13</v>
      </c>
      <c r="P2243" s="2">
        <v>659.71</v>
      </c>
      <c r="Q2243" t="s">
        <v>26</v>
      </c>
    </row>
    <row r="2244" spans="1:17" x14ac:dyDescent="0.2">
      <c r="A2244" t="s">
        <v>2409</v>
      </c>
      <c r="B2244" s="1">
        <v>45932</v>
      </c>
      <c r="C2244" t="s">
        <v>36</v>
      </c>
      <c r="D2244" t="s">
        <v>67</v>
      </c>
      <c r="E2244" t="s">
        <v>270</v>
      </c>
      <c r="F2244" t="s">
        <v>130</v>
      </c>
      <c r="G2244" t="s">
        <v>75</v>
      </c>
      <c r="H2244" t="s">
        <v>31</v>
      </c>
      <c r="I2244" t="s">
        <v>64</v>
      </c>
      <c r="J2244" t="s">
        <v>126</v>
      </c>
      <c r="K2244">
        <v>9</v>
      </c>
      <c r="L2244" s="2">
        <v>121.41</v>
      </c>
      <c r="M2244" s="3">
        <v>0.1</v>
      </c>
      <c r="N2244" s="2">
        <v>983.42</v>
      </c>
      <c r="O2244" s="2">
        <v>707.37</v>
      </c>
      <c r="P2244" s="2">
        <v>276.05</v>
      </c>
      <c r="Q2244" t="s">
        <v>57</v>
      </c>
    </row>
    <row r="2245" spans="1:17" x14ac:dyDescent="0.2">
      <c r="A2245" t="s">
        <v>2410</v>
      </c>
      <c r="B2245" s="1">
        <v>45932</v>
      </c>
      <c r="C2245" t="s">
        <v>36</v>
      </c>
      <c r="D2245" t="s">
        <v>37</v>
      </c>
      <c r="E2245" t="s">
        <v>187</v>
      </c>
      <c r="F2245" t="s">
        <v>46</v>
      </c>
      <c r="G2245" t="s">
        <v>75</v>
      </c>
      <c r="H2245" t="s">
        <v>23</v>
      </c>
      <c r="I2245" t="s">
        <v>55</v>
      </c>
      <c r="J2245" t="s">
        <v>173</v>
      </c>
      <c r="K2245">
        <v>4</v>
      </c>
      <c r="L2245" s="2">
        <v>16.2</v>
      </c>
      <c r="M2245" s="3">
        <v>0.15</v>
      </c>
      <c r="N2245" s="2">
        <v>55.08</v>
      </c>
      <c r="O2245" s="2">
        <v>41.7</v>
      </c>
      <c r="P2245" s="2">
        <v>13.38</v>
      </c>
      <c r="Q2245" t="s">
        <v>34</v>
      </c>
    </row>
    <row r="2246" spans="1:17" x14ac:dyDescent="0.2">
      <c r="A2246" t="s">
        <v>2411</v>
      </c>
      <c r="B2246" s="1">
        <v>45932</v>
      </c>
      <c r="C2246" t="s">
        <v>36</v>
      </c>
      <c r="D2246" t="s">
        <v>110</v>
      </c>
      <c r="E2246" t="s">
        <v>115</v>
      </c>
      <c r="F2246" t="s">
        <v>138</v>
      </c>
      <c r="G2246" t="s">
        <v>22</v>
      </c>
      <c r="H2246" t="s">
        <v>47</v>
      </c>
      <c r="I2246" t="s">
        <v>89</v>
      </c>
      <c r="J2246" t="s">
        <v>90</v>
      </c>
      <c r="K2246">
        <v>6</v>
      </c>
      <c r="L2246" s="2">
        <v>127.38</v>
      </c>
      <c r="M2246" s="3">
        <v>0.15</v>
      </c>
      <c r="N2246" s="2">
        <v>649.64</v>
      </c>
      <c r="O2246" s="2">
        <v>364.76</v>
      </c>
      <c r="P2246" s="2">
        <v>284.88</v>
      </c>
      <c r="Q2246" t="s">
        <v>61</v>
      </c>
    </row>
    <row r="2247" spans="1:17" x14ac:dyDescent="0.2">
      <c r="A2247" t="s">
        <v>2412</v>
      </c>
      <c r="B2247" s="1">
        <v>45932</v>
      </c>
      <c r="C2247" t="s">
        <v>43</v>
      </c>
      <c r="D2247" t="s">
        <v>44</v>
      </c>
      <c r="E2247" t="s">
        <v>147</v>
      </c>
      <c r="F2247" t="s">
        <v>71</v>
      </c>
      <c r="G2247" t="s">
        <v>54</v>
      </c>
      <c r="H2247" t="s">
        <v>23</v>
      </c>
      <c r="I2247" t="s">
        <v>55</v>
      </c>
      <c r="J2247" t="s">
        <v>173</v>
      </c>
      <c r="K2247">
        <v>2</v>
      </c>
      <c r="L2247" s="2">
        <v>15.76</v>
      </c>
      <c r="M2247" s="3">
        <v>0.15</v>
      </c>
      <c r="N2247" s="2">
        <v>26.79</v>
      </c>
      <c r="O2247" s="2">
        <v>17.29</v>
      </c>
      <c r="P2247" s="2">
        <v>9.5</v>
      </c>
      <c r="Q2247" t="s">
        <v>26</v>
      </c>
    </row>
    <row r="2248" spans="1:17" x14ac:dyDescent="0.2">
      <c r="A2248" t="s">
        <v>2413</v>
      </c>
      <c r="B2248" s="1">
        <v>45932</v>
      </c>
      <c r="C2248" t="s">
        <v>77</v>
      </c>
      <c r="D2248" t="s">
        <v>149</v>
      </c>
      <c r="E2248" t="s">
        <v>309</v>
      </c>
      <c r="F2248" t="s">
        <v>53</v>
      </c>
      <c r="G2248" t="s">
        <v>22</v>
      </c>
      <c r="H2248" t="s">
        <v>47</v>
      </c>
      <c r="I2248" t="s">
        <v>141</v>
      </c>
      <c r="J2248" t="s">
        <v>142</v>
      </c>
      <c r="K2248">
        <v>3</v>
      </c>
      <c r="L2248" s="2">
        <v>679.45</v>
      </c>
      <c r="M2248" s="3">
        <v>0.05</v>
      </c>
      <c r="N2248" s="2">
        <v>1936.43</v>
      </c>
      <c r="O2248" s="2">
        <v>1180.02</v>
      </c>
      <c r="P2248" s="2">
        <v>756.41</v>
      </c>
      <c r="Q2248" t="s">
        <v>57</v>
      </c>
    </row>
    <row r="2249" spans="1:17" x14ac:dyDescent="0.2">
      <c r="A2249" t="s">
        <v>2414</v>
      </c>
      <c r="B2249" s="1">
        <v>45932</v>
      </c>
      <c r="C2249" t="s">
        <v>18</v>
      </c>
      <c r="D2249" t="s">
        <v>19</v>
      </c>
      <c r="E2249" t="s">
        <v>118</v>
      </c>
      <c r="F2249" t="s">
        <v>21</v>
      </c>
      <c r="G2249" t="s">
        <v>54</v>
      </c>
      <c r="H2249" t="s">
        <v>31</v>
      </c>
      <c r="I2249" t="s">
        <v>64</v>
      </c>
      <c r="J2249" t="s">
        <v>126</v>
      </c>
      <c r="K2249">
        <v>4</v>
      </c>
      <c r="L2249" s="2">
        <v>122.07</v>
      </c>
      <c r="M2249" s="3">
        <v>0.15</v>
      </c>
      <c r="N2249" s="2">
        <v>415.04</v>
      </c>
      <c r="O2249" s="2">
        <v>233.34</v>
      </c>
      <c r="P2249" s="2">
        <v>181.7</v>
      </c>
      <c r="Q2249" t="s">
        <v>26</v>
      </c>
    </row>
    <row r="2250" spans="1:17" x14ac:dyDescent="0.2">
      <c r="A2250" t="s">
        <v>2415</v>
      </c>
      <c r="B2250" s="1">
        <v>45933</v>
      </c>
      <c r="C2250" t="s">
        <v>43</v>
      </c>
      <c r="D2250" t="s">
        <v>44</v>
      </c>
      <c r="E2250" t="s">
        <v>147</v>
      </c>
      <c r="F2250" t="s">
        <v>130</v>
      </c>
      <c r="G2250" t="s">
        <v>54</v>
      </c>
      <c r="H2250" t="s">
        <v>47</v>
      </c>
      <c r="I2250" t="s">
        <v>97</v>
      </c>
      <c r="J2250" t="s">
        <v>116</v>
      </c>
      <c r="K2250">
        <v>4</v>
      </c>
      <c r="L2250" s="2">
        <v>517.08000000000004</v>
      </c>
      <c r="M2250" s="3">
        <v>0.1</v>
      </c>
      <c r="N2250" s="2">
        <v>1861.49</v>
      </c>
      <c r="O2250" s="2">
        <v>1269.79</v>
      </c>
      <c r="P2250" s="2">
        <v>591.70000000000005</v>
      </c>
      <c r="Q2250" t="s">
        <v>57</v>
      </c>
    </row>
    <row r="2251" spans="1:17" x14ac:dyDescent="0.2">
      <c r="A2251" t="s">
        <v>2416</v>
      </c>
      <c r="B2251" s="1">
        <v>45933</v>
      </c>
      <c r="C2251" t="s">
        <v>77</v>
      </c>
      <c r="D2251" t="s">
        <v>128</v>
      </c>
      <c r="E2251" t="s">
        <v>155</v>
      </c>
      <c r="F2251" t="s">
        <v>39</v>
      </c>
      <c r="G2251" t="s">
        <v>22</v>
      </c>
      <c r="H2251" t="s">
        <v>31</v>
      </c>
      <c r="I2251" t="s">
        <v>40</v>
      </c>
      <c r="J2251" t="s">
        <v>41</v>
      </c>
      <c r="K2251">
        <v>10</v>
      </c>
      <c r="L2251" s="2">
        <v>246.87</v>
      </c>
      <c r="M2251" s="3">
        <v>0.1</v>
      </c>
      <c r="N2251" s="2">
        <v>2221.83</v>
      </c>
      <c r="O2251" s="2">
        <v>1400.54</v>
      </c>
      <c r="P2251" s="2">
        <v>821.29</v>
      </c>
      <c r="Q2251" t="s">
        <v>34</v>
      </c>
    </row>
    <row r="2252" spans="1:17" x14ac:dyDescent="0.2">
      <c r="A2252" t="s">
        <v>2417</v>
      </c>
      <c r="B2252" s="1">
        <v>45933</v>
      </c>
      <c r="C2252" t="s">
        <v>18</v>
      </c>
      <c r="D2252" t="s">
        <v>152</v>
      </c>
      <c r="E2252" t="s">
        <v>166</v>
      </c>
      <c r="F2252" t="s">
        <v>69</v>
      </c>
      <c r="G2252" t="s">
        <v>22</v>
      </c>
      <c r="H2252" t="s">
        <v>31</v>
      </c>
      <c r="I2252" t="s">
        <v>32</v>
      </c>
      <c r="J2252" t="s">
        <v>258</v>
      </c>
      <c r="K2252">
        <v>1</v>
      </c>
      <c r="L2252" s="2">
        <v>1106.55</v>
      </c>
      <c r="M2252" s="3">
        <v>0.1</v>
      </c>
      <c r="N2252" s="2">
        <v>995.9</v>
      </c>
      <c r="O2252" s="2">
        <v>598.30999999999995</v>
      </c>
      <c r="P2252" s="2">
        <v>397.59</v>
      </c>
      <c r="Q2252" t="s">
        <v>61</v>
      </c>
    </row>
    <row r="2253" spans="1:17" x14ac:dyDescent="0.2">
      <c r="A2253" t="s">
        <v>2418</v>
      </c>
      <c r="B2253" s="1">
        <v>45933</v>
      </c>
      <c r="C2253" t="s">
        <v>18</v>
      </c>
      <c r="D2253" t="s">
        <v>133</v>
      </c>
      <c r="E2253" t="s">
        <v>226</v>
      </c>
      <c r="F2253" t="s">
        <v>53</v>
      </c>
      <c r="G2253" t="s">
        <v>75</v>
      </c>
      <c r="H2253" t="s">
        <v>47</v>
      </c>
      <c r="I2253" t="s">
        <v>89</v>
      </c>
      <c r="J2253" t="s">
        <v>240</v>
      </c>
      <c r="K2253">
        <v>2</v>
      </c>
      <c r="L2253" s="2">
        <v>466.84</v>
      </c>
      <c r="M2253" s="3">
        <v>0.05</v>
      </c>
      <c r="N2253" s="2">
        <v>887</v>
      </c>
      <c r="O2253" s="2">
        <v>560.12</v>
      </c>
      <c r="P2253" s="2">
        <v>326.88</v>
      </c>
      <c r="Q2253" t="s">
        <v>26</v>
      </c>
    </row>
    <row r="2254" spans="1:17" x14ac:dyDescent="0.2">
      <c r="A2254" t="s">
        <v>2419</v>
      </c>
      <c r="B2254" s="1">
        <v>45933</v>
      </c>
      <c r="C2254" t="s">
        <v>36</v>
      </c>
      <c r="D2254" t="s">
        <v>110</v>
      </c>
      <c r="E2254" t="s">
        <v>111</v>
      </c>
      <c r="F2254" t="s">
        <v>60</v>
      </c>
      <c r="G2254" t="s">
        <v>22</v>
      </c>
      <c r="H2254" t="s">
        <v>47</v>
      </c>
      <c r="I2254" t="s">
        <v>89</v>
      </c>
      <c r="J2254" t="s">
        <v>240</v>
      </c>
      <c r="K2254">
        <v>5</v>
      </c>
      <c r="L2254" s="2">
        <v>426.17</v>
      </c>
      <c r="M2254" s="3">
        <v>0.15</v>
      </c>
      <c r="N2254" s="2">
        <v>1811.22</v>
      </c>
      <c r="O2254" s="2">
        <v>1010.4</v>
      </c>
      <c r="P2254" s="2">
        <v>800.82</v>
      </c>
      <c r="Q2254" t="s">
        <v>26</v>
      </c>
    </row>
    <row r="2255" spans="1:17" x14ac:dyDescent="0.2">
      <c r="A2255" t="s">
        <v>2420</v>
      </c>
      <c r="B2255" s="1">
        <v>45933</v>
      </c>
      <c r="C2255" t="s">
        <v>77</v>
      </c>
      <c r="D2255" t="s">
        <v>78</v>
      </c>
      <c r="E2255" t="s">
        <v>295</v>
      </c>
      <c r="F2255" t="s">
        <v>60</v>
      </c>
      <c r="G2255" t="s">
        <v>22</v>
      </c>
      <c r="H2255" t="s">
        <v>47</v>
      </c>
      <c r="I2255" t="s">
        <v>141</v>
      </c>
      <c r="J2255" t="s">
        <v>201</v>
      </c>
      <c r="K2255">
        <v>10</v>
      </c>
      <c r="L2255" s="2">
        <v>278.08999999999997</v>
      </c>
      <c r="M2255" s="3">
        <v>0.15</v>
      </c>
      <c r="N2255" s="2">
        <v>2363.7600000000002</v>
      </c>
      <c r="O2255" s="2">
        <v>1832.98</v>
      </c>
      <c r="P2255" s="2">
        <v>530.78</v>
      </c>
      <c r="Q2255" t="s">
        <v>61</v>
      </c>
    </row>
    <row r="2256" spans="1:17" x14ac:dyDescent="0.2">
      <c r="A2256" t="s">
        <v>2421</v>
      </c>
      <c r="B2256" s="1">
        <v>45934</v>
      </c>
      <c r="C2256" t="s">
        <v>18</v>
      </c>
      <c r="D2256" t="s">
        <v>19</v>
      </c>
      <c r="E2256" t="s">
        <v>20</v>
      </c>
      <c r="F2256" t="s">
        <v>130</v>
      </c>
      <c r="G2256" t="s">
        <v>22</v>
      </c>
      <c r="H2256" t="s">
        <v>31</v>
      </c>
      <c r="I2256" t="s">
        <v>32</v>
      </c>
      <c r="J2256" t="s">
        <v>258</v>
      </c>
      <c r="K2256">
        <v>6</v>
      </c>
      <c r="L2256" s="2">
        <v>1484.28</v>
      </c>
      <c r="M2256" s="3">
        <v>0</v>
      </c>
      <c r="N2256" s="2">
        <v>8905.68</v>
      </c>
      <c r="O2256" s="2">
        <v>6414.92</v>
      </c>
      <c r="P2256" s="2">
        <v>2490.7600000000002</v>
      </c>
      <c r="Q2256" t="s">
        <v>61</v>
      </c>
    </row>
    <row r="2257" spans="1:17" x14ac:dyDescent="0.2">
      <c r="A2257" t="s">
        <v>2422</v>
      </c>
      <c r="B2257" s="1">
        <v>45934</v>
      </c>
      <c r="C2257" t="s">
        <v>18</v>
      </c>
      <c r="D2257" t="s">
        <v>28</v>
      </c>
      <c r="E2257" t="s">
        <v>157</v>
      </c>
      <c r="F2257" t="s">
        <v>130</v>
      </c>
      <c r="G2257" t="s">
        <v>75</v>
      </c>
      <c r="H2257" t="s">
        <v>23</v>
      </c>
      <c r="I2257" t="s">
        <v>79</v>
      </c>
      <c r="J2257" t="s">
        <v>233</v>
      </c>
      <c r="K2257">
        <v>1</v>
      </c>
      <c r="L2257" s="2">
        <v>566.86</v>
      </c>
      <c r="M2257" s="3">
        <v>0</v>
      </c>
      <c r="N2257" s="2">
        <v>566.86</v>
      </c>
      <c r="O2257" s="2">
        <v>401.02</v>
      </c>
      <c r="P2257" s="2">
        <v>165.84</v>
      </c>
      <c r="Q2257" t="s">
        <v>57</v>
      </c>
    </row>
    <row r="2258" spans="1:17" x14ac:dyDescent="0.2">
      <c r="A2258" t="s">
        <v>2423</v>
      </c>
      <c r="B2258" s="1">
        <v>45934</v>
      </c>
      <c r="C2258" t="s">
        <v>36</v>
      </c>
      <c r="D2258" t="s">
        <v>144</v>
      </c>
      <c r="E2258" t="s">
        <v>232</v>
      </c>
      <c r="F2258" t="s">
        <v>53</v>
      </c>
      <c r="G2258" t="s">
        <v>54</v>
      </c>
      <c r="H2258" t="s">
        <v>47</v>
      </c>
      <c r="I2258" t="s">
        <v>89</v>
      </c>
      <c r="J2258" t="s">
        <v>204</v>
      </c>
      <c r="K2258">
        <v>9</v>
      </c>
      <c r="L2258" s="2">
        <v>294.77</v>
      </c>
      <c r="M2258" s="3">
        <v>0</v>
      </c>
      <c r="N2258" s="2">
        <v>2652.93</v>
      </c>
      <c r="O2258" s="2">
        <v>1780.12</v>
      </c>
      <c r="P2258" s="2">
        <v>872.81</v>
      </c>
      <c r="Q2258" t="s">
        <v>34</v>
      </c>
    </row>
    <row r="2259" spans="1:17" x14ac:dyDescent="0.2">
      <c r="A2259" t="s">
        <v>2424</v>
      </c>
      <c r="B2259" s="1">
        <v>45934</v>
      </c>
      <c r="C2259" t="s">
        <v>18</v>
      </c>
      <c r="D2259" t="s">
        <v>86</v>
      </c>
      <c r="E2259" t="s">
        <v>140</v>
      </c>
      <c r="F2259" t="s">
        <v>30</v>
      </c>
      <c r="G2259" t="s">
        <v>22</v>
      </c>
      <c r="H2259" t="s">
        <v>47</v>
      </c>
      <c r="I2259" t="s">
        <v>89</v>
      </c>
      <c r="J2259" t="s">
        <v>240</v>
      </c>
      <c r="K2259">
        <v>10</v>
      </c>
      <c r="L2259" s="2">
        <v>436.03</v>
      </c>
      <c r="M2259" s="3">
        <v>0.05</v>
      </c>
      <c r="N2259" s="2">
        <v>4142.28</v>
      </c>
      <c r="O2259" s="2">
        <v>2822.23</v>
      </c>
      <c r="P2259" s="2">
        <v>1320.05</v>
      </c>
      <c r="Q2259" t="s">
        <v>61</v>
      </c>
    </row>
    <row r="2260" spans="1:17" x14ac:dyDescent="0.2">
      <c r="A2260" t="s">
        <v>2425</v>
      </c>
      <c r="B2260" s="1">
        <v>45934</v>
      </c>
      <c r="C2260" t="s">
        <v>77</v>
      </c>
      <c r="D2260" t="s">
        <v>78</v>
      </c>
      <c r="E2260" t="s">
        <v>295</v>
      </c>
      <c r="F2260" t="s">
        <v>39</v>
      </c>
      <c r="G2260" t="s">
        <v>75</v>
      </c>
      <c r="H2260" t="s">
        <v>23</v>
      </c>
      <c r="I2260" t="s">
        <v>83</v>
      </c>
      <c r="J2260" t="s">
        <v>84</v>
      </c>
      <c r="K2260">
        <v>9</v>
      </c>
      <c r="L2260" s="2">
        <v>34.83</v>
      </c>
      <c r="M2260" s="3">
        <v>0</v>
      </c>
      <c r="N2260" s="2">
        <v>313.47000000000003</v>
      </c>
      <c r="O2260" s="2">
        <v>179.43</v>
      </c>
      <c r="P2260" s="2">
        <v>134.04</v>
      </c>
      <c r="Q2260" t="s">
        <v>57</v>
      </c>
    </row>
    <row r="2261" spans="1:17" x14ac:dyDescent="0.2">
      <c r="A2261" t="s">
        <v>2426</v>
      </c>
      <c r="B2261" s="1">
        <v>45934</v>
      </c>
      <c r="C2261" t="s">
        <v>36</v>
      </c>
      <c r="D2261" t="s">
        <v>73</v>
      </c>
      <c r="E2261" t="s">
        <v>74</v>
      </c>
      <c r="F2261" t="s">
        <v>53</v>
      </c>
      <c r="G2261" t="s">
        <v>22</v>
      </c>
      <c r="H2261" t="s">
        <v>47</v>
      </c>
      <c r="I2261" t="s">
        <v>48</v>
      </c>
      <c r="J2261" t="s">
        <v>164</v>
      </c>
      <c r="K2261">
        <v>1</v>
      </c>
      <c r="L2261" s="2">
        <v>783.76</v>
      </c>
      <c r="M2261" s="3">
        <v>0</v>
      </c>
      <c r="N2261" s="2">
        <v>783.76</v>
      </c>
      <c r="O2261" s="2">
        <v>484.94</v>
      </c>
      <c r="P2261" s="2">
        <v>298.82</v>
      </c>
      <c r="Q2261" t="s">
        <v>26</v>
      </c>
    </row>
    <row r="2262" spans="1:17" x14ac:dyDescent="0.2">
      <c r="A2262" t="s">
        <v>2427</v>
      </c>
      <c r="B2262" s="1">
        <v>45934</v>
      </c>
      <c r="C2262" t="s">
        <v>43</v>
      </c>
      <c r="D2262" t="s">
        <v>44</v>
      </c>
      <c r="E2262" t="s">
        <v>147</v>
      </c>
      <c r="F2262" t="s">
        <v>21</v>
      </c>
      <c r="G2262" t="s">
        <v>22</v>
      </c>
      <c r="H2262" t="s">
        <v>31</v>
      </c>
      <c r="I2262" t="s">
        <v>40</v>
      </c>
      <c r="J2262" t="s">
        <v>41</v>
      </c>
      <c r="K2262">
        <v>1</v>
      </c>
      <c r="L2262" s="2">
        <v>136.62</v>
      </c>
      <c r="M2262" s="3">
        <v>0.1</v>
      </c>
      <c r="N2262" s="2">
        <v>122.96</v>
      </c>
      <c r="O2262" s="2">
        <v>74.89</v>
      </c>
      <c r="P2262" s="2">
        <v>48.07</v>
      </c>
      <c r="Q2262" t="s">
        <v>57</v>
      </c>
    </row>
    <row r="2263" spans="1:17" x14ac:dyDescent="0.2">
      <c r="A2263" t="s">
        <v>2428</v>
      </c>
      <c r="B2263" s="1">
        <v>45935</v>
      </c>
      <c r="C2263" t="s">
        <v>18</v>
      </c>
      <c r="D2263" t="s">
        <v>86</v>
      </c>
      <c r="E2263" t="s">
        <v>87</v>
      </c>
      <c r="F2263" t="s">
        <v>46</v>
      </c>
      <c r="G2263" t="s">
        <v>22</v>
      </c>
      <c r="H2263" t="s">
        <v>31</v>
      </c>
      <c r="I2263" t="s">
        <v>32</v>
      </c>
      <c r="J2263" t="s">
        <v>258</v>
      </c>
      <c r="K2263">
        <v>7</v>
      </c>
      <c r="L2263" s="2">
        <v>796.04</v>
      </c>
      <c r="M2263" s="3">
        <v>0</v>
      </c>
      <c r="N2263" s="2">
        <v>5572.28</v>
      </c>
      <c r="O2263" s="2">
        <v>3294.62</v>
      </c>
      <c r="P2263" s="2">
        <v>2277.66</v>
      </c>
      <c r="Q2263" t="s">
        <v>57</v>
      </c>
    </row>
    <row r="2264" spans="1:17" x14ac:dyDescent="0.2">
      <c r="A2264" t="s">
        <v>2429</v>
      </c>
      <c r="B2264" s="1">
        <v>45935</v>
      </c>
      <c r="C2264" t="s">
        <v>43</v>
      </c>
      <c r="D2264" t="s">
        <v>208</v>
      </c>
      <c r="E2264" t="s">
        <v>209</v>
      </c>
      <c r="F2264" t="s">
        <v>53</v>
      </c>
      <c r="G2264" t="s">
        <v>22</v>
      </c>
      <c r="H2264" t="s">
        <v>47</v>
      </c>
      <c r="I2264" t="s">
        <v>97</v>
      </c>
      <c r="J2264" t="s">
        <v>98</v>
      </c>
      <c r="K2264">
        <v>4</v>
      </c>
      <c r="L2264" s="2">
        <v>585.16</v>
      </c>
      <c r="M2264" s="3">
        <v>0.05</v>
      </c>
      <c r="N2264" s="2">
        <v>2223.61</v>
      </c>
      <c r="O2264" s="2">
        <v>1529.78</v>
      </c>
      <c r="P2264" s="2">
        <v>693.83</v>
      </c>
      <c r="Q2264" t="s">
        <v>34</v>
      </c>
    </row>
    <row r="2265" spans="1:17" x14ac:dyDescent="0.2">
      <c r="A2265" t="s">
        <v>2430</v>
      </c>
      <c r="B2265" s="1">
        <v>45935</v>
      </c>
      <c r="C2265" t="s">
        <v>36</v>
      </c>
      <c r="D2265" t="s">
        <v>67</v>
      </c>
      <c r="E2265" t="s">
        <v>270</v>
      </c>
      <c r="F2265" t="s">
        <v>138</v>
      </c>
      <c r="G2265" t="s">
        <v>22</v>
      </c>
      <c r="H2265" t="s">
        <v>47</v>
      </c>
      <c r="I2265" t="s">
        <v>141</v>
      </c>
      <c r="J2265" t="s">
        <v>201</v>
      </c>
      <c r="K2265">
        <v>6</v>
      </c>
      <c r="L2265" s="2">
        <v>296.25</v>
      </c>
      <c r="M2265" s="3">
        <v>0.15</v>
      </c>
      <c r="N2265" s="2">
        <v>1510.88</v>
      </c>
      <c r="O2265" s="2">
        <v>1072.81</v>
      </c>
      <c r="P2265" s="2">
        <v>438.07</v>
      </c>
      <c r="Q2265" t="s">
        <v>26</v>
      </c>
    </row>
    <row r="2266" spans="1:17" x14ac:dyDescent="0.2">
      <c r="A2266" t="s">
        <v>2431</v>
      </c>
      <c r="B2266" s="1">
        <v>45935</v>
      </c>
      <c r="C2266" t="s">
        <v>18</v>
      </c>
      <c r="D2266" t="s">
        <v>152</v>
      </c>
      <c r="E2266" t="s">
        <v>153</v>
      </c>
      <c r="F2266" t="s">
        <v>138</v>
      </c>
      <c r="G2266" t="s">
        <v>75</v>
      </c>
      <c r="H2266" t="s">
        <v>47</v>
      </c>
      <c r="I2266" t="s">
        <v>48</v>
      </c>
      <c r="J2266" t="s">
        <v>49</v>
      </c>
      <c r="K2266">
        <v>8</v>
      </c>
      <c r="L2266" s="2">
        <v>553.66</v>
      </c>
      <c r="M2266" s="3">
        <v>0.05</v>
      </c>
      <c r="N2266" s="2">
        <v>4207.82</v>
      </c>
      <c r="O2266" s="2">
        <v>3248.32</v>
      </c>
      <c r="P2266" s="2">
        <v>959.5</v>
      </c>
      <c r="Q2266" t="s">
        <v>57</v>
      </c>
    </row>
    <row r="2267" spans="1:17" x14ac:dyDescent="0.2">
      <c r="A2267" t="s">
        <v>2432</v>
      </c>
      <c r="B2267" s="1">
        <v>45935</v>
      </c>
      <c r="C2267" t="s">
        <v>36</v>
      </c>
      <c r="D2267" t="s">
        <v>144</v>
      </c>
      <c r="E2267" t="s">
        <v>232</v>
      </c>
      <c r="F2267" t="s">
        <v>39</v>
      </c>
      <c r="G2267" t="s">
        <v>22</v>
      </c>
      <c r="H2267" t="s">
        <v>23</v>
      </c>
      <c r="I2267" t="s">
        <v>83</v>
      </c>
      <c r="J2267" t="s">
        <v>84</v>
      </c>
      <c r="K2267">
        <v>7</v>
      </c>
      <c r="L2267" s="2">
        <v>24.68</v>
      </c>
      <c r="M2267" s="3">
        <v>0</v>
      </c>
      <c r="N2267" s="2">
        <v>172.76</v>
      </c>
      <c r="O2267" s="2">
        <v>134.54</v>
      </c>
      <c r="P2267" s="2">
        <v>38.22</v>
      </c>
      <c r="Q2267" t="s">
        <v>26</v>
      </c>
    </row>
    <row r="2268" spans="1:17" x14ac:dyDescent="0.2">
      <c r="A2268" t="s">
        <v>2433</v>
      </c>
      <c r="B2268" s="1">
        <v>45935</v>
      </c>
      <c r="C2268" t="s">
        <v>36</v>
      </c>
      <c r="D2268" t="s">
        <v>37</v>
      </c>
      <c r="E2268" t="s">
        <v>255</v>
      </c>
      <c r="F2268" t="s">
        <v>71</v>
      </c>
      <c r="G2268" t="s">
        <v>75</v>
      </c>
      <c r="H2268" t="s">
        <v>47</v>
      </c>
      <c r="I2268" t="s">
        <v>89</v>
      </c>
      <c r="J2268" t="s">
        <v>204</v>
      </c>
      <c r="K2268">
        <v>1</v>
      </c>
      <c r="L2268" s="2">
        <v>277.41000000000003</v>
      </c>
      <c r="M2268" s="3">
        <v>0</v>
      </c>
      <c r="N2268" s="2">
        <v>277.41000000000003</v>
      </c>
      <c r="O2268" s="2">
        <v>193.21</v>
      </c>
      <c r="P2268" s="2">
        <v>84.2</v>
      </c>
      <c r="Q2268" t="s">
        <v>26</v>
      </c>
    </row>
    <row r="2269" spans="1:17" x14ac:dyDescent="0.2">
      <c r="A2269" t="s">
        <v>2434</v>
      </c>
      <c r="B2269" s="1">
        <v>45935</v>
      </c>
      <c r="C2269" t="s">
        <v>43</v>
      </c>
      <c r="D2269" t="s">
        <v>208</v>
      </c>
      <c r="E2269" t="s">
        <v>209</v>
      </c>
      <c r="F2269" t="s">
        <v>130</v>
      </c>
      <c r="G2269" t="s">
        <v>75</v>
      </c>
      <c r="H2269" t="s">
        <v>47</v>
      </c>
      <c r="I2269" t="s">
        <v>97</v>
      </c>
      <c r="J2269" t="s">
        <v>98</v>
      </c>
      <c r="K2269">
        <v>5</v>
      </c>
      <c r="L2269" s="2">
        <v>627.07000000000005</v>
      </c>
      <c r="M2269" s="3">
        <v>0.05</v>
      </c>
      <c r="N2269" s="2">
        <v>2978.58</v>
      </c>
      <c r="O2269" s="2">
        <v>2047.67</v>
      </c>
      <c r="P2269" s="2">
        <v>930.91</v>
      </c>
      <c r="Q2269" t="s">
        <v>57</v>
      </c>
    </row>
    <row r="2270" spans="1:17" x14ac:dyDescent="0.2">
      <c r="A2270" t="s">
        <v>2435</v>
      </c>
      <c r="B2270" s="1">
        <v>45935</v>
      </c>
      <c r="C2270" t="s">
        <v>36</v>
      </c>
      <c r="D2270" t="s">
        <v>73</v>
      </c>
      <c r="E2270" t="s">
        <v>74</v>
      </c>
      <c r="F2270" t="s">
        <v>53</v>
      </c>
      <c r="G2270" t="s">
        <v>75</v>
      </c>
      <c r="H2270" t="s">
        <v>23</v>
      </c>
      <c r="I2270" t="s">
        <v>83</v>
      </c>
      <c r="J2270" t="s">
        <v>131</v>
      </c>
      <c r="K2270">
        <v>4</v>
      </c>
      <c r="L2270" s="2">
        <v>13.4</v>
      </c>
      <c r="M2270" s="3">
        <v>0.05</v>
      </c>
      <c r="N2270" s="2">
        <v>50.92</v>
      </c>
      <c r="O2270" s="2">
        <v>30.53</v>
      </c>
      <c r="P2270" s="2">
        <v>20.39</v>
      </c>
      <c r="Q2270" t="s">
        <v>34</v>
      </c>
    </row>
    <row r="2271" spans="1:17" x14ac:dyDescent="0.2">
      <c r="A2271" t="s">
        <v>2436</v>
      </c>
      <c r="B2271" s="1">
        <v>45935</v>
      </c>
      <c r="C2271" t="s">
        <v>36</v>
      </c>
      <c r="D2271" t="s">
        <v>110</v>
      </c>
      <c r="E2271" t="s">
        <v>115</v>
      </c>
      <c r="F2271" t="s">
        <v>130</v>
      </c>
      <c r="G2271" t="s">
        <v>75</v>
      </c>
      <c r="H2271" t="s">
        <v>23</v>
      </c>
      <c r="I2271" t="s">
        <v>55</v>
      </c>
      <c r="J2271" t="s">
        <v>56</v>
      </c>
      <c r="K2271">
        <v>8</v>
      </c>
      <c r="L2271" s="2">
        <v>10.69</v>
      </c>
      <c r="M2271" s="3">
        <v>0.05</v>
      </c>
      <c r="N2271" s="2">
        <v>81.239999999999995</v>
      </c>
      <c r="O2271" s="2">
        <v>50.61</v>
      </c>
      <c r="P2271" s="2">
        <v>30.63</v>
      </c>
      <c r="Q2271" t="s">
        <v>26</v>
      </c>
    </row>
    <row r="2272" spans="1:17" x14ac:dyDescent="0.2">
      <c r="A2272" t="s">
        <v>2437</v>
      </c>
      <c r="B2272" s="1">
        <v>45935</v>
      </c>
      <c r="C2272" t="s">
        <v>36</v>
      </c>
      <c r="D2272" t="s">
        <v>37</v>
      </c>
      <c r="E2272" t="s">
        <v>255</v>
      </c>
      <c r="F2272" t="s">
        <v>46</v>
      </c>
      <c r="G2272" t="s">
        <v>22</v>
      </c>
      <c r="H2272" t="s">
        <v>47</v>
      </c>
      <c r="I2272" t="s">
        <v>48</v>
      </c>
      <c r="J2272" t="s">
        <v>49</v>
      </c>
      <c r="K2272">
        <v>9</v>
      </c>
      <c r="L2272" s="2">
        <v>746.93</v>
      </c>
      <c r="M2272" s="3">
        <v>0.15</v>
      </c>
      <c r="N2272" s="2">
        <v>5714.01</v>
      </c>
      <c r="O2272" s="2">
        <v>4525.6899999999996</v>
      </c>
      <c r="P2272" s="2">
        <v>1188.32</v>
      </c>
      <c r="Q2272" t="s">
        <v>26</v>
      </c>
    </row>
    <row r="2273" spans="1:17" x14ac:dyDescent="0.2">
      <c r="A2273" t="s">
        <v>2438</v>
      </c>
      <c r="B2273" s="1">
        <v>45936</v>
      </c>
      <c r="C2273" t="s">
        <v>18</v>
      </c>
      <c r="D2273" t="s">
        <v>133</v>
      </c>
      <c r="E2273" t="s">
        <v>134</v>
      </c>
      <c r="F2273" t="s">
        <v>39</v>
      </c>
      <c r="G2273" t="s">
        <v>75</v>
      </c>
      <c r="H2273" t="s">
        <v>23</v>
      </c>
      <c r="I2273" t="s">
        <v>24</v>
      </c>
      <c r="J2273" t="s">
        <v>220</v>
      </c>
      <c r="K2273">
        <v>7</v>
      </c>
      <c r="L2273" s="2">
        <v>22.48</v>
      </c>
      <c r="M2273" s="3">
        <v>0</v>
      </c>
      <c r="N2273" s="2">
        <v>157.36000000000001</v>
      </c>
      <c r="O2273" s="2">
        <v>109.25</v>
      </c>
      <c r="P2273" s="2">
        <v>48.11</v>
      </c>
      <c r="Q2273" t="s">
        <v>34</v>
      </c>
    </row>
    <row r="2274" spans="1:17" x14ac:dyDescent="0.2">
      <c r="A2274" t="s">
        <v>2439</v>
      </c>
      <c r="B2274" s="1">
        <v>45936</v>
      </c>
      <c r="C2274" t="s">
        <v>77</v>
      </c>
      <c r="D2274" t="s">
        <v>128</v>
      </c>
      <c r="E2274" t="s">
        <v>129</v>
      </c>
      <c r="F2274" t="s">
        <v>60</v>
      </c>
      <c r="G2274" t="s">
        <v>54</v>
      </c>
      <c r="H2274" t="s">
        <v>23</v>
      </c>
      <c r="I2274" t="s">
        <v>55</v>
      </c>
      <c r="J2274" t="s">
        <v>56</v>
      </c>
      <c r="K2274">
        <v>9</v>
      </c>
      <c r="L2274" s="2">
        <v>10.96</v>
      </c>
      <c r="M2274" s="3">
        <v>0</v>
      </c>
      <c r="N2274" s="2">
        <v>98.64</v>
      </c>
      <c r="O2274" s="2">
        <v>78.37</v>
      </c>
      <c r="P2274" s="2">
        <v>20.27</v>
      </c>
      <c r="Q2274" t="s">
        <v>26</v>
      </c>
    </row>
    <row r="2275" spans="1:17" x14ac:dyDescent="0.2">
      <c r="A2275" t="s">
        <v>2440</v>
      </c>
      <c r="B2275" s="1">
        <v>45936</v>
      </c>
      <c r="C2275" t="s">
        <v>36</v>
      </c>
      <c r="D2275" t="s">
        <v>73</v>
      </c>
      <c r="E2275" t="s">
        <v>212</v>
      </c>
      <c r="F2275" t="s">
        <v>130</v>
      </c>
      <c r="G2275" t="s">
        <v>75</v>
      </c>
      <c r="H2275" t="s">
        <v>23</v>
      </c>
      <c r="I2275" t="s">
        <v>24</v>
      </c>
      <c r="J2275" t="s">
        <v>220</v>
      </c>
      <c r="K2275">
        <v>1</v>
      </c>
      <c r="L2275" s="2">
        <v>14.02</v>
      </c>
      <c r="M2275" s="3">
        <v>0.1</v>
      </c>
      <c r="N2275" s="2">
        <v>12.62</v>
      </c>
      <c r="O2275" s="2">
        <v>8.1999999999999993</v>
      </c>
      <c r="P2275" s="2">
        <v>4.42</v>
      </c>
      <c r="Q2275" t="s">
        <v>26</v>
      </c>
    </row>
    <row r="2276" spans="1:17" x14ac:dyDescent="0.2">
      <c r="A2276" t="s">
        <v>2441</v>
      </c>
      <c r="B2276" s="1">
        <v>45936</v>
      </c>
      <c r="C2276" t="s">
        <v>36</v>
      </c>
      <c r="D2276" t="s">
        <v>144</v>
      </c>
      <c r="E2276" t="s">
        <v>214</v>
      </c>
      <c r="F2276" t="s">
        <v>30</v>
      </c>
      <c r="G2276" t="s">
        <v>75</v>
      </c>
      <c r="H2276" t="s">
        <v>31</v>
      </c>
      <c r="I2276" t="s">
        <v>32</v>
      </c>
      <c r="J2276" t="s">
        <v>104</v>
      </c>
      <c r="K2276">
        <v>6</v>
      </c>
      <c r="L2276" s="2">
        <v>714</v>
      </c>
      <c r="M2276" s="3">
        <v>0.05</v>
      </c>
      <c r="N2276" s="2">
        <v>4069.8</v>
      </c>
      <c r="O2276" s="2">
        <v>2811.16</v>
      </c>
      <c r="P2276" s="2">
        <v>1258.6400000000001</v>
      </c>
      <c r="Q2276" t="s">
        <v>34</v>
      </c>
    </row>
    <row r="2277" spans="1:17" x14ac:dyDescent="0.2">
      <c r="A2277" t="s">
        <v>2442</v>
      </c>
      <c r="B2277" s="1">
        <v>45936</v>
      </c>
      <c r="C2277" t="s">
        <v>18</v>
      </c>
      <c r="D2277" t="s">
        <v>133</v>
      </c>
      <c r="E2277" t="s">
        <v>197</v>
      </c>
      <c r="F2277" t="s">
        <v>60</v>
      </c>
      <c r="G2277" t="s">
        <v>54</v>
      </c>
      <c r="H2277" t="s">
        <v>31</v>
      </c>
      <c r="I2277" t="s">
        <v>32</v>
      </c>
      <c r="J2277" t="s">
        <v>104</v>
      </c>
      <c r="K2277">
        <v>10</v>
      </c>
      <c r="L2277" s="2">
        <v>1727.98</v>
      </c>
      <c r="M2277" s="3">
        <v>0</v>
      </c>
      <c r="N2277" s="2">
        <v>17279.8</v>
      </c>
      <c r="O2277" s="2">
        <v>10047.030000000001</v>
      </c>
      <c r="P2277" s="2">
        <v>7232.77</v>
      </c>
      <c r="Q2277" t="s">
        <v>26</v>
      </c>
    </row>
    <row r="2278" spans="1:17" x14ac:dyDescent="0.2">
      <c r="A2278" t="s">
        <v>2443</v>
      </c>
      <c r="B2278" s="1">
        <v>45936</v>
      </c>
      <c r="C2278" t="s">
        <v>77</v>
      </c>
      <c r="D2278" t="s">
        <v>78</v>
      </c>
      <c r="E2278" t="s">
        <v>52</v>
      </c>
      <c r="F2278" t="s">
        <v>69</v>
      </c>
      <c r="G2278" t="s">
        <v>22</v>
      </c>
      <c r="H2278" t="s">
        <v>23</v>
      </c>
      <c r="I2278" t="s">
        <v>83</v>
      </c>
      <c r="J2278" t="s">
        <v>131</v>
      </c>
      <c r="K2278">
        <v>10</v>
      </c>
      <c r="L2278" s="2">
        <v>12.53</v>
      </c>
      <c r="M2278" s="3">
        <v>0</v>
      </c>
      <c r="N2278" s="2">
        <v>125.3</v>
      </c>
      <c r="O2278" s="2">
        <v>85.51</v>
      </c>
      <c r="P2278" s="2">
        <v>39.79</v>
      </c>
      <c r="Q2278" t="s">
        <v>57</v>
      </c>
    </row>
    <row r="2279" spans="1:17" x14ac:dyDescent="0.2">
      <c r="A2279" t="s">
        <v>2444</v>
      </c>
      <c r="B2279" s="1">
        <v>45936</v>
      </c>
      <c r="C2279" t="s">
        <v>18</v>
      </c>
      <c r="D2279" t="s">
        <v>19</v>
      </c>
      <c r="E2279" t="s">
        <v>100</v>
      </c>
      <c r="F2279" t="s">
        <v>30</v>
      </c>
      <c r="G2279" t="s">
        <v>75</v>
      </c>
      <c r="H2279" t="s">
        <v>31</v>
      </c>
      <c r="I2279" t="s">
        <v>64</v>
      </c>
      <c r="J2279" t="s">
        <v>252</v>
      </c>
      <c r="K2279">
        <v>8</v>
      </c>
      <c r="L2279" s="2">
        <v>72.19</v>
      </c>
      <c r="M2279" s="3">
        <v>0.05</v>
      </c>
      <c r="N2279" s="2">
        <v>548.64</v>
      </c>
      <c r="O2279" s="2">
        <v>401.49</v>
      </c>
      <c r="P2279" s="2">
        <v>147.15</v>
      </c>
      <c r="Q2279" t="s">
        <v>57</v>
      </c>
    </row>
    <row r="2280" spans="1:17" x14ac:dyDescent="0.2">
      <c r="A2280" t="s">
        <v>2445</v>
      </c>
      <c r="B2280" s="1">
        <v>45936</v>
      </c>
      <c r="C2280" t="s">
        <v>77</v>
      </c>
      <c r="D2280" t="s">
        <v>78</v>
      </c>
      <c r="E2280" t="s">
        <v>52</v>
      </c>
      <c r="F2280" t="s">
        <v>30</v>
      </c>
      <c r="G2280" t="s">
        <v>75</v>
      </c>
      <c r="H2280" t="s">
        <v>23</v>
      </c>
      <c r="I2280" t="s">
        <v>79</v>
      </c>
      <c r="J2280" t="s">
        <v>179</v>
      </c>
      <c r="K2280">
        <v>4</v>
      </c>
      <c r="L2280" s="2">
        <v>494.1</v>
      </c>
      <c r="M2280" s="3">
        <v>0.15</v>
      </c>
      <c r="N2280" s="2">
        <v>1679.94</v>
      </c>
      <c r="O2280" s="2">
        <v>1259.53</v>
      </c>
      <c r="P2280" s="2">
        <v>420.41</v>
      </c>
      <c r="Q2280" t="s">
        <v>57</v>
      </c>
    </row>
    <row r="2281" spans="1:17" x14ac:dyDescent="0.2">
      <c r="A2281" t="s">
        <v>2446</v>
      </c>
      <c r="B2281" s="1">
        <v>45936</v>
      </c>
      <c r="C2281" t="s">
        <v>43</v>
      </c>
      <c r="D2281" t="s">
        <v>208</v>
      </c>
      <c r="E2281" t="s">
        <v>287</v>
      </c>
      <c r="F2281" t="s">
        <v>69</v>
      </c>
      <c r="G2281" t="s">
        <v>75</v>
      </c>
      <c r="H2281" t="s">
        <v>23</v>
      </c>
      <c r="I2281" t="s">
        <v>24</v>
      </c>
      <c r="J2281" t="s">
        <v>220</v>
      </c>
      <c r="K2281">
        <v>9</v>
      </c>
      <c r="L2281" s="2">
        <v>24.12</v>
      </c>
      <c r="M2281" s="3">
        <v>0.1</v>
      </c>
      <c r="N2281" s="2">
        <v>195.37</v>
      </c>
      <c r="O2281" s="2">
        <v>148.41999999999999</v>
      </c>
      <c r="P2281" s="2">
        <v>46.95</v>
      </c>
      <c r="Q2281" t="s">
        <v>34</v>
      </c>
    </row>
    <row r="2282" spans="1:17" x14ac:dyDescent="0.2">
      <c r="A2282" t="s">
        <v>2447</v>
      </c>
      <c r="B2282" s="1">
        <v>45936</v>
      </c>
      <c r="C2282" t="s">
        <v>18</v>
      </c>
      <c r="D2282" t="s">
        <v>133</v>
      </c>
      <c r="E2282" t="s">
        <v>197</v>
      </c>
      <c r="F2282" t="s">
        <v>60</v>
      </c>
      <c r="G2282" t="s">
        <v>75</v>
      </c>
      <c r="H2282" t="s">
        <v>47</v>
      </c>
      <c r="I2282" t="s">
        <v>89</v>
      </c>
      <c r="J2282" t="s">
        <v>240</v>
      </c>
      <c r="K2282">
        <v>10</v>
      </c>
      <c r="L2282" s="2">
        <v>374.64</v>
      </c>
      <c r="M2282" s="3">
        <v>0.05</v>
      </c>
      <c r="N2282" s="2">
        <v>3559.08</v>
      </c>
      <c r="O2282" s="2">
        <v>2492.38</v>
      </c>
      <c r="P2282" s="2">
        <v>1066.7</v>
      </c>
      <c r="Q2282" t="s">
        <v>34</v>
      </c>
    </row>
    <row r="2283" spans="1:17" x14ac:dyDescent="0.2">
      <c r="A2283" t="s">
        <v>2448</v>
      </c>
      <c r="B2283" s="1">
        <v>45936</v>
      </c>
      <c r="C2283" t="s">
        <v>18</v>
      </c>
      <c r="D2283" t="s">
        <v>86</v>
      </c>
      <c r="E2283" t="s">
        <v>87</v>
      </c>
      <c r="F2283" t="s">
        <v>46</v>
      </c>
      <c r="G2283" t="s">
        <v>22</v>
      </c>
      <c r="H2283" t="s">
        <v>31</v>
      </c>
      <c r="I2283" t="s">
        <v>32</v>
      </c>
      <c r="J2283" t="s">
        <v>33</v>
      </c>
      <c r="K2283">
        <v>10</v>
      </c>
      <c r="L2283" s="2">
        <v>1119.8599999999999</v>
      </c>
      <c r="M2283" s="3">
        <v>0</v>
      </c>
      <c r="N2283" s="2">
        <v>11198.6</v>
      </c>
      <c r="O2283" s="2">
        <v>7438.94</v>
      </c>
      <c r="P2283" s="2">
        <v>3759.66</v>
      </c>
      <c r="Q2283" t="s">
        <v>34</v>
      </c>
    </row>
    <row r="2284" spans="1:17" x14ac:dyDescent="0.2">
      <c r="A2284" t="s">
        <v>2449</v>
      </c>
      <c r="B2284" s="1">
        <v>45937</v>
      </c>
      <c r="C2284" t="s">
        <v>77</v>
      </c>
      <c r="D2284" t="s">
        <v>128</v>
      </c>
      <c r="E2284" t="s">
        <v>155</v>
      </c>
      <c r="F2284" t="s">
        <v>130</v>
      </c>
      <c r="G2284" t="s">
        <v>54</v>
      </c>
      <c r="H2284" t="s">
        <v>23</v>
      </c>
      <c r="I2284" t="s">
        <v>55</v>
      </c>
      <c r="J2284" t="s">
        <v>102</v>
      </c>
      <c r="K2284">
        <v>10</v>
      </c>
      <c r="L2284" s="2">
        <v>9.1999999999999993</v>
      </c>
      <c r="M2284" s="3">
        <v>0.05</v>
      </c>
      <c r="N2284" s="2">
        <v>87.4</v>
      </c>
      <c r="O2284" s="2">
        <v>58.52</v>
      </c>
      <c r="P2284" s="2">
        <v>28.88</v>
      </c>
      <c r="Q2284" t="s">
        <v>26</v>
      </c>
    </row>
    <row r="2285" spans="1:17" x14ac:dyDescent="0.2">
      <c r="A2285" t="s">
        <v>2450</v>
      </c>
      <c r="B2285" s="1">
        <v>45937</v>
      </c>
      <c r="C2285" t="s">
        <v>43</v>
      </c>
      <c r="D2285" t="s">
        <v>51</v>
      </c>
      <c r="E2285" t="s">
        <v>59</v>
      </c>
      <c r="F2285" t="s">
        <v>130</v>
      </c>
      <c r="G2285" t="s">
        <v>22</v>
      </c>
      <c r="H2285" t="s">
        <v>23</v>
      </c>
      <c r="I2285" t="s">
        <v>24</v>
      </c>
      <c r="J2285" t="s">
        <v>25</v>
      </c>
      <c r="K2285">
        <v>1</v>
      </c>
      <c r="L2285" s="2">
        <v>21.28</v>
      </c>
      <c r="M2285" s="3">
        <v>0.05</v>
      </c>
      <c r="N2285" s="2">
        <v>20.22</v>
      </c>
      <c r="O2285" s="2">
        <v>15.44</v>
      </c>
      <c r="P2285" s="2">
        <v>4.78</v>
      </c>
      <c r="Q2285" t="s">
        <v>26</v>
      </c>
    </row>
    <row r="2286" spans="1:17" x14ac:dyDescent="0.2">
      <c r="A2286" t="s">
        <v>2451</v>
      </c>
      <c r="B2286" s="1">
        <v>45937</v>
      </c>
      <c r="C2286" t="s">
        <v>36</v>
      </c>
      <c r="D2286" t="s">
        <v>67</v>
      </c>
      <c r="E2286" t="s">
        <v>270</v>
      </c>
      <c r="F2286" t="s">
        <v>30</v>
      </c>
      <c r="G2286" t="s">
        <v>54</v>
      </c>
      <c r="H2286" t="s">
        <v>31</v>
      </c>
      <c r="I2286" t="s">
        <v>112</v>
      </c>
      <c r="J2286" t="s">
        <v>113</v>
      </c>
      <c r="K2286">
        <v>3</v>
      </c>
      <c r="L2286" s="2">
        <v>375.26</v>
      </c>
      <c r="M2286" s="3">
        <v>0.05</v>
      </c>
      <c r="N2286" s="2">
        <v>1069.49</v>
      </c>
      <c r="O2286" s="2">
        <v>838.04</v>
      </c>
      <c r="P2286" s="2">
        <v>231.45</v>
      </c>
      <c r="Q2286" t="s">
        <v>57</v>
      </c>
    </row>
    <row r="2287" spans="1:17" x14ac:dyDescent="0.2">
      <c r="A2287" t="s">
        <v>2452</v>
      </c>
      <c r="B2287" s="1">
        <v>45937</v>
      </c>
      <c r="C2287" t="s">
        <v>36</v>
      </c>
      <c r="D2287" t="s">
        <v>144</v>
      </c>
      <c r="E2287" t="s">
        <v>214</v>
      </c>
      <c r="F2287" t="s">
        <v>39</v>
      </c>
      <c r="G2287" t="s">
        <v>22</v>
      </c>
      <c r="H2287" t="s">
        <v>23</v>
      </c>
      <c r="I2287" t="s">
        <v>79</v>
      </c>
      <c r="J2287" t="s">
        <v>233</v>
      </c>
      <c r="K2287">
        <v>3</v>
      </c>
      <c r="L2287" s="2">
        <v>431.33</v>
      </c>
      <c r="M2287" s="3">
        <v>0.1</v>
      </c>
      <c r="N2287" s="2">
        <v>1164.5899999999999</v>
      </c>
      <c r="O2287" s="2">
        <v>781.59</v>
      </c>
      <c r="P2287" s="2">
        <v>383</v>
      </c>
      <c r="Q2287" t="s">
        <v>57</v>
      </c>
    </row>
    <row r="2288" spans="1:17" x14ac:dyDescent="0.2">
      <c r="A2288" t="s">
        <v>2453</v>
      </c>
      <c r="B2288" s="1">
        <v>45938</v>
      </c>
      <c r="C2288" t="s">
        <v>77</v>
      </c>
      <c r="D2288" t="s">
        <v>149</v>
      </c>
      <c r="E2288" t="s">
        <v>206</v>
      </c>
      <c r="F2288" t="s">
        <v>21</v>
      </c>
      <c r="G2288" t="s">
        <v>54</v>
      </c>
      <c r="H2288" t="s">
        <v>23</v>
      </c>
      <c r="I2288" t="s">
        <v>55</v>
      </c>
      <c r="J2288" t="s">
        <v>173</v>
      </c>
      <c r="K2288">
        <v>9</v>
      </c>
      <c r="L2288" s="2">
        <v>20.72</v>
      </c>
      <c r="M2288" s="3">
        <v>0.1</v>
      </c>
      <c r="N2288" s="2">
        <v>167.83</v>
      </c>
      <c r="O2288" s="2">
        <v>132.07</v>
      </c>
      <c r="P2288" s="2">
        <v>35.76</v>
      </c>
      <c r="Q2288" t="s">
        <v>57</v>
      </c>
    </row>
    <row r="2289" spans="1:17" x14ac:dyDescent="0.2">
      <c r="A2289" t="s">
        <v>2454</v>
      </c>
      <c r="B2289" s="1">
        <v>45938</v>
      </c>
      <c r="C2289" t="s">
        <v>43</v>
      </c>
      <c r="D2289" t="s">
        <v>51</v>
      </c>
      <c r="E2289" t="s">
        <v>52</v>
      </c>
      <c r="F2289" t="s">
        <v>69</v>
      </c>
      <c r="G2289" t="s">
        <v>22</v>
      </c>
      <c r="H2289" t="s">
        <v>31</v>
      </c>
      <c r="I2289" t="s">
        <v>40</v>
      </c>
      <c r="J2289" t="s">
        <v>216</v>
      </c>
      <c r="K2289">
        <v>1</v>
      </c>
      <c r="L2289" s="2">
        <v>177.16</v>
      </c>
      <c r="M2289" s="3">
        <v>0</v>
      </c>
      <c r="N2289" s="2">
        <v>177.16</v>
      </c>
      <c r="O2289" s="2">
        <v>98.77</v>
      </c>
      <c r="P2289" s="2">
        <v>78.39</v>
      </c>
      <c r="Q2289" t="s">
        <v>26</v>
      </c>
    </row>
    <row r="2290" spans="1:17" x14ac:dyDescent="0.2">
      <c r="A2290" t="s">
        <v>2455</v>
      </c>
      <c r="B2290" s="1">
        <v>45938</v>
      </c>
      <c r="C2290" t="s">
        <v>18</v>
      </c>
      <c r="D2290" t="s">
        <v>28</v>
      </c>
      <c r="E2290" t="s">
        <v>170</v>
      </c>
      <c r="F2290" t="s">
        <v>130</v>
      </c>
      <c r="G2290" t="s">
        <v>54</v>
      </c>
      <c r="H2290" t="s">
        <v>23</v>
      </c>
      <c r="I2290" t="s">
        <v>55</v>
      </c>
      <c r="J2290" t="s">
        <v>56</v>
      </c>
      <c r="K2290">
        <v>10</v>
      </c>
      <c r="L2290" s="2">
        <v>11.4</v>
      </c>
      <c r="M2290" s="3">
        <v>0.15</v>
      </c>
      <c r="N2290" s="2">
        <v>96.9</v>
      </c>
      <c r="O2290" s="2">
        <v>57.63</v>
      </c>
      <c r="P2290" s="2">
        <v>39.270000000000003</v>
      </c>
      <c r="Q2290" t="s">
        <v>61</v>
      </c>
    </row>
    <row r="2291" spans="1:17" x14ac:dyDescent="0.2">
      <c r="A2291" t="s">
        <v>2456</v>
      </c>
      <c r="B2291" s="1">
        <v>45938</v>
      </c>
      <c r="C2291" t="s">
        <v>43</v>
      </c>
      <c r="D2291" t="s">
        <v>51</v>
      </c>
      <c r="E2291" t="s">
        <v>52</v>
      </c>
      <c r="F2291" t="s">
        <v>69</v>
      </c>
      <c r="G2291" t="s">
        <v>54</v>
      </c>
      <c r="H2291" t="s">
        <v>23</v>
      </c>
      <c r="I2291" t="s">
        <v>79</v>
      </c>
      <c r="J2291" t="s">
        <v>179</v>
      </c>
      <c r="K2291">
        <v>2</v>
      </c>
      <c r="L2291" s="2">
        <v>165.99</v>
      </c>
      <c r="M2291" s="3">
        <v>0.1</v>
      </c>
      <c r="N2291" s="2">
        <v>298.77999999999997</v>
      </c>
      <c r="O2291" s="2">
        <v>178.72</v>
      </c>
      <c r="P2291" s="2">
        <v>120.06</v>
      </c>
      <c r="Q2291" t="s">
        <v>61</v>
      </c>
    </row>
    <row r="2292" spans="1:17" x14ac:dyDescent="0.2">
      <c r="A2292" t="s">
        <v>2457</v>
      </c>
      <c r="B2292" s="1">
        <v>45938</v>
      </c>
      <c r="C2292" t="s">
        <v>43</v>
      </c>
      <c r="D2292" t="s">
        <v>44</v>
      </c>
      <c r="E2292" t="s">
        <v>82</v>
      </c>
      <c r="F2292" t="s">
        <v>21</v>
      </c>
      <c r="G2292" t="s">
        <v>75</v>
      </c>
      <c r="H2292" t="s">
        <v>47</v>
      </c>
      <c r="I2292" t="s">
        <v>89</v>
      </c>
      <c r="J2292" t="s">
        <v>240</v>
      </c>
      <c r="K2292">
        <v>2</v>
      </c>
      <c r="L2292" s="2">
        <v>485.78</v>
      </c>
      <c r="M2292" s="3">
        <v>0.05</v>
      </c>
      <c r="N2292" s="2">
        <v>922.98</v>
      </c>
      <c r="O2292" s="2">
        <v>676.92</v>
      </c>
      <c r="P2292" s="2">
        <v>246.06</v>
      </c>
      <c r="Q2292" t="s">
        <v>61</v>
      </c>
    </row>
    <row r="2293" spans="1:17" x14ac:dyDescent="0.2">
      <c r="A2293" t="s">
        <v>2458</v>
      </c>
      <c r="B2293" s="1">
        <v>45938</v>
      </c>
      <c r="C2293" t="s">
        <v>18</v>
      </c>
      <c r="D2293" t="s">
        <v>152</v>
      </c>
      <c r="E2293" t="s">
        <v>166</v>
      </c>
      <c r="F2293" t="s">
        <v>71</v>
      </c>
      <c r="G2293" t="s">
        <v>75</v>
      </c>
      <c r="H2293" t="s">
        <v>23</v>
      </c>
      <c r="I2293" t="s">
        <v>24</v>
      </c>
      <c r="J2293" t="s">
        <v>220</v>
      </c>
      <c r="K2293">
        <v>8</v>
      </c>
      <c r="L2293" s="2">
        <v>25.6</v>
      </c>
      <c r="M2293" s="3">
        <v>0.1</v>
      </c>
      <c r="N2293" s="2">
        <v>184.32</v>
      </c>
      <c r="O2293" s="2">
        <v>130.41</v>
      </c>
      <c r="P2293" s="2">
        <v>53.91</v>
      </c>
      <c r="Q2293" t="s">
        <v>26</v>
      </c>
    </row>
    <row r="2294" spans="1:17" x14ac:dyDescent="0.2">
      <c r="A2294" t="s">
        <v>2459</v>
      </c>
      <c r="B2294" s="1">
        <v>45938</v>
      </c>
      <c r="C2294" t="s">
        <v>36</v>
      </c>
      <c r="D2294" t="s">
        <v>110</v>
      </c>
      <c r="E2294" t="s">
        <v>111</v>
      </c>
      <c r="F2294" t="s">
        <v>71</v>
      </c>
      <c r="G2294" t="s">
        <v>54</v>
      </c>
      <c r="H2294" t="s">
        <v>23</v>
      </c>
      <c r="I2294" t="s">
        <v>55</v>
      </c>
      <c r="J2294" t="s">
        <v>102</v>
      </c>
      <c r="K2294">
        <v>10</v>
      </c>
      <c r="L2294" s="2">
        <v>8.25</v>
      </c>
      <c r="M2294" s="3">
        <v>0.1</v>
      </c>
      <c r="N2294" s="2">
        <v>74.25</v>
      </c>
      <c r="O2294" s="2">
        <v>51.66</v>
      </c>
      <c r="P2294" s="2">
        <v>22.59</v>
      </c>
      <c r="Q2294" t="s">
        <v>61</v>
      </c>
    </row>
    <row r="2295" spans="1:17" x14ac:dyDescent="0.2">
      <c r="A2295" t="s">
        <v>2460</v>
      </c>
      <c r="B2295" s="1">
        <v>45938</v>
      </c>
      <c r="C2295" t="s">
        <v>77</v>
      </c>
      <c r="D2295" t="s">
        <v>78</v>
      </c>
      <c r="E2295" t="s">
        <v>295</v>
      </c>
      <c r="F2295" t="s">
        <v>138</v>
      </c>
      <c r="G2295" t="s">
        <v>22</v>
      </c>
      <c r="H2295" t="s">
        <v>31</v>
      </c>
      <c r="I2295" t="s">
        <v>40</v>
      </c>
      <c r="J2295" t="s">
        <v>41</v>
      </c>
      <c r="K2295">
        <v>9</v>
      </c>
      <c r="L2295" s="2">
        <v>204.83</v>
      </c>
      <c r="M2295" s="3">
        <v>0.1</v>
      </c>
      <c r="N2295" s="2">
        <v>1659.12</v>
      </c>
      <c r="O2295" s="2">
        <v>1294.28</v>
      </c>
      <c r="P2295" s="2">
        <v>364.84</v>
      </c>
      <c r="Q2295" t="s">
        <v>26</v>
      </c>
    </row>
    <row r="2296" spans="1:17" x14ac:dyDescent="0.2">
      <c r="A2296" t="s">
        <v>2461</v>
      </c>
      <c r="B2296" s="1">
        <v>45939</v>
      </c>
      <c r="C2296" t="s">
        <v>18</v>
      </c>
      <c r="D2296" t="s">
        <v>133</v>
      </c>
      <c r="E2296" t="s">
        <v>197</v>
      </c>
      <c r="F2296" t="s">
        <v>71</v>
      </c>
      <c r="G2296" t="s">
        <v>75</v>
      </c>
      <c r="H2296" t="s">
        <v>23</v>
      </c>
      <c r="I2296" t="s">
        <v>24</v>
      </c>
      <c r="J2296" t="s">
        <v>108</v>
      </c>
      <c r="K2296">
        <v>9</v>
      </c>
      <c r="L2296" s="2">
        <v>17.78</v>
      </c>
      <c r="M2296" s="3">
        <v>0</v>
      </c>
      <c r="N2296" s="2">
        <v>160.02000000000001</v>
      </c>
      <c r="O2296" s="2">
        <v>106.02</v>
      </c>
      <c r="P2296" s="2">
        <v>54</v>
      </c>
      <c r="Q2296" t="s">
        <v>61</v>
      </c>
    </row>
    <row r="2297" spans="1:17" x14ac:dyDescent="0.2">
      <c r="A2297" t="s">
        <v>2462</v>
      </c>
      <c r="B2297" s="1">
        <v>45939</v>
      </c>
      <c r="C2297" t="s">
        <v>43</v>
      </c>
      <c r="D2297" t="s">
        <v>161</v>
      </c>
      <c r="E2297" t="s">
        <v>162</v>
      </c>
      <c r="F2297" t="s">
        <v>60</v>
      </c>
      <c r="G2297" t="s">
        <v>22</v>
      </c>
      <c r="H2297" t="s">
        <v>31</v>
      </c>
      <c r="I2297" t="s">
        <v>64</v>
      </c>
      <c r="J2297" t="s">
        <v>126</v>
      </c>
      <c r="K2297">
        <v>2</v>
      </c>
      <c r="L2297" s="2">
        <v>104.73</v>
      </c>
      <c r="M2297" s="3">
        <v>0</v>
      </c>
      <c r="N2297" s="2">
        <v>209.46</v>
      </c>
      <c r="O2297" s="2">
        <v>159.59</v>
      </c>
      <c r="P2297" s="2">
        <v>49.87</v>
      </c>
      <c r="Q2297" t="s">
        <v>34</v>
      </c>
    </row>
    <row r="2298" spans="1:17" x14ac:dyDescent="0.2">
      <c r="A2298" t="s">
        <v>2463</v>
      </c>
      <c r="B2298" s="1">
        <v>45939</v>
      </c>
      <c r="C2298" t="s">
        <v>36</v>
      </c>
      <c r="D2298" t="s">
        <v>73</v>
      </c>
      <c r="E2298" t="s">
        <v>247</v>
      </c>
      <c r="F2298" t="s">
        <v>69</v>
      </c>
      <c r="G2298" t="s">
        <v>22</v>
      </c>
      <c r="H2298" t="s">
        <v>31</v>
      </c>
      <c r="I2298" t="s">
        <v>112</v>
      </c>
      <c r="J2298" t="s">
        <v>136</v>
      </c>
      <c r="K2298">
        <v>1</v>
      </c>
      <c r="L2298" s="2">
        <v>535.26</v>
      </c>
      <c r="M2298" s="3">
        <v>0.05</v>
      </c>
      <c r="N2298" s="2">
        <v>508.5</v>
      </c>
      <c r="O2298" s="2">
        <v>284.39</v>
      </c>
      <c r="P2298" s="2">
        <v>224.11</v>
      </c>
      <c r="Q2298" t="s">
        <v>26</v>
      </c>
    </row>
    <row r="2299" spans="1:17" x14ac:dyDescent="0.2">
      <c r="A2299" t="s">
        <v>2464</v>
      </c>
      <c r="B2299" s="1">
        <v>45939</v>
      </c>
      <c r="C2299" t="s">
        <v>43</v>
      </c>
      <c r="D2299" t="s">
        <v>161</v>
      </c>
      <c r="E2299" t="s">
        <v>162</v>
      </c>
      <c r="F2299" t="s">
        <v>21</v>
      </c>
      <c r="G2299" t="s">
        <v>22</v>
      </c>
      <c r="H2299" t="s">
        <v>47</v>
      </c>
      <c r="I2299" t="s">
        <v>141</v>
      </c>
      <c r="J2299" t="s">
        <v>142</v>
      </c>
      <c r="K2299">
        <v>6</v>
      </c>
      <c r="L2299" s="2">
        <v>696.88</v>
      </c>
      <c r="M2299" s="3">
        <v>0</v>
      </c>
      <c r="N2299" s="2">
        <v>4181.28</v>
      </c>
      <c r="O2299" s="2">
        <v>3413.83</v>
      </c>
      <c r="P2299" s="2">
        <v>767.45</v>
      </c>
      <c r="Q2299" t="s">
        <v>61</v>
      </c>
    </row>
    <row r="2300" spans="1:17" x14ac:dyDescent="0.2">
      <c r="A2300" t="s">
        <v>2465</v>
      </c>
      <c r="B2300" s="1">
        <v>45939</v>
      </c>
      <c r="C2300" t="s">
        <v>43</v>
      </c>
      <c r="D2300" t="s">
        <v>51</v>
      </c>
      <c r="E2300" t="s">
        <v>52</v>
      </c>
      <c r="F2300" t="s">
        <v>46</v>
      </c>
      <c r="G2300" t="s">
        <v>22</v>
      </c>
      <c r="H2300" t="s">
        <v>31</v>
      </c>
      <c r="I2300" t="s">
        <v>32</v>
      </c>
      <c r="J2300" t="s">
        <v>258</v>
      </c>
      <c r="K2300">
        <v>9</v>
      </c>
      <c r="L2300" s="2">
        <v>1479.5</v>
      </c>
      <c r="M2300" s="3">
        <v>0</v>
      </c>
      <c r="N2300" s="2">
        <v>13315.5</v>
      </c>
      <c r="O2300" s="2">
        <v>8483.4699999999993</v>
      </c>
      <c r="P2300" s="2">
        <v>4832.03</v>
      </c>
      <c r="Q2300" t="s">
        <v>26</v>
      </c>
    </row>
    <row r="2301" spans="1:17" x14ac:dyDescent="0.2">
      <c r="A2301" t="s">
        <v>2466</v>
      </c>
      <c r="B2301" s="1">
        <v>45939</v>
      </c>
      <c r="C2301" t="s">
        <v>43</v>
      </c>
      <c r="D2301" t="s">
        <v>161</v>
      </c>
      <c r="E2301" t="s">
        <v>418</v>
      </c>
      <c r="F2301" t="s">
        <v>21</v>
      </c>
      <c r="G2301" t="s">
        <v>22</v>
      </c>
      <c r="H2301" t="s">
        <v>31</v>
      </c>
      <c r="I2301" t="s">
        <v>32</v>
      </c>
      <c r="J2301" t="s">
        <v>258</v>
      </c>
      <c r="K2301">
        <v>6</v>
      </c>
      <c r="L2301" s="2">
        <v>1785.24</v>
      </c>
      <c r="M2301" s="3">
        <v>0</v>
      </c>
      <c r="N2301" s="2">
        <v>10711.44</v>
      </c>
      <c r="O2301" s="2">
        <v>6235.97</v>
      </c>
      <c r="P2301" s="2">
        <v>4475.47</v>
      </c>
      <c r="Q2301" t="s">
        <v>61</v>
      </c>
    </row>
    <row r="2302" spans="1:17" x14ac:dyDescent="0.2">
      <c r="A2302" t="s">
        <v>2467</v>
      </c>
      <c r="B2302" s="1">
        <v>45939</v>
      </c>
      <c r="C2302" t="s">
        <v>77</v>
      </c>
      <c r="D2302" t="s">
        <v>128</v>
      </c>
      <c r="E2302" t="s">
        <v>155</v>
      </c>
      <c r="F2302" t="s">
        <v>71</v>
      </c>
      <c r="G2302" t="s">
        <v>22</v>
      </c>
      <c r="H2302" t="s">
        <v>23</v>
      </c>
      <c r="I2302" t="s">
        <v>83</v>
      </c>
      <c r="J2302" t="s">
        <v>120</v>
      </c>
      <c r="K2302">
        <v>5</v>
      </c>
      <c r="L2302" s="2">
        <v>13.16</v>
      </c>
      <c r="M2302" s="3">
        <v>0.05</v>
      </c>
      <c r="N2302" s="2">
        <v>62.51</v>
      </c>
      <c r="O2302" s="2">
        <v>40.1</v>
      </c>
      <c r="P2302" s="2">
        <v>22.41</v>
      </c>
      <c r="Q2302" t="s">
        <v>26</v>
      </c>
    </row>
    <row r="2303" spans="1:17" x14ac:dyDescent="0.2">
      <c r="A2303" t="s">
        <v>2468</v>
      </c>
      <c r="B2303" s="1">
        <v>45939</v>
      </c>
      <c r="C2303" t="s">
        <v>77</v>
      </c>
      <c r="D2303" t="s">
        <v>149</v>
      </c>
      <c r="E2303" t="s">
        <v>206</v>
      </c>
      <c r="F2303" t="s">
        <v>53</v>
      </c>
      <c r="G2303" t="s">
        <v>75</v>
      </c>
      <c r="H2303" t="s">
        <v>47</v>
      </c>
      <c r="I2303" t="s">
        <v>89</v>
      </c>
      <c r="J2303" t="s">
        <v>204</v>
      </c>
      <c r="K2303">
        <v>9</v>
      </c>
      <c r="L2303" s="2">
        <v>328.55</v>
      </c>
      <c r="M2303" s="3">
        <v>0.05</v>
      </c>
      <c r="N2303" s="2">
        <v>2809.1</v>
      </c>
      <c r="O2303" s="2">
        <v>1782.52</v>
      </c>
      <c r="P2303" s="2">
        <v>1026.58</v>
      </c>
      <c r="Q2303" t="s">
        <v>57</v>
      </c>
    </row>
    <row r="2304" spans="1:17" x14ac:dyDescent="0.2">
      <c r="A2304" t="s">
        <v>2469</v>
      </c>
      <c r="B2304" s="1">
        <v>45940</v>
      </c>
      <c r="C2304" t="s">
        <v>36</v>
      </c>
      <c r="D2304" t="s">
        <v>67</v>
      </c>
      <c r="E2304" t="s">
        <v>323</v>
      </c>
      <c r="F2304" t="s">
        <v>21</v>
      </c>
      <c r="G2304" t="s">
        <v>22</v>
      </c>
      <c r="H2304" t="s">
        <v>23</v>
      </c>
      <c r="I2304" t="s">
        <v>55</v>
      </c>
      <c r="J2304" t="s">
        <v>102</v>
      </c>
      <c r="K2304">
        <v>4</v>
      </c>
      <c r="L2304" s="2">
        <v>23.81</v>
      </c>
      <c r="M2304" s="3">
        <v>0.1</v>
      </c>
      <c r="N2304" s="2">
        <v>85.72</v>
      </c>
      <c r="O2304" s="2">
        <v>69.47</v>
      </c>
      <c r="P2304" s="2">
        <v>16.25</v>
      </c>
      <c r="Q2304" t="s">
        <v>26</v>
      </c>
    </row>
    <row r="2305" spans="1:17" x14ac:dyDescent="0.2">
      <c r="A2305" t="s">
        <v>2470</v>
      </c>
      <c r="B2305" s="1">
        <v>45940</v>
      </c>
      <c r="C2305" t="s">
        <v>18</v>
      </c>
      <c r="D2305" t="s">
        <v>86</v>
      </c>
      <c r="E2305" t="s">
        <v>92</v>
      </c>
      <c r="F2305" t="s">
        <v>60</v>
      </c>
      <c r="G2305" t="s">
        <v>75</v>
      </c>
      <c r="H2305" t="s">
        <v>31</v>
      </c>
      <c r="I2305" t="s">
        <v>64</v>
      </c>
      <c r="J2305" t="s">
        <v>65</v>
      </c>
      <c r="K2305">
        <v>2</v>
      </c>
      <c r="L2305" s="2">
        <v>125.36</v>
      </c>
      <c r="M2305" s="3">
        <v>0.1</v>
      </c>
      <c r="N2305" s="2">
        <v>225.65</v>
      </c>
      <c r="O2305" s="2">
        <v>166.05</v>
      </c>
      <c r="P2305" s="2">
        <v>59.6</v>
      </c>
      <c r="Q2305" t="s">
        <v>26</v>
      </c>
    </row>
    <row r="2306" spans="1:17" x14ac:dyDescent="0.2">
      <c r="A2306" t="s">
        <v>2471</v>
      </c>
      <c r="B2306" s="1">
        <v>45940</v>
      </c>
      <c r="C2306" t="s">
        <v>36</v>
      </c>
      <c r="D2306" t="s">
        <v>37</v>
      </c>
      <c r="E2306" t="s">
        <v>38</v>
      </c>
      <c r="F2306" t="s">
        <v>46</v>
      </c>
      <c r="G2306" t="s">
        <v>75</v>
      </c>
      <c r="H2306" t="s">
        <v>31</v>
      </c>
      <c r="I2306" t="s">
        <v>40</v>
      </c>
      <c r="J2306" t="s">
        <v>41</v>
      </c>
      <c r="K2306">
        <v>6</v>
      </c>
      <c r="L2306" s="2">
        <v>243.69</v>
      </c>
      <c r="M2306" s="3">
        <v>0.1</v>
      </c>
      <c r="N2306" s="2">
        <v>1315.93</v>
      </c>
      <c r="O2306" s="2">
        <v>949.61</v>
      </c>
      <c r="P2306" s="2">
        <v>366.32</v>
      </c>
      <c r="Q2306" t="s">
        <v>57</v>
      </c>
    </row>
    <row r="2307" spans="1:17" x14ac:dyDescent="0.2">
      <c r="A2307" t="s">
        <v>2472</v>
      </c>
      <c r="B2307" s="1">
        <v>45940</v>
      </c>
      <c r="C2307" t="s">
        <v>18</v>
      </c>
      <c r="D2307" t="s">
        <v>28</v>
      </c>
      <c r="E2307" t="s">
        <v>29</v>
      </c>
      <c r="F2307" t="s">
        <v>69</v>
      </c>
      <c r="G2307" t="s">
        <v>22</v>
      </c>
      <c r="H2307" t="s">
        <v>47</v>
      </c>
      <c r="I2307" t="s">
        <v>89</v>
      </c>
      <c r="J2307" t="s">
        <v>240</v>
      </c>
      <c r="K2307">
        <v>3</v>
      </c>
      <c r="L2307" s="2">
        <v>386.78</v>
      </c>
      <c r="M2307" s="3">
        <v>0.15</v>
      </c>
      <c r="N2307" s="2">
        <v>986.29</v>
      </c>
      <c r="O2307" s="2">
        <v>688.04</v>
      </c>
      <c r="P2307" s="2">
        <v>298.25</v>
      </c>
      <c r="Q2307" t="s">
        <v>57</v>
      </c>
    </row>
    <row r="2308" spans="1:17" x14ac:dyDescent="0.2">
      <c r="A2308" t="s">
        <v>2473</v>
      </c>
      <c r="B2308" s="1">
        <v>45940</v>
      </c>
      <c r="C2308" t="s">
        <v>36</v>
      </c>
      <c r="D2308" t="s">
        <v>67</v>
      </c>
      <c r="E2308" t="s">
        <v>270</v>
      </c>
      <c r="F2308" t="s">
        <v>130</v>
      </c>
      <c r="G2308" t="s">
        <v>75</v>
      </c>
      <c r="H2308" t="s">
        <v>31</v>
      </c>
      <c r="I2308" t="s">
        <v>112</v>
      </c>
      <c r="J2308" t="s">
        <v>136</v>
      </c>
      <c r="K2308">
        <v>7</v>
      </c>
      <c r="L2308" s="2">
        <v>258.87</v>
      </c>
      <c r="M2308" s="3">
        <v>0.1</v>
      </c>
      <c r="N2308" s="2">
        <v>1630.88</v>
      </c>
      <c r="O2308" s="2">
        <v>966.12</v>
      </c>
      <c r="P2308" s="2">
        <v>664.76</v>
      </c>
      <c r="Q2308" t="s">
        <v>57</v>
      </c>
    </row>
    <row r="2309" spans="1:17" x14ac:dyDescent="0.2">
      <c r="A2309" t="s">
        <v>2474</v>
      </c>
      <c r="B2309" s="1">
        <v>45940</v>
      </c>
      <c r="C2309" t="s">
        <v>36</v>
      </c>
      <c r="D2309" t="s">
        <v>73</v>
      </c>
      <c r="E2309" t="s">
        <v>74</v>
      </c>
      <c r="F2309" t="s">
        <v>53</v>
      </c>
      <c r="G2309" t="s">
        <v>22</v>
      </c>
      <c r="H2309" t="s">
        <v>31</v>
      </c>
      <c r="I2309" t="s">
        <v>112</v>
      </c>
      <c r="J2309" t="s">
        <v>113</v>
      </c>
      <c r="K2309">
        <v>4</v>
      </c>
      <c r="L2309" s="2">
        <v>491.71</v>
      </c>
      <c r="M2309" s="3">
        <v>0</v>
      </c>
      <c r="N2309" s="2">
        <v>1966.84</v>
      </c>
      <c r="O2309" s="2">
        <v>1299.33</v>
      </c>
      <c r="P2309" s="2">
        <v>667.51</v>
      </c>
      <c r="Q2309" t="s">
        <v>34</v>
      </c>
    </row>
    <row r="2310" spans="1:17" x14ac:dyDescent="0.2">
      <c r="A2310" t="s">
        <v>2475</v>
      </c>
      <c r="B2310" s="1">
        <v>45940</v>
      </c>
      <c r="C2310" t="s">
        <v>18</v>
      </c>
      <c r="D2310" t="s">
        <v>28</v>
      </c>
      <c r="E2310" t="s">
        <v>170</v>
      </c>
      <c r="F2310" t="s">
        <v>53</v>
      </c>
      <c r="G2310" t="s">
        <v>22</v>
      </c>
      <c r="H2310" t="s">
        <v>31</v>
      </c>
      <c r="I2310" t="s">
        <v>112</v>
      </c>
      <c r="J2310" t="s">
        <v>176</v>
      </c>
      <c r="K2310">
        <v>6</v>
      </c>
      <c r="L2310" s="2">
        <v>356.79</v>
      </c>
      <c r="M2310" s="3">
        <v>0.1</v>
      </c>
      <c r="N2310" s="2">
        <v>1926.67</v>
      </c>
      <c r="O2310" s="2">
        <v>1193.05</v>
      </c>
      <c r="P2310" s="2">
        <v>733.62</v>
      </c>
      <c r="Q2310" t="s">
        <v>57</v>
      </c>
    </row>
    <row r="2311" spans="1:17" x14ac:dyDescent="0.2">
      <c r="A2311" t="s">
        <v>2476</v>
      </c>
      <c r="B2311" s="1">
        <v>45940</v>
      </c>
      <c r="C2311" t="s">
        <v>43</v>
      </c>
      <c r="D2311" t="s">
        <v>44</v>
      </c>
      <c r="E2311" t="s">
        <v>147</v>
      </c>
      <c r="F2311" t="s">
        <v>69</v>
      </c>
      <c r="G2311" t="s">
        <v>22</v>
      </c>
      <c r="H2311" t="s">
        <v>31</v>
      </c>
      <c r="I2311" t="s">
        <v>64</v>
      </c>
      <c r="J2311" t="s">
        <v>65</v>
      </c>
      <c r="K2311">
        <v>8</v>
      </c>
      <c r="L2311" s="2">
        <v>172.13</v>
      </c>
      <c r="M2311" s="3">
        <v>0</v>
      </c>
      <c r="N2311" s="2">
        <v>1377.04</v>
      </c>
      <c r="O2311" s="2">
        <v>783.43</v>
      </c>
      <c r="P2311" s="2">
        <v>593.61</v>
      </c>
      <c r="Q2311" t="s">
        <v>57</v>
      </c>
    </row>
    <row r="2312" spans="1:17" x14ac:dyDescent="0.2">
      <c r="A2312" t="s">
        <v>2477</v>
      </c>
      <c r="B2312" s="1">
        <v>45940</v>
      </c>
      <c r="C2312" t="s">
        <v>43</v>
      </c>
      <c r="D2312" t="s">
        <v>208</v>
      </c>
      <c r="E2312" t="s">
        <v>287</v>
      </c>
      <c r="F2312" t="s">
        <v>138</v>
      </c>
      <c r="G2312" t="s">
        <v>22</v>
      </c>
      <c r="H2312" t="s">
        <v>23</v>
      </c>
      <c r="I2312" t="s">
        <v>55</v>
      </c>
      <c r="J2312" t="s">
        <v>102</v>
      </c>
      <c r="K2312">
        <v>10</v>
      </c>
      <c r="L2312" s="2">
        <v>11.63</v>
      </c>
      <c r="M2312" s="3">
        <v>0.1</v>
      </c>
      <c r="N2312" s="2">
        <v>104.67</v>
      </c>
      <c r="O2312" s="2">
        <v>64.16</v>
      </c>
      <c r="P2312" s="2">
        <v>40.51</v>
      </c>
      <c r="Q2312" t="s">
        <v>57</v>
      </c>
    </row>
    <row r="2313" spans="1:17" x14ac:dyDescent="0.2">
      <c r="A2313" t="s">
        <v>2478</v>
      </c>
      <c r="B2313" s="1">
        <v>45940</v>
      </c>
      <c r="C2313" t="s">
        <v>18</v>
      </c>
      <c r="D2313" t="s">
        <v>28</v>
      </c>
      <c r="E2313" t="s">
        <v>157</v>
      </c>
      <c r="F2313" t="s">
        <v>30</v>
      </c>
      <c r="G2313" t="s">
        <v>75</v>
      </c>
      <c r="H2313" t="s">
        <v>23</v>
      </c>
      <c r="I2313" t="s">
        <v>55</v>
      </c>
      <c r="J2313" t="s">
        <v>102</v>
      </c>
      <c r="K2313">
        <v>7</v>
      </c>
      <c r="L2313" s="2">
        <v>21.59</v>
      </c>
      <c r="M2313" s="3">
        <v>0.2</v>
      </c>
      <c r="N2313" s="2">
        <v>120.9</v>
      </c>
      <c r="O2313" s="2">
        <v>88.29</v>
      </c>
      <c r="P2313" s="2">
        <v>32.61</v>
      </c>
      <c r="Q2313" t="s">
        <v>57</v>
      </c>
    </row>
    <row r="2314" spans="1:17" x14ac:dyDescent="0.2">
      <c r="A2314" t="s">
        <v>2479</v>
      </c>
      <c r="B2314" s="1">
        <v>45941</v>
      </c>
      <c r="C2314" t="s">
        <v>18</v>
      </c>
      <c r="D2314" t="s">
        <v>19</v>
      </c>
      <c r="E2314" t="s">
        <v>118</v>
      </c>
      <c r="F2314" t="s">
        <v>69</v>
      </c>
      <c r="G2314" t="s">
        <v>75</v>
      </c>
      <c r="H2314" t="s">
        <v>31</v>
      </c>
      <c r="I2314" t="s">
        <v>112</v>
      </c>
      <c r="J2314" t="s">
        <v>113</v>
      </c>
      <c r="K2314">
        <v>7</v>
      </c>
      <c r="L2314" s="2">
        <v>238.84</v>
      </c>
      <c r="M2314" s="3">
        <v>0.1</v>
      </c>
      <c r="N2314" s="2">
        <v>1504.69</v>
      </c>
      <c r="O2314" s="2">
        <v>1144.74</v>
      </c>
      <c r="P2314" s="2">
        <v>359.95</v>
      </c>
      <c r="Q2314" t="s">
        <v>61</v>
      </c>
    </row>
    <row r="2315" spans="1:17" x14ac:dyDescent="0.2">
      <c r="A2315" t="s">
        <v>2480</v>
      </c>
      <c r="B2315" s="1">
        <v>45941</v>
      </c>
      <c r="C2315" t="s">
        <v>18</v>
      </c>
      <c r="D2315" t="s">
        <v>133</v>
      </c>
      <c r="E2315" t="s">
        <v>226</v>
      </c>
      <c r="F2315" t="s">
        <v>21</v>
      </c>
      <c r="G2315" t="s">
        <v>75</v>
      </c>
      <c r="H2315" t="s">
        <v>31</v>
      </c>
      <c r="I2315" t="s">
        <v>112</v>
      </c>
      <c r="J2315" t="s">
        <v>136</v>
      </c>
      <c r="K2315">
        <v>8</v>
      </c>
      <c r="L2315" s="2">
        <v>535.54999999999995</v>
      </c>
      <c r="M2315" s="3">
        <v>0.15</v>
      </c>
      <c r="N2315" s="2">
        <v>3641.74</v>
      </c>
      <c r="O2315" s="2">
        <v>2967.8</v>
      </c>
      <c r="P2315" s="2">
        <v>673.94</v>
      </c>
      <c r="Q2315" t="s">
        <v>61</v>
      </c>
    </row>
    <row r="2316" spans="1:17" x14ac:dyDescent="0.2">
      <c r="A2316" t="s">
        <v>2481</v>
      </c>
      <c r="B2316" s="1">
        <v>45941</v>
      </c>
      <c r="C2316" t="s">
        <v>43</v>
      </c>
      <c r="D2316" t="s">
        <v>44</v>
      </c>
      <c r="E2316" t="s">
        <v>147</v>
      </c>
      <c r="F2316" t="s">
        <v>53</v>
      </c>
      <c r="G2316" t="s">
        <v>54</v>
      </c>
      <c r="H2316" t="s">
        <v>47</v>
      </c>
      <c r="I2316" t="s">
        <v>141</v>
      </c>
      <c r="J2316" t="s">
        <v>201</v>
      </c>
      <c r="K2316">
        <v>6</v>
      </c>
      <c r="L2316" s="2">
        <v>500.9</v>
      </c>
      <c r="M2316" s="3">
        <v>0</v>
      </c>
      <c r="N2316" s="2">
        <v>3005.4</v>
      </c>
      <c r="O2316" s="2">
        <v>2177.21</v>
      </c>
      <c r="P2316" s="2">
        <v>828.19</v>
      </c>
      <c r="Q2316" t="s">
        <v>26</v>
      </c>
    </row>
    <row r="2317" spans="1:17" x14ac:dyDescent="0.2">
      <c r="A2317" t="s">
        <v>2482</v>
      </c>
      <c r="B2317" s="1">
        <v>45941</v>
      </c>
      <c r="C2317" t="s">
        <v>43</v>
      </c>
      <c r="D2317" t="s">
        <v>208</v>
      </c>
      <c r="E2317" t="s">
        <v>230</v>
      </c>
      <c r="F2317" t="s">
        <v>71</v>
      </c>
      <c r="G2317" t="s">
        <v>54</v>
      </c>
      <c r="H2317" t="s">
        <v>23</v>
      </c>
      <c r="I2317" t="s">
        <v>55</v>
      </c>
      <c r="J2317" t="s">
        <v>173</v>
      </c>
      <c r="K2317">
        <v>10</v>
      </c>
      <c r="L2317" s="2">
        <v>11.31</v>
      </c>
      <c r="M2317" s="3">
        <v>0.1</v>
      </c>
      <c r="N2317" s="2">
        <v>101.79</v>
      </c>
      <c r="O2317" s="2">
        <v>77.97</v>
      </c>
      <c r="P2317" s="2">
        <v>23.82</v>
      </c>
      <c r="Q2317" t="s">
        <v>34</v>
      </c>
    </row>
    <row r="2318" spans="1:17" x14ac:dyDescent="0.2">
      <c r="A2318" t="s">
        <v>2483</v>
      </c>
      <c r="B2318" s="1">
        <v>45941</v>
      </c>
      <c r="C2318" t="s">
        <v>77</v>
      </c>
      <c r="D2318" t="s">
        <v>95</v>
      </c>
      <c r="E2318" t="s">
        <v>367</v>
      </c>
      <c r="F2318" t="s">
        <v>30</v>
      </c>
      <c r="G2318" t="s">
        <v>22</v>
      </c>
      <c r="H2318" t="s">
        <v>31</v>
      </c>
      <c r="I2318" t="s">
        <v>64</v>
      </c>
      <c r="J2318" t="s">
        <v>65</v>
      </c>
      <c r="K2318">
        <v>9</v>
      </c>
      <c r="L2318" s="2">
        <v>174.36</v>
      </c>
      <c r="M2318" s="3">
        <v>0.05</v>
      </c>
      <c r="N2318" s="2">
        <v>1490.78</v>
      </c>
      <c r="O2318" s="2">
        <v>1222.2</v>
      </c>
      <c r="P2318" s="2">
        <v>268.58</v>
      </c>
      <c r="Q2318" t="s">
        <v>61</v>
      </c>
    </row>
    <row r="2319" spans="1:17" x14ac:dyDescent="0.2">
      <c r="A2319" t="s">
        <v>2484</v>
      </c>
      <c r="B2319" s="1">
        <v>45941</v>
      </c>
      <c r="C2319" t="s">
        <v>36</v>
      </c>
      <c r="D2319" t="s">
        <v>67</v>
      </c>
      <c r="E2319" t="s">
        <v>323</v>
      </c>
      <c r="F2319" t="s">
        <v>53</v>
      </c>
      <c r="G2319" t="s">
        <v>75</v>
      </c>
      <c r="H2319" t="s">
        <v>47</v>
      </c>
      <c r="I2319" t="s">
        <v>141</v>
      </c>
      <c r="J2319" t="s">
        <v>372</v>
      </c>
      <c r="K2319">
        <v>4</v>
      </c>
      <c r="L2319" s="2">
        <v>793.23</v>
      </c>
      <c r="M2319" s="3">
        <v>0</v>
      </c>
      <c r="N2319" s="2">
        <v>3172.92</v>
      </c>
      <c r="O2319" s="2">
        <v>2448.0300000000002</v>
      </c>
      <c r="P2319" s="2">
        <v>724.89</v>
      </c>
      <c r="Q2319" t="s">
        <v>57</v>
      </c>
    </row>
    <row r="2320" spans="1:17" x14ac:dyDescent="0.2">
      <c r="A2320" t="s">
        <v>2485</v>
      </c>
      <c r="B2320" s="1">
        <v>45942</v>
      </c>
      <c r="C2320" t="s">
        <v>18</v>
      </c>
      <c r="D2320" t="s">
        <v>19</v>
      </c>
      <c r="E2320" t="s">
        <v>20</v>
      </c>
      <c r="F2320" t="s">
        <v>130</v>
      </c>
      <c r="G2320" t="s">
        <v>22</v>
      </c>
      <c r="H2320" t="s">
        <v>31</v>
      </c>
      <c r="I2320" t="s">
        <v>40</v>
      </c>
      <c r="J2320" t="s">
        <v>41</v>
      </c>
      <c r="K2320">
        <v>7</v>
      </c>
      <c r="L2320" s="2">
        <v>247.23</v>
      </c>
      <c r="M2320" s="3">
        <v>0.2</v>
      </c>
      <c r="N2320" s="2">
        <v>1384.49</v>
      </c>
      <c r="O2320" s="2">
        <v>1111.93</v>
      </c>
      <c r="P2320" s="2">
        <v>272.56</v>
      </c>
      <c r="Q2320" t="s">
        <v>26</v>
      </c>
    </row>
    <row r="2321" spans="1:17" x14ac:dyDescent="0.2">
      <c r="A2321" t="s">
        <v>2486</v>
      </c>
      <c r="B2321" s="1">
        <v>45942</v>
      </c>
      <c r="C2321" t="s">
        <v>36</v>
      </c>
      <c r="D2321" t="s">
        <v>73</v>
      </c>
      <c r="E2321" t="s">
        <v>212</v>
      </c>
      <c r="F2321" t="s">
        <v>30</v>
      </c>
      <c r="G2321" t="s">
        <v>54</v>
      </c>
      <c r="H2321" t="s">
        <v>47</v>
      </c>
      <c r="I2321" t="s">
        <v>48</v>
      </c>
      <c r="J2321" t="s">
        <v>164</v>
      </c>
      <c r="K2321">
        <v>3</v>
      </c>
      <c r="L2321" s="2">
        <v>286.72000000000003</v>
      </c>
      <c r="M2321" s="3">
        <v>0.1</v>
      </c>
      <c r="N2321" s="2">
        <v>774.14</v>
      </c>
      <c r="O2321" s="2">
        <v>529.82000000000005</v>
      </c>
      <c r="P2321" s="2">
        <v>244.32</v>
      </c>
      <c r="Q2321" t="s">
        <v>34</v>
      </c>
    </row>
    <row r="2322" spans="1:17" x14ac:dyDescent="0.2">
      <c r="A2322" t="s">
        <v>2487</v>
      </c>
      <c r="B2322" s="1">
        <v>45942</v>
      </c>
      <c r="C2322" t="s">
        <v>77</v>
      </c>
      <c r="D2322" t="s">
        <v>149</v>
      </c>
      <c r="E2322" t="s">
        <v>150</v>
      </c>
      <c r="F2322" t="s">
        <v>69</v>
      </c>
      <c r="G2322" t="s">
        <v>22</v>
      </c>
      <c r="H2322" t="s">
        <v>47</v>
      </c>
      <c r="I2322" t="s">
        <v>89</v>
      </c>
      <c r="J2322" t="s">
        <v>240</v>
      </c>
      <c r="K2322">
        <v>6</v>
      </c>
      <c r="L2322" s="2">
        <v>358.72</v>
      </c>
      <c r="M2322" s="3">
        <v>0.15</v>
      </c>
      <c r="N2322" s="2">
        <v>1829.47</v>
      </c>
      <c r="O2322" s="2">
        <v>1162.1600000000001</v>
      </c>
      <c r="P2322" s="2">
        <v>667.31</v>
      </c>
      <c r="Q2322" t="s">
        <v>26</v>
      </c>
    </row>
    <row r="2323" spans="1:17" x14ac:dyDescent="0.2">
      <c r="A2323" t="s">
        <v>2488</v>
      </c>
      <c r="B2323" s="1">
        <v>45942</v>
      </c>
      <c r="C2323" t="s">
        <v>43</v>
      </c>
      <c r="D2323" t="s">
        <v>244</v>
      </c>
      <c r="E2323" t="s">
        <v>300</v>
      </c>
      <c r="F2323" t="s">
        <v>53</v>
      </c>
      <c r="G2323" t="s">
        <v>22</v>
      </c>
      <c r="H2323" t="s">
        <v>23</v>
      </c>
      <c r="I2323" t="s">
        <v>24</v>
      </c>
      <c r="J2323" t="s">
        <v>220</v>
      </c>
      <c r="K2323">
        <v>10</v>
      </c>
      <c r="L2323" s="2">
        <v>27.76</v>
      </c>
      <c r="M2323" s="3">
        <v>0</v>
      </c>
      <c r="N2323" s="2">
        <v>277.60000000000002</v>
      </c>
      <c r="O2323" s="2">
        <v>168.29</v>
      </c>
      <c r="P2323" s="2">
        <v>109.31</v>
      </c>
      <c r="Q2323" t="s">
        <v>26</v>
      </c>
    </row>
    <row r="2324" spans="1:17" x14ac:dyDescent="0.2">
      <c r="A2324" t="s">
        <v>2489</v>
      </c>
      <c r="B2324" s="1">
        <v>45942</v>
      </c>
      <c r="C2324" t="s">
        <v>18</v>
      </c>
      <c r="D2324" t="s">
        <v>86</v>
      </c>
      <c r="E2324" t="s">
        <v>140</v>
      </c>
      <c r="F2324" t="s">
        <v>39</v>
      </c>
      <c r="G2324" t="s">
        <v>75</v>
      </c>
      <c r="H2324" t="s">
        <v>31</v>
      </c>
      <c r="I2324" t="s">
        <v>112</v>
      </c>
      <c r="J2324" t="s">
        <v>176</v>
      </c>
      <c r="K2324">
        <v>8</v>
      </c>
      <c r="L2324" s="2">
        <v>640.80999999999995</v>
      </c>
      <c r="M2324" s="3">
        <v>0.1</v>
      </c>
      <c r="N2324" s="2">
        <v>4613.83</v>
      </c>
      <c r="O2324" s="2">
        <v>2601.38</v>
      </c>
      <c r="P2324" s="2">
        <v>2012.45</v>
      </c>
      <c r="Q2324" t="s">
        <v>57</v>
      </c>
    </row>
    <row r="2325" spans="1:17" x14ac:dyDescent="0.2">
      <c r="A2325" t="s">
        <v>2490</v>
      </c>
      <c r="B2325" s="1">
        <v>45942</v>
      </c>
      <c r="C2325" t="s">
        <v>77</v>
      </c>
      <c r="D2325" t="s">
        <v>149</v>
      </c>
      <c r="E2325" t="s">
        <v>150</v>
      </c>
      <c r="F2325" t="s">
        <v>60</v>
      </c>
      <c r="G2325" t="s">
        <v>22</v>
      </c>
      <c r="H2325" t="s">
        <v>31</v>
      </c>
      <c r="I2325" t="s">
        <v>32</v>
      </c>
      <c r="J2325" t="s">
        <v>104</v>
      </c>
      <c r="K2325">
        <v>10</v>
      </c>
      <c r="L2325" s="2">
        <v>1770.78</v>
      </c>
      <c r="M2325" s="3">
        <v>0.1</v>
      </c>
      <c r="N2325" s="2">
        <v>15937.02</v>
      </c>
      <c r="O2325" s="2">
        <v>9461.5</v>
      </c>
      <c r="P2325" s="2">
        <v>6475.52</v>
      </c>
      <c r="Q2325" t="s">
        <v>61</v>
      </c>
    </row>
    <row r="2326" spans="1:17" x14ac:dyDescent="0.2">
      <c r="A2326" t="s">
        <v>2491</v>
      </c>
      <c r="B2326" s="1">
        <v>45942</v>
      </c>
      <c r="C2326" t="s">
        <v>77</v>
      </c>
      <c r="D2326" t="s">
        <v>128</v>
      </c>
      <c r="E2326" t="s">
        <v>155</v>
      </c>
      <c r="F2326" t="s">
        <v>71</v>
      </c>
      <c r="G2326" t="s">
        <v>22</v>
      </c>
      <c r="H2326" t="s">
        <v>47</v>
      </c>
      <c r="I2326" t="s">
        <v>97</v>
      </c>
      <c r="J2326" t="s">
        <v>168</v>
      </c>
      <c r="K2326">
        <v>7</v>
      </c>
      <c r="L2326" s="2">
        <v>642.79999999999995</v>
      </c>
      <c r="M2326" s="3">
        <v>0.1</v>
      </c>
      <c r="N2326" s="2">
        <v>4049.64</v>
      </c>
      <c r="O2326" s="2">
        <v>2500.0300000000002</v>
      </c>
      <c r="P2326" s="2">
        <v>1549.61</v>
      </c>
      <c r="Q2326" t="s">
        <v>57</v>
      </c>
    </row>
    <row r="2327" spans="1:17" x14ac:dyDescent="0.2">
      <c r="A2327" t="s">
        <v>2492</v>
      </c>
      <c r="B2327" s="1">
        <v>45942</v>
      </c>
      <c r="C2327" t="s">
        <v>43</v>
      </c>
      <c r="D2327" t="s">
        <v>161</v>
      </c>
      <c r="E2327" t="s">
        <v>162</v>
      </c>
      <c r="F2327" t="s">
        <v>71</v>
      </c>
      <c r="G2327" t="s">
        <v>75</v>
      </c>
      <c r="H2327" t="s">
        <v>23</v>
      </c>
      <c r="I2327" t="s">
        <v>24</v>
      </c>
      <c r="J2327" t="s">
        <v>220</v>
      </c>
      <c r="K2327">
        <v>6</v>
      </c>
      <c r="L2327" s="2">
        <v>21.04</v>
      </c>
      <c r="M2327" s="3">
        <v>0.1</v>
      </c>
      <c r="N2327" s="2">
        <v>113.62</v>
      </c>
      <c r="O2327" s="2">
        <v>64.89</v>
      </c>
      <c r="P2327" s="2">
        <v>48.73</v>
      </c>
      <c r="Q2327" t="s">
        <v>57</v>
      </c>
    </row>
    <row r="2328" spans="1:17" x14ac:dyDescent="0.2">
      <c r="A2328" t="s">
        <v>2493</v>
      </c>
      <c r="B2328" s="1">
        <v>45942</v>
      </c>
      <c r="C2328" t="s">
        <v>36</v>
      </c>
      <c r="D2328" t="s">
        <v>37</v>
      </c>
      <c r="E2328" t="s">
        <v>187</v>
      </c>
      <c r="F2328" t="s">
        <v>130</v>
      </c>
      <c r="G2328" t="s">
        <v>54</v>
      </c>
      <c r="H2328" t="s">
        <v>31</v>
      </c>
      <c r="I2328" t="s">
        <v>112</v>
      </c>
      <c r="J2328" t="s">
        <v>113</v>
      </c>
      <c r="K2328">
        <v>1</v>
      </c>
      <c r="L2328" s="2">
        <v>464.01</v>
      </c>
      <c r="M2328" s="3">
        <v>0.2</v>
      </c>
      <c r="N2328" s="2">
        <v>371.21</v>
      </c>
      <c r="O2328" s="2">
        <v>291.33999999999997</v>
      </c>
      <c r="P2328" s="2">
        <v>79.87</v>
      </c>
      <c r="Q2328" t="s">
        <v>61</v>
      </c>
    </row>
    <row r="2329" spans="1:17" x14ac:dyDescent="0.2">
      <c r="A2329" t="s">
        <v>2494</v>
      </c>
      <c r="B2329" s="1">
        <v>45943</v>
      </c>
      <c r="C2329" t="s">
        <v>36</v>
      </c>
      <c r="D2329" t="s">
        <v>37</v>
      </c>
      <c r="E2329" t="s">
        <v>255</v>
      </c>
      <c r="F2329" t="s">
        <v>60</v>
      </c>
      <c r="G2329" t="s">
        <v>22</v>
      </c>
      <c r="H2329" t="s">
        <v>47</v>
      </c>
      <c r="I2329" t="s">
        <v>89</v>
      </c>
      <c r="J2329" t="s">
        <v>240</v>
      </c>
      <c r="K2329">
        <v>2</v>
      </c>
      <c r="L2329" s="2">
        <v>214.43</v>
      </c>
      <c r="M2329" s="3">
        <v>0.2</v>
      </c>
      <c r="N2329" s="2">
        <v>343.09</v>
      </c>
      <c r="O2329" s="2">
        <v>226.9</v>
      </c>
      <c r="P2329" s="2">
        <v>116.19</v>
      </c>
      <c r="Q2329" t="s">
        <v>57</v>
      </c>
    </row>
    <row r="2330" spans="1:17" x14ac:dyDescent="0.2">
      <c r="A2330" t="s">
        <v>2495</v>
      </c>
      <c r="B2330" s="1">
        <v>45943</v>
      </c>
      <c r="C2330" t="s">
        <v>43</v>
      </c>
      <c r="D2330" t="s">
        <v>244</v>
      </c>
      <c r="E2330" t="s">
        <v>326</v>
      </c>
      <c r="F2330" t="s">
        <v>69</v>
      </c>
      <c r="G2330" t="s">
        <v>75</v>
      </c>
      <c r="H2330" t="s">
        <v>47</v>
      </c>
      <c r="I2330" t="s">
        <v>48</v>
      </c>
      <c r="J2330" t="s">
        <v>49</v>
      </c>
      <c r="K2330">
        <v>9</v>
      </c>
      <c r="L2330" s="2">
        <v>432.23</v>
      </c>
      <c r="M2330" s="3">
        <v>0.15</v>
      </c>
      <c r="N2330" s="2">
        <v>3306.56</v>
      </c>
      <c r="O2330" s="2">
        <v>2684.73</v>
      </c>
      <c r="P2330" s="2">
        <v>621.83000000000004</v>
      </c>
      <c r="Q2330" t="s">
        <v>26</v>
      </c>
    </row>
    <row r="2331" spans="1:17" x14ac:dyDescent="0.2">
      <c r="A2331" t="s">
        <v>2496</v>
      </c>
      <c r="B2331" s="1">
        <v>45943</v>
      </c>
      <c r="C2331" t="s">
        <v>43</v>
      </c>
      <c r="D2331" t="s">
        <v>44</v>
      </c>
      <c r="E2331" t="s">
        <v>147</v>
      </c>
      <c r="F2331" t="s">
        <v>130</v>
      </c>
      <c r="G2331" t="s">
        <v>54</v>
      </c>
      <c r="H2331" t="s">
        <v>47</v>
      </c>
      <c r="I2331" t="s">
        <v>141</v>
      </c>
      <c r="J2331" t="s">
        <v>142</v>
      </c>
      <c r="K2331">
        <v>10</v>
      </c>
      <c r="L2331" s="2">
        <v>501.76</v>
      </c>
      <c r="M2331" s="3">
        <v>0.15</v>
      </c>
      <c r="N2331" s="2">
        <v>4264.96</v>
      </c>
      <c r="O2331" s="2">
        <v>2834.71</v>
      </c>
      <c r="P2331" s="2">
        <v>1430.25</v>
      </c>
      <c r="Q2331" t="s">
        <v>57</v>
      </c>
    </row>
    <row r="2332" spans="1:17" x14ac:dyDescent="0.2">
      <c r="A2332" t="s">
        <v>2497</v>
      </c>
      <c r="B2332" s="1">
        <v>45943</v>
      </c>
      <c r="C2332" t="s">
        <v>36</v>
      </c>
      <c r="D2332" t="s">
        <v>144</v>
      </c>
      <c r="E2332" t="s">
        <v>145</v>
      </c>
      <c r="F2332" t="s">
        <v>138</v>
      </c>
      <c r="G2332" t="s">
        <v>22</v>
      </c>
      <c r="H2332" t="s">
        <v>31</v>
      </c>
      <c r="I2332" t="s">
        <v>40</v>
      </c>
      <c r="J2332" t="s">
        <v>41</v>
      </c>
      <c r="K2332">
        <v>5</v>
      </c>
      <c r="L2332" s="2">
        <v>185.57</v>
      </c>
      <c r="M2332" s="3">
        <v>0.15</v>
      </c>
      <c r="N2332" s="2">
        <v>788.67</v>
      </c>
      <c r="O2332" s="2">
        <v>509.81</v>
      </c>
      <c r="P2332" s="2">
        <v>278.86</v>
      </c>
      <c r="Q2332" t="s">
        <v>57</v>
      </c>
    </row>
    <row r="2333" spans="1:17" x14ac:dyDescent="0.2">
      <c r="A2333" t="s">
        <v>2498</v>
      </c>
      <c r="B2333" s="1">
        <v>45943</v>
      </c>
      <c r="C2333" t="s">
        <v>18</v>
      </c>
      <c r="D2333" t="s">
        <v>152</v>
      </c>
      <c r="E2333" t="s">
        <v>166</v>
      </c>
      <c r="F2333" t="s">
        <v>60</v>
      </c>
      <c r="G2333" t="s">
        <v>22</v>
      </c>
      <c r="H2333" t="s">
        <v>23</v>
      </c>
      <c r="I2333" t="s">
        <v>55</v>
      </c>
      <c r="J2333" t="s">
        <v>173</v>
      </c>
      <c r="K2333">
        <v>6</v>
      </c>
      <c r="L2333" s="2">
        <v>24.56</v>
      </c>
      <c r="M2333" s="3">
        <v>0.15</v>
      </c>
      <c r="N2333" s="2">
        <v>125.26</v>
      </c>
      <c r="O2333" s="2">
        <v>98.06</v>
      </c>
      <c r="P2333" s="2">
        <v>27.2</v>
      </c>
      <c r="Q2333" t="s">
        <v>57</v>
      </c>
    </row>
    <row r="2334" spans="1:17" x14ac:dyDescent="0.2">
      <c r="A2334" t="s">
        <v>2499</v>
      </c>
      <c r="B2334" s="1">
        <v>45943</v>
      </c>
      <c r="C2334" t="s">
        <v>18</v>
      </c>
      <c r="D2334" t="s">
        <v>86</v>
      </c>
      <c r="E2334" t="s">
        <v>140</v>
      </c>
      <c r="F2334" t="s">
        <v>46</v>
      </c>
      <c r="G2334" t="s">
        <v>22</v>
      </c>
      <c r="H2334" t="s">
        <v>23</v>
      </c>
      <c r="I2334" t="s">
        <v>24</v>
      </c>
      <c r="J2334" t="s">
        <v>220</v>
      </c>
      <c r="K2334">
        <v>9</v>
      </c>
      <c r="L2334" s="2">
        <v>24.45</v>
      </c>
      <c r="M2334" s="3">
        <v>0.2</v>
      </c>
      <c r="N2334" s="2">
        <v>176.04</v>
      </c>
      <c r="O2334" s="2">
        <v>142.61000000000001</v>
      </c>
      <c r="P2334" s="2">
        <v>33.43</v>
      </c>
      <c r="Q2334" t="s">
        <v>57</v>
      </c>
    </row>
    <row r="2335" spans="1:17" x14ac:dyDescent="0.2">
      <c r="A2335" t="s">
        <v>2500</v>
      </c>
      <c r="B2335" s="1">
        <v>45943</v>
      </c>
      <c r="C2335" t="s">
        <v>36</v>
      </c>
      <c r="D2335" t="s">
        <v>73</v>
      </c>
      <c r="E2335" t="s">
        <v>212</v>
      </c>
      <c r="F2335" t="s">
        <v>21</v>
      </c>
      <c r="G2335" t="s">
        <v>22</v>
      </c>
      <c r="H2335" t="s">
        <v>31</v>
      </c>
      <c r="I2335" t="s">
        <v>64</v>
      </c>
      <c r="J2335" t="s">
        <v>126</v>
      </c>
      <c r="K2335">
        <v>9</v>
      </c>
      <c r="L2335" s="2">
        <v>120.22</v>
      </c>
      <c r="M2335" s="3">
        <v>0.1</v>
      </c>
      <c r="N2335" s="2">
        <v>973.78</v>
      </c>
      <c r="O2335" s="2">
        <v>774.8</v>
      </c>
      <c r="P2335" s="2">
        <v>198.98</v>
      </c>
      <c r="Q2335" t="s">
        <v>61</v>
      </c>
    </row>
    <row r="2336" spans="1:17" x14ac:dyDescent="0.2">
      <c r="A2336" t="s">
        <v>2501</v>
      </c>
      <c r="B2336" s="1">
        <v>45943</v>
      </c>
      <c r="C2336" t="s">
        <v>18</v>
      </c>
      <c r="D2336" t="s">
        <v>28</v>
      </c>
      <c r="E2336" t="s">
        <v>170</v>
      </c>
      <c r="F2336" t="s">
        <v>53</v>
      </c>
      <c r="G2336" t="s">
        <v>22</v>
      </c>
      <c r="H2336" t="s">
        <v>31</v>
      </c>
      <c r="I2336" t="s">
        <v>112</v>
      </c>
      <c r="J2336" t="s">
        <v>176</v>
      </c>
      <c r="K2336">
        <v>6</v>
      </c>
      <c r="L2336" s="2">
        <v>571.42999999999995</v>
      </c>
      <c r="M2336" s="3">
        <v>0.05</v>
      </c>
      <c r="N2336" s="2">
        <v>3257.15</v>
      </c>
      <c r="O2336" s="2">
        <v>2643.21</v>
      </c>
      <c r="P2336" s="2">
        <v>613.94000000000005</v>
      </c>
      <c r="Q2336" t="s">
        <v>34</v>
      </c>
    </row>
    <row r="2337" spans="1:17" x14ac:dyDescent="0.2">
      <c r="A2337" t="s">
        <v>2502</v>
      </c>
      <c r="B2337" s="1">
        <v>45943</v>
      </c>
      <c r="C2337" t="s">
        <v>43</v>
      </c>
      <c r="D2337" t="s">
        <v>161</v>
      </c>
      <c r="E2337" t="s">
        <v>172</v>
      </c>
      <c r="F2337" t="s">
        <v>60</v>
      </c>
      <c r="G2337" t="s">
        <v>22</v>
      </c>
      <c r="H2337" t="s">
        <v>31</v>
      </c>
      <c r="I2337" t="s">
        <v>32</v>
      </c>
      <c r="J2337" t="s">
        <v>104</v>
      </c>
      <c r="K2337">
        <v>1</v>
      </c>
      <c r="L2337" s="2">
        <v>1670.31</v>
      </c>
      <c r="M2337" s="3">
        <v>0</v>
      </c>
      <c r="N2337" s="2">
        <v>1670.31</v>
      </c>
      <c r="O2337" s="2">
        <v>1002.7</v>
      </c>
      <c r="P2337" s="2">
        <v>667.61</v>
      </c>
      <c r="Q2337" t="s">
        <v>26</v>
      </c>
    </row>
    <row r="2338" spans="1:17" x14ac:dyDescent="0.2">
      <c r="A2338" t="s">
        <v>2503</v>
      </c>
      <c r="B2338" s="1">
        <v>45944</v>
      </c>
      <c r="C2338" t="s">
        <v>18</v>
      </c>
      <c r="D2338" t="s">
        <v>28</v>
      </c>
      <c r="E2338" t="s">
        <v>157</v>
      </c>
      <c r="F2338" t="s">
        <v>130</v>
      </c>
      <c r="G2338" t="s">
        <v>22</v>
      </c>
      <c r="H2338" t="s">
        <v>23</v>
      </c>
      <c r="I2338" t="s">
        <v>83</v>
      </c>
      <c r="J2338" t="s">
        <v>120</v>
      </c>
      <c r="K2338">
        <v>7</v>
      </c>
      <c r="L2338" s="2">
        <v>16.18</v>
      </c>
      <c r="M2338" s="3">
        <v>0.2</v>
      </c>
      <c r="N2338" s="2">
        <v>90.61</v>
      </c>
      <c r="O2338" s="2">
        <v>51.76</v>
      </c>
      <c r="P2338" s="2">
        <v>38.85</v>
      </c>
      <c r="Q2338" t="s">
        <v>34</v>
      </c>
    </row>
    <row r="2339" spans="1:17" x14ac:dyDescent="0.2">
      <c r="A2339" t="s">
        <v>2504</v>
      </c>
      <c r="B2339" s="1">
        <v>45944</v>
      </c>
      <c r="C2339" t="s">
        <v>43</v>
      </c>
      <c r="D2339" t="s">
        <v>51</v>
      </c>
      <c r="E2339" t="s">
        <v>59</v>
      </c>
      <c r="F2339" t="s">
        <v>21</v>
      </c>
      <c r="G2339" t="s">
        <v>22</v>
      </c>
      <c r="H2339" t="s">
        <v>31</v>
      </c>
      <c r="I2339" t="s">
        <v>32</v>
      </c>
      <c r="J2339" t="s">
        <v>33</v>
      </c>
      <c r="K2339">
        <v>5</v>
      </c>
      <c r="L2339" s="2">
        <v>1077.43</v>
      </c>
      <c r="M2339" s="3">
        <v>0.05</v>
      </c>
      <c r="N2339" s="2">
        <v>5117.79</v>
      </c>
      <c r="O2339" s="2">
        <v>3019.34</v>
      </c>
      <c r="P2339" s="2">
        <v>2098.4499999999998</v>
      </c>
      <c r="Q2339" t="s">
        <v>34</v>
      </c>
    </row>
    <row r="2340" spans="1:17" x14ac:dyDescent="0.2">
      <c r="A2340" t="s">
        <v>2505</v>
      </c>
      <c r="B2340" s="1">
        <v>45944</v>
      </c>
      <c r="C2340" t="s">
        <v>43</v>
      </c>
      <c r="D2340" t="s">
        <v>244</v>
      </c>
      <c r="E2340" t="s">
        <v>326</v>
      </c>
      <c r="F2340" t="s">
        <v>130</v>
      </c>
      <c r="G2340" t="s">
        <v>22</v>
      </c>
      <c r="H2340" t="s">
        <v>23</v>
      </c>
      <c r="I2340" t="s">
        <v>79</v>
      </c>
      <c r="J2340" t="s">
        <v>80</v>
      </c>
      <c r="K2340">
        <v>10</v>
      </c>
      <c r="L2340" s="2">
        <v>400.86</v>
      </c>
      <c r="M2340" s="3">
        <v>0</v>
      </c>
      <c r="N2340" s="2">
        <v>4008.6</v>
      </c>
      <c r="O2340" s="2">
        <v>2775.69</v>
      </c>
      <c r="P2340" s="2">
        <v>1232.9100000000001</v>
      </c>
      <c r="Q2340" t="s">
        <v>26</v>
      </c>
    </row>
    <row r="2341" spans="1:17" x14ac:dyDescent="0.2">
      <c r="A2341" t="s">
        <v>2506</v>
      </c>
      <c r="B2341" s="1">
        <v>45944</v>
      </c>
      <c r="C2341" t="s">
        <v>18</v>
      </c>
      <c r="D2341" t="s">
        <v>152</v>
      </c>
      <c r="E2341" t="s">
        <v>153</v>
      </c>
      <c r="F2341" t="s">
        <v>46</v>
      </c>
      <c r="G2341" t="s">
        <v>22</v>
      </c>
      <c r="H2341" t="s">
        <v>47</v>
      </c>
      <c r="I2341" t="s">
        <v>97</v>
      </c>
      <c r="J2341" t="s">
        <v>116</v>
      </c>
      <c r="K2341">
        <v>1</v>
      </c>
      <c r="L2341" s="2">
        <v>574.22</v>
      </c>
      <c r="M2341" s="3">
        <v>0.1</v>
      </c>
      <c r="N2341" s="2">
        <v>516.79999999999995</v>
      </c>
      <c r="O2341" s="2">
        <v>334.94</v>
      </c>
      <c r="P2341" s="2">
        <v>181.86</v>
      </c>
      <c r="Q2341" t="s">
        <v>57</v>
      </c>
    </row>
    <row r="2342" spans="1:17" x14ac:dyDescent="0.2">
      <c r="A2342" t="s">
        <v>2507</v>
      </c>
      <c r="B2342" s="1">
        <v>45944</v>
      </c>
      <c r="C2342" t="s">
        <v>43</v>
      </c>
      <c r="D2342" t="s">
        <v>244</v>
      </c>
      <c r="E2342" t="s">
        <v>326</v>
      </c>
      <c r="F2342" t="s">
        <v>71</v>
      </c>
      <c r="G2342" t="s">
        <v>54</v>
      </c>
      <c r="H2342" t="s">
        <v>31</v>
      </c>
      <c r="I2342" t="s">
        <v>32</v>
      </c>
      <c r="J2342" t="s">
        <v>258</v>
      </c>
      <c r="K2342">
        <v>5</v>
      </c>
      <c r="L2342" s="2">
        <v>1582.87</v>
      </c>
      <c r="M2342" s="3">
        <v>0.1</v>
      </c>
      <c r="N2342" s="2">
        <v>7122.92</v>
      </c>
      <c r="O2342" s="2">
        <v>4363.8500000000004</v>
      </c>
      <c r="P2342" s="2">
        <v>2759.07</v>
      </c>
      <c r="Q2342" t="s">
        <v>61</v>
      </c>
    </row>
    <row r="2343" spans="1:17" x14ac:dyDescent="0.2">
      <c r="A2343" t="s">
        <v>2508</v>
      </c>
      <c r="B2343" s="1">
        <v>45944</v>
      </c>
      <c r="C2343" t="s">
        <v>36</v>
      </c>
      <c r="D2343" t="s">
        <v>73</v>
      </c>
      <c r="E2343" t="s">
        <v>74</v>
      </c>
      <c r="F2343" t="s">
        <v>138</v>
      </c>
      <c r="G2343" t="s">
        <v>54</v>
      </c>
      <c r="H2343" t="s">
        <v>23</v>
      </c>
      <c r="I2343" t="s">
        <v>55</v>
      </c>
      <c r="J2343" t="s">
        <v>173</v>
      </c>
      <c r="K2343">
        <v>3</v>
      </c>
      <c r="L2343" s="2">
        <v>6.32</v>
      </c>
      <c r="M2343" s="3">
        <v>0</v>
      </c>
      <c r="N2343" s="2">
        <v>18.96</v>
      </c>
      <c r="O2343" s="2">
        <v>10.82</v>
      </c>
      <c r="P2343" s="2">
        <v>8.14</v>
      </c>
      <c r="Q2343" t="s">
        <v>61</v>
      </c>
    </row>
    <row r="2344" spans="1:17" x14ac:dyDescent="0.2">
      <c r="A2344" t="s">
        <v>2509</v>
      </c>
      <c r="B2344" s="1">
        <v>45944</v>
      </c>
      <c r="C2344" t="s">
        <v>43</v>
      </c>
      <c r="D2344" t="s">
        <v>161</v>
      </c>
      <c r="E2344" t="s">
        <v>418</v>
      </c>
      <c r="F2344" t="s">
        <v>30</v>
      </c>
      <c r="G2344" t="s">
        <v>22</v>
      </c>
      <c r="H2344" t="s">
        <v>23</v>
      </c>
      <c r="I2344" t="s">
        <v>24</v>
      </c>
      <c r="J2344" t="s">
        <v>25</v>
      </c>
      <c r="K2344">
        <v>9</v>
      </c>
      <c r="L2344" s="2">
        <v>21.44</v>
      </c>
      <c r="M2344" s="3">
        <v>0.1</v>
      </c>
      <c r="N2344" s="2">
        <v>173.66</v>
      </c>
      <c r="O2344" s="2">
        <v>104.4</v>
      </c>
      <c r="P2344" s="2">
        <v>69.260000000000005</v>
      </c>
      <c r="Q2344" t="s">
        <v>57</v>
      </c>
    </row>
    <row r="2345" spans="1:17" x14ac:dyDescent="0.2">
      <c r="A2345" t="s">
        <v>2510</v>
      </c>
      <c r="B2345" s="1">
        <v>45944</v>
      </c>
      <c r="C2345" t="s">
        <v>36</v>
      </c>
      <c r="D2345" t="s">
        <v>37</v>
      </c>
      <c r="E2345" t="s">
        <v>187</v>
      </c>
      <c r="F2345" t="s">
        <v>21</v>
      </c>
      <c r="G2345" t="s">
        <v>22</v>
      </c>
      <c r="H2345" t="s">
        <v>31</v>
      </c>
      <c r="I2345" t="s">
        <v>40</v>
      </c>
      <c r="J2345" t="s">
        <v>122</v>
      </c>
      <c r="K2345">
        <v>1</v>
      </c>
      <c r="L2345" s="2">
        <v>125.9</v>
      </c>
      <c r="M2345" s="3">
        <v>0.1</v>
      </c>
      <c r="N2345" s="2">
        <v>113.31</v>
      </c>
      <c r="O2345" s="2">
        <v>84.67</v>
      </c>
      <c r="P2345" s="2">
        <v>28.64</v>
      </c>
      <c r="Q2345" t="s">
        <v>26</v>
      </c>
    </row>
    <row r="2346" spans="1:17" x14ac:dyDescent="0.2">
      <c r="A2346" t="s">
        <v>2511</v>
      </c>
      <c r="B2346" s="1">
        <v>45944</v>
      </c>
      <c r="C2346" t="s">
        <v>36</v>
      </c>
      <c r="D2346" t="s">
        <v>73</v>
      </c>
      <c r="E2346" t="s">
        <v>247</v>
      </c>
      <c r="F2346" t="s">
        <v>53</v>
      </c>
      <c r="G2346" t="s">
        <v>75</v>
      </c>
      <c r="H2346" t="s">
        <v>23</v>
      </c>
      <c r="I2346" t="s">
        <v>55</v>
      </c>
      <c r="J2346" t="s">
        <v>102</v>
      </c>
      <c r="K2346">
        <v>8</v>
      </c>
      <c r="L2346" s="2">
        <v>19.440000000000001</v>
      </c>
      <c r="M2346" s="3">
        <v>0</v>
      </c>
      <c r="N2346" s="2">
        <v>155.52000000000001</v>
      </c>
      <c r="O2346" s="2">
        <v>119.94</v>
      </c>
      <c r="P2346" s="2">
        <v>35.58</v>
      </c>
      <c r="Q2346" t="s">
        <v>34</v>
      </c>
    </row>
    <row r="2347" spans="1:17" x14ac:dyDescent="0.2">
      <c r="A2347" t="s">
        <v>2512</v>
      </c>
      <c r="B2347" s="1">
        <v>45944</v>
      </c>
      <c r="C2347" t="s">
        <v>43</v>
      </c>
      <c r="D2347" t="s">
        <v>44</v>
      </c>
      <c r="E2347" t="s">
        <v>147</v>
      </c>
      <c r="F2347" t="s">
        <v>138</v>
      </c>
      <c r="G2347" t="s">
        <v>54</v>
      </c>
      <c r="H2347" t="s">
        <v>31</v>
      </c>
      <c r="I2347" t="s">
        <v>112</v>
      </c>
      <c r="J2347" t="s">
        <v>176</v>
      </c>
      <c r="K2347">
        <v>9</v>
      </c>
      <c r="L2347" s="2">
        <v>366.41</v>
      </c>
      <c r="M2347" s="3">
        <v>0</v>
      </c>
      <c r="N2347" s="2">
        <v>3297.69</v>
      </c>
      <c r="O2347" s="2">
        <v>2478.12</v>
      </c>
      <c r="P2347" s="2">
        <v>819.57</v>
      </c>
      <c r="Q2347" t="s">
        <v>26</v>
      </c>
    </row>
    <row r="2348" spans="1:17" x14ac:dyDescent="0.2">
      <c r="A2348" t="s">
        <v>2513</v>
      </c>
      <c r="B2348" s="1">
        <v>45944</v>
      </c>
      <c r="C2348" t="s">
        <v>43</v>
      </c>
      <c r="D2348" t="s">
        <v>161</v>
      </c>
      <c r="E2348" t="s">
        <v>162</v>
      </c>
      <c r="F2348" t="s">
        <v>69</v>
      </c>
      <c r="G2348" t="s">
        <v>22</v>
      </c>
      <c r="H2348" t="s">
        <v>47</v>
      </c>
      <c r="I2348" t="s">
        <v>89</v>
      </c>
      <c r="J2348" t="s">
        <v>90</v>
      </c>
      <c r="K2348">
        <v>10</v>
      </c>
      <c r="L2348" s="2">
        <v>477.41</v>
      </c>
      <c r="M2348" s="3">
        <v>0</v>
      </c>
      <c r="N2348" s="2">
        <v>4774.1000000000004</v>
      </c>
      <c r="O2348" s="2">
        <v>3619.37</v>
      </c>
      <c r="P2348" s="2">
        <v>1154.73</v>
      </c>
      <c r="Q2348" t="s">
        <v>57</v>
      </c>
    </row>
    <row r="2349" spans="1:17" x14ac:dyDescent="0.2">
      <c r="A2349" t="s">
        <v>2514</v>
      </c>
      <c r="B2349" s="1">
        <v>45944</v>
      </c>
      <c r="C2349" t="s">
        <v>36</v>
      </c>
      <c r="D2349" t="s">
        <v>73</v>
      </c>
      <c r="E2349" t="s">
        <v>247</v>
      </c>
      <c r="F2349" t="s">
        <v>53</v>
      </c>
      <c r="G2349" t="s">
        <v>75</v>
      </c>
      <c r="H2349" t="s">
        <v>31</v>
      </c>
      <c r="I2349" t="s">
        <v>40</v>
      </c>
      <c r="J2349" t="s">
        <v>216</v>
      </c>
      <c r="K2349">
        <v>1</v>
      </c>
      <c r="L2349" s="2">
        <v>222.13</v>
      </c>
      <c r="M2349" s="3">
        <v>0.15</v>
      </c>
      <c r="N2349" s="2">
        <v>188.81</v>
      </c>
      <c r="O2349" s="2">
        <v>107.38</v>
      </c>
      <c r="P2349" s="2">
        <v>81.430000000000007</v>
      </c>
      <c r="Q2349" t="s">
        <v>57</v>
      </c>
    </row>
    <row r="2350" spans="1:17" x14ac:dyDescent="0.2">
      <c r="A2350" t="s">
        <v>2515</v>
      </c>
      <c r="B2350" s="1">
        <v>45944</v>
      </c>
      <c r="C2350" t="s">
        <v>36</v>
      </c>
      <c r="D2350" t="s">
        <v>73</v>
      </c>
      <c r="E2350" t="s">
        <v>74</v>
      </c>
      <c r="F2350" t="s">
        <v>21</v>
      </c>
      <c r="G2350" t="s">
        <v>22</v>
      </c>
      <c r="H2350" t="s">
        <v>47</v>
      </c>
      <c r="I2350" t="s">
        <v>97</v>
      </c>
      <c r="J2350" t="s">
        <v>168</v>
      </c>
      <c r="K2350">
        <v>3</v>
      </c>
      <c r="L2350" s="2">
        <v>327.98</v>
      </c>
      <c r="M2350" s="3">
        <v>0.05</v>
      </c>
      <c r="N2350" s="2">
        <v>934.74</v>
      </c>
      <c r="O2350" s="2">
        <v>556.48</v>
      </c>
      <c r="P2350" s="2">
        <v>378.26</v>
      </c>
      <c r="Q2350" t="s">
        <v>61</v>
      </c>
    </row>
    <row r="2351" spans="1:17" x14ac:dyDescent="0.2">
      <c r="A2351" t="s">
        <v>2516</v>
      </c>
      <c r="B2351" s="1">
        <v>45944</v>
      </c>
      <c r="C2351" t="s">
        <v>18</v>
      </c>
      <c r="D2351" t="s">
        <v>19</v>
      </c>
      <c r="E2351" t="s">
        <v>100</v>
      </c>
      <c r="F2351" t="s">
        <v>39</v>
      </c>
      <c r="G2351" t="s">
        <v>75</v>
      </c>
      <c r="H2351" t="s">
        <v>31</v>
      </c>
      <c r="I2351" t="s">
        <v>112</v>
      </c>
      <c r="J2351" t="s">
        <v>113</v>
      </c>
      <c r="K2351">
        <v>5</v>
      </c>
      <c r="L2351" s="2">
        <v>605.58000000000004</v>
      </c>
      <c r="M2351" s="3">
        <v>0.15</v>
      </c>
      <c r="N2351" s="2">
        <v>2573.7199999999998</v>
      </c>
      <c r="O2351" s="2">
        <v>1578.29</v>
      </c>
      <c r="P2351" s="2">
        <v>995.43</v>
      </c>
      <c r="Q2351" t="s">
        <v>61</v>
      </c>
    </row>
    <row r="2352" spans="1:17" x14ac:dyDescent="0.2">
      <c r="A2352" t="s">
        <v>2517</v>
      </c>
      <c r="B2352" s="1">
        <v>45944</v>
      </c>
      <c r="C2352" t="s">
        <v>43</v>
      </c>
      <c r="D2352" t="s">
        <v>51</v>
      </c>
      <c r="E2352" t="s">
        <v>52</v>
      </c>
      <c r="F2352" t="s">
        <v>130</v>
      </c>
      <c r="G2352" t="s">
        <v>75</v>
      </c>
      <c r="H2352" t="s">
        <v>23</v>
      </c>
      <c r="I2352" t="s">
        <v>55</v>
      </c>
      <c r="J2352" t="s">
        <v>102</v>
      </c>
      <c r="K2352">
        <v>3</v>
      </c>
      <c r="L2352" s="2">
        <v>18.86</v>
      </c>
      <c r="M2352" s="3">
        <v>0.05</v>
      </c>
      <c r="N2352" s="2">
        <v>53.75</v>
      </c>
      <c r="O2352" s="2">
        <v>33.89</v>
      </c>
      <c r="P2352" s="2">
        <v>19.86</v>
      </c>
      <c r="Q2352" t="s">
        <v>57</v>
      </c>
    </row>
    <row r="2353" spans="1:17" x14ac:dyDescent="0.2">
      <c r="A2353" t="s">
        <v>2518</v>
      </c>
      <c r="B2353" s="1">
        <v>45945</v>
      </c>
      <c r="C2353" t="s">
        <v>43</v>
      </c>
      <c r="D2353" t="s">
        <v>208</v>
      </c>
      <c r="E2353" t="s">
        <v>230</v>
      </c>
      <c r="F2353" t="s">
        <v>69</v>
      </c>
      <c r="G2353" t="s">
        <v>75</v>
      </c>
      <c r="H2353" t="s">
        <v>47</v>
      </c>
      <c r="I2353" t="s">
        <v>48</v>
      </c>
      <c r="J2353" t="s">
        <v>49</v>
      </c>
      <c r="K2353">
        <v>2</v>
      </c>
      <c r="L2353" s="2">
        <v>347.75</v>
      </c>
      <c r="M2353" s="3">
        <v>0.15</v>
      </c>
      <c r="N2353" s="2">
        <v>591.16999999999996</v>
      </c>
      <c r="O2353" s="2">
        <v>378.94</v>
      </c>
      <c r="P2353" s="2">
        <v>212.23</v>
      </c>
      <c r="Q2353" t="s">
        <v>26</v>
      </c>
    </row>
    <row r="2354" spans="1:17" x14ac:dyDescent="0.2">
      <c r="A2354" t="s">
        <v>2519</v>
      </c>
      <c r="B2354" s="1">
        <v>45945</v>
      </c>
      <c r="C2354" t="s">
        <v>18</v>
      </c>
      <c r="D2354" t="s">
        <v>86</v>
      </c>
      <c r="E2354" t="s">
        <v>87</v>
      </c>
      <c r="F2354" t="s">
        <v>21</v>
      </c>
      <c r="G2354" t="s">
        <v>54</v>
      </c>
      <c r="H2354" t="s">
        <v>31</v>
      </c>
      <c r="I2354" t="s">
        <v>112</v>
      </c>
      <c r="J2354" t="s">
        <v>113</v>
      </c>
      <c r="K2354">
        <v>4</v>
      </c>
      <c r="L2354" s="2">
        <v>313.95999999999998</v>
      </c>
      <c r="M2354" s="3">
        <v>0</v>
      </c>
      <c r="N2354" s="2">
        <v>1255.8399999999999</v>
      </c>
      <c r="O2354" s="2">
        <v>976.67</v>
      </c>
      <c r="P2354" s="2">
        <v>279.17</v>
      </c>
      <c r="Q2354" t="s">
        <v>26</v>
      </c>
    </row>
    <row r="2355" spans="1:17" x14ac:dyDescent="0.2">
      <c r="A2355" t="s">
        <v>2520</v>
      </c>
      <c r="B2355" s="1">
        <v>45945</v>
      </c>
      <c r="C2355" t="s">
        <v>77</v>
      </c>
      <c r="D2355" t="s">
        <v>78</v>
      </c>
      <c r="E2355" t="s">
        <v>295</v>
      </c>
      <c r="F2355" t="s">
        <v>138</v>
      </c>
      <c r="G2355" t="s">
        <v>54</v>
      </c>
      <c r="H2355" t="s">
        <v>31</v>
      </c>
      <c r="I2355" t="s">
        <v>64</v>
      </c>
      <c r="J2355" t="s">
        <v>252</v>
      </c>
      <c r="K2355">
        <v>9</v>
      </c>
      <c r="L2355" s="2">
        <v>78.97</v>
      </c>
      <c r="M2355" s="3">
        <v>0</v>
      </c>
      <c r="N2355" s="2">
        <v>710.73</v>
      </c>
      <c r="O2355" s="2">
        <v>441.13</v>
      </c>
      <c r="P2355" s="2">
        <v>269.60000000000002</v>
      </c>
      <c r="Q2355" t="s">
        <v>34</v>
      </c>
    </row>
    <row r="2356" spans="1:17" x14ac:dyDescent="0.2">
      <c r="A2356" t="s">
        <v>2521</v>
      </c>
      <c r="B2356" s="1">
        <v>45945</v>
      </c>
      <c r="C2356" t="s">
        <v>77</v>
      </c>
      <c r="D2356" t="s">
        <v>78</v>
      </c>
      <c r="E2356" t="s">
        <v>52</v>
      </c>
      <c r="F2356" t="s">
        <v>53</v>
      </c>
      <c r="G2356" t="s">
        <v>54</v>
      </c>
      <c r="H2356" t="s">
        <v>47</v>
      </c>
      <c r="I2356" t="s">
        <v>89</v>
      </c>
      <c r="J2356" t="s">
        <v>204</v>
      </c>
      <c r="K2356">
        <v>3</v>
      </c>
      <c r="L2356" s="2">
        <v>268.73</v>
      </c>
      <c r="M2356" s="3">
        <v>0.05</v>
      </c>
      <c r="N2356" s="2">
        <v>765.88</v>
      </c>
      <c r="O2356" s="2">
        <v>429.46</v>
      </c>
      <c r="P2356" s="2">
        <v>336.42</v>
      </c>
      <c r="Q2356" t="s">
        <v>57</v>
      </c>
    </row>
    <row r="2357" spans="1:17" x14ac:dyDescent="0.2">
      <c r="A2357" t="s">
        <v>2522</v>
      </c>
      <c r="B2357" s="1">
        <v>45946</v>
      </c>
      <c r="C2357" t="s">
        <v>18</v>
      </c>
      <c r="D2357" t="s">
        <v>133</v>
      </c>
      <c r="E2357" t="s">
        <v>134</v>
      </c>
      <c r="F2357" t="s">
        <v>130</v>
      </c>
      <c r="G2357" t="s">
        <v>22</v>
      </c>
      <c r="H2357" t="s">
        <v>23</v>
      </c>
      <c r="I2357" t="s">
        <v>24</v>
      </c>
      <c r="J2357" t="s">
        <v>220</v>
      </c>
      <c r="K2357">
        <v>5</v>
      </c>
      <c r="L2357" s="2">
        <v>7.91</v>
      </c>
      <c r="M2357" s="3">
        <v>0.15</v>
      </c>
      <c r="N2357" s="2">
        <v>33.619999999999997</v>
      </c>
      <c r="O2357" s="2">
        <v>21.88</v>
      </c>
      <c r="P2357" s="2">
        <v>11.74</v>
      </c>
      <c r="Q2357" t="s">
        <v>26</v>
      </c>
    </row>
    <row r="2358" spans="1:17" x14ac:dyDescent="0.2">
      <c r="A2358" t="s">
        <v>2523</v>
      </c>
      <c r="B2358" s="1">
        <v>45946</v>
      </c>
      <c r="C2358" t="s">
        <v>36</v>
      </c>
      <c r="D2358" t="s">
        <v>144</v>
      </c>
      <c r="E2358" t="s">
        <v>145</v>
      </c>
      <c r="F2358" t="s">
        <v>60</v>
      </c>
      <c r="G2358" t="s">
        <v>22</v>
      </c>
      <c r="H2358" t="s">
        <v>31</v>
      </c>
      <c r="I2358" t="s">
        <v>112</v>
      </c>
      <c r="J2358" t="s">
        <v>113</v>
      </c>
      <c r="K2358">
        <v>10</v>
      </c>
      <c r="L2358" s="2">
        <v>239.56</v>
      </c>
      <c r="M2358" s="3">
        <v>0.15</v>
      </c>
      <c r="N2358" s="2">
        <v>2036.26</v>
      </c>
      <c r="O2358" s="2">
        <v>1179.3</v>
      </c>
      <c r="P2358" s="2">
        <v>856.96</v>
      </c>
      <c r="Q2358" t="s">
        <v>61</v>
      </c>
    </row>
    <row r="2359" spans="1:17" x14ac:dyDescent="0.2">
      <c r="A2359" t="s">
        <v>2524</v>
      </c>
      <c r="B2359" s="1">
        <v>45946</v>
      </c>
      <c r="C2359" t="s">
        <v>43</v>
      </c>
      <c r="D2359" t="s">
        <v>244</v>
      </c>
      <c r="E2359" t="s">
        <v>300</v>
      </c>
      <c r="F2359" t="s">
        <v>69</v>
      </c>
      <c r="G2359" t="s">
        <v>54</v>
      </c>
      <c r="H2359" t="s">
        <v>31</v>
      </c>
      <c r="I2359" t="s">
        <v>40</v>
      </c>
      <c r="J2359" t="s">
        <v>122</v>
      </c>
      <c r="K2359">
        <v>7</v>
      </c>
      <c r="L2359" s="2">
        <v>89.22</v>
      </c>
      <c r="M2359" s="3">
        <v>0.1</v>
      </c>
      <c r="N2359" s="2">
        <v>562.09</v>
      </c>
      <c r="O2359" s="2">
        <v>424.02</v>
      </c>
      <c r="P2359" s="2">
        <v>138.07</v>
      </c>
      <c r="Q2359" t="s">
        <v>26</v>
      </c>
    </row>
    <row r="2360" spans="1:17" x14ac:dyDescent="0.2">
      <c r="A2360" t="s">
        <v>2525</v>
      </c>
      <c r="B2360" s="1">
        <v>45946</v>
      </c>
      <c r="C2360" t="s">
        <v>18</v>
      </c>
      <c r="D2360" t="s">
        <v>86</v>
      </c>
      <c r="E2360" t="s">
        <v>92</v>
      </c>
      <c r="F2360" t="s">
        <v>71</v>
      </c>
      <c r="G2360" t="s">
        <v>22</v>
      </c>
      <c r="H2360" t="s">
        <v>23</v>
      </c>
      <c r="I2360" t="s">
        <v>83</v>
      </c>
      <c r="J2360" t="s">
        <v>131</v>
      </c>
      <c r="K2360">
        <v>7</v>
      </c>
      <c r="L2360" s="2">
        <v>12.96</v>
      </c>
      <c r="M2360" s="3">
        <v>0.15</v>
      </c>
      <c r="N2360" s="2">
        <v>77.11</v>
      </c>
      <c r="O2360" s="2">
        <v>49.34</v>
      </c>
      <c r="P2360" s="2">
        <v>27.77</v>
      </c>
      <c r="Q2360" t="s">
        <v>26</v>
      </c>
    </row>
    <row r="2361" spans="1:17" x14ac:dyDescent="0.2">
      <c r="A2361" t="s">
        <v>2526</v>
      </c>
      <c r="B2361" s="1">
        <v>45946</v>
      </c>
      <c r="C2361" t="s">
        <v>77</v>
      </c>
      <c r="D2361" t="s">
        <v>78</v>
      </c>
      <c r="E2361" t="s">
        <v>295</v>
      </c>
      <c r="F2361" t="s">
        <v>69</v>
      </c>
      <c r="G2361" t="s">
        <v>54</v>
      </c>
      <c r="H2361" t="s">
        <v>47</v>
      </c>
      <c r="I2361" t="s">
        <v>141</v>
      </c>
      <c r="J2361" t="s">
        <v>372</v>
      </c>
      <c r="K2361">
        <v>7</v>
      </c>
      <c r="L2361" s="2">
        <v>625.19000000000005</v>
      </c>
      <c r="M2361" s="3">
        <v>0</v>
      </c>
      <c r="N2361" s="2">
        <v>4376.33</v>
      </c>
      <c r="O2361" s="2">
        <v>2915.17</v>
      </c>
      <c r="P2361" s="2">
        <v>1461.16</v>
      </c>
      <c r="Q2361" t="s">
        <v>61</v>
      </c>
    </row>
    <row r="2362" spans="1:17" x14ac:dyDescent="0.2">
      <c r="A2362" t="s">
        <v>2527</v>
      </c>
      <c r="B2362" s="1">
        <v>45946</v>
      </c>
      <c r="C2362" t="s">
        <v>18</v>
      </c>
      <c r="D2362" t="s">
        <v>86</v>
      </c>
      <c r="E2362" t="s">
        <v>87</v>
      </c>
      <c r="F2362" t="s">
        <v>53</v>
      </c>
      <c r="G2362" t="s">
        <v>22</v>
      </c>
      <c r="H2362" t="s">
        <v>23</v>
      </c>
      <c r="I2362" t="s">
        <v>79</v>
      </c>
      <c r="J2362" t="s">
        <v>233</v>
      </c>
      <c r="K2362">
        <v>2</v>
      </c>
      <c r="L2362" s="2">
        <v>231.94</v>
      </c>
      <c r="M2362" s="3">
        <v>0.1</v>
      </c>
      <c r="N2362" s="2">
        <v>417.49</v>
      </c>
      <c r="O2362" s="2">
        <v>328.27</v>
      </c>
      <c r="P2362" s="2">
        <v>89.22</v>
      </c>
      <c r="Q2362" t="s">
        <v>26</v>
      </c>
    </row>
    <row r="2363" spans="1:17" x14ac:dyDescent="0.2">
      <c r="A2363" t="s">
        <v>2528</v>
      </c>
      <c r="B2363" s="1">
        <v>45946</v>
      </c>
      <c r="C2363" t="s">
        <v>77</v>
      </c>
      <c r="D2363" t="s">
        <v>78</v>
      </c>
      <c r="E2363" t="s">
        <v>52</v>
      </c>
      <c r="F2363" t="s">
        <v>71</v>
      </c>
      <c r="G2363" t="s">
        <v>22</v>
      </c>
      <c r="H2363" t="s">
        <v>31</v>
      </c>
      <c r="I2363" t="s">
        <v>64</v>
      </c>
      <c r="J2363" t="s">
        <v>252</v>
      </c>
      <c r="K2363">
        <v>5</v>
      </c>
      <c r="L2363" s="2">
        <v>123.81</v>
      </c>
      <c r="M2363" s="3">
        <v>0.1</v>
      </c>
      <c r="N2363" s="2">
        <v>557.14</v>
      </c>
      <c r="O2363" s="2">
        <v>323.42</v>
      </c>
      <c r="P2363" s="2">
        <v>233.72</v>
      </c>
      <c r="Q2363" t="s">
        <v>26</v>
      </c>
    </row>
    <row r="2364" spans="1:17" x14ac:dyDescent="0.2">
      <c r="A2364" t="s">
        <v>2529</v>
      </c>
      <c r="B2364" s="1">
        <v>45946</v>
      </c>
      <c r="C2364" t="s">
        <v>43</v>
      </c>
      <c r="D2364" t="s">
        <v>44</v>
      </c>
      <c r="E2364" t="s">
        <v>45</v>
      </c>
      <c r="F2364" t="s">
        <v>60</v>
      </c>
      <c r="G2364" t="s">
        <v>22</v>
      </c>
      <c r="H2364" t="s">
        <v>31</v>
      </c>
      <c r="I2364" t="s">
        <v>40</v>
      </c>
      <c r="J2364" t="s">
        <v>216</v>
      </c>
      <c r="K2364">
        <v>6</v>
      </c>
      <c r="L2364" s="2">
        <v>194.65</v>
      </c>
      <c r="M2364" s="3">
        <v>0</v>
      </c>
      <c r="N2364" s="2">
        <v>1167.9000000000001</v>
      </c>
      <c r="O2364" s="2">
        <v>740.6</v>
      </c>
      <c r="P2364" s="2">
        <v>427.3</v>
      </c>
      <c r="Q2364" t="s">
        <v>26</v>
      </c>
    </row>
    <row r="2365" spans="1:17" x14ac:dyDescent="0.2">
      <c r="A2365" t="s">
        <v>2530</v>
      </c>
      <c r="B2365" s="1">
        <v>45946</v>
      </c>
      <c r="C2365" t="s">
        <v>77</v>
      </c>
      <c r="D2365" t="s">
        <v>78</v>
      </c>
      <c r="E2365" t="s">
        <v>52</v>
      </c>
      <c r="F2365" t="s">
        <v>46</v>
      </c>
      <c r="G2365" t="s">
        <v>75</v>
      </c>
      <c r="H2365" t="s">
        <v>31</v>
      </c>
      <c r="I2365" t="s">
        <v>112</v>
      </c>
      <c r="J2365" t="s">
        <v>113</v>
      </c>
      <c r="K2365">
        <v>7</v>
      </c>
      <c r="L2365" s="2">
        <v>356.42</v>
      </c>
      <c r="M2365" s="3">
        <v>0</v>
      </c>
      <c r="N2365" s="2">
        <v>2494.94</v>
      </c>
      <c r="O2365" s="2">
        <v>1985.18</v>
      </c>
      <c r="P2365" s="2">
        <v>509.76</v>
      </c>
      <c r="Q2365" t="s">
        <v>26</v>
      </c>
    </row>
    <row r="2366" spans="1:17" x14ac:dyDescent="0.2">
      <c r="A2366" t="s">
        <v>2531</v>
      </c>
      <c r="B2366" s="1">
        <v>45946</v>
      </c>
      <c r="C2366" t="s">
        <v>43</v>
      </c>
      <c r="D2366" t="s">
        <v>244</v>
      </c>
      <c r="E2366" t="s">
        <v>326</v>
      </c>
      <c r="F2366" t="s">
        <v>46</v>
      </c>
      <c r="G2366" t="s">
        <v>22</v>
      </c>
      <c r="H2366" t="s">
        <v>23</v>
      </c>
      <c r="I2366" t="s">
        <v>83</v>
      </c>
      <c r="J2366" t="s">
        <v>131</v>
      </c>
      <c r="K2366">
        <v>9</v>
      </c>
      <c r="L2366" s="2">
        <v>12.98</v>
      </c>
      <c r="M2366" s="3">
        <v>0.15</v>
      </c>
      <c r="N2366" s="2">
        <v>99.3</v>
      </c>
      <c r="O2366" s="2">
        <v>64.78</v>
      </c>
      <c r="P2366" s="2">
        <v>34.520000000000003</v>
      </c>
      <c r="Q2366" t="s">
        <v>34</v>
      </c>
    </row>
    <row r="2367" spans="1:17" x14ac:dyDescent="0.2">
      <c r="A2367" t="s">
        <v>2532</v>
      </c>
      <c r="B2367" s="1">
        <v>45946</v>
      </c>
      <c r="C2367" t="s">
        <v>36</v>
      </c>
      <c r="D2367" t="s">
        <v>37</v>
      </c>
      <c r="E2367" t="s">
        <v>255</v>
      </c>
      <c r="F2367" t="s">
        <v>138</v>
      </c>
      <c r="G2367" t="s">
        <v>75</v>
      </c>
      <c r="H2367" t="s">
        <v>23</v>
      </c>
      <c r="I2367" t="s">
        <v>79</v>
      </c>
      <c r="J2367" t="s">
        <v>179</v>
      </c>
      <c r="K2367">
        <v>10</v>
      </c>
      <c r="L2367" s="2">
        <v>525.52</v>
      </c>
      <c r="M2367" s="3">
        <v>0.1</v>
      </c>
      <c r="N2367" s="2">
        <v>4729.68</v>
      </c>
      <c r="O2367" s="2">
        <v>3401.33</v>
      </c>
      <c r="P2367" s="2">
        <v>1328.35</v>
      </c>
      <c r="Q2367" t="s">
        <v>26</v>
      </c>
    </row>
    <row r="2368" spans="1:17" x14ac:dyDescent="0.2">
      <c r="A2368" t="s">
        <v>2533</v>
      </c>
      <c r="B2368" s="1">
        <v>45947</v>
      </c>
      <c r="C2368" t="s">
        <v>77</v>
      </c>
      <c r="D2368" t="s">
        <v>149</v>
      </c>
      <c r="E2368" t="s">
        <v>206</v>
      </c>
      <c r="F2368" t="s">
        <v>138</v>
      </c>
      <c r="G2368" t="s">
        <v>75</v>
      </c>
      <c r="H2368" t="s">
        <v>31</v>
      </c>
      <c r="I2368" t="s">
        <v>40</v>
      </c>
      <c r="J2368" t="s">
        <v>122</v>
      </c>
      <c r="K2368">
        <v>9</v>
      </c>
      <c r="L2368" s="2">
        <v>59</v>
      </c>
      <c r="M2368" s="3">
        <v>0</v>
      </c>
      <c r="N2368" s="2">
        <v>531</v>
      </c>
      <c r="O2368" s="2">
        <v>312.92</v>
      </c>
      <c r="P2368" s="2">
        <v>218.08</v>
      </c>
      <c r="Q2368" t="s">
        <v>26</v>
      </c>
    </row>
    <row r="2369" spans="1:17" x14ac:dyDescent="0.2">
      <c r="A2369" t="s">
        <v>2534</v>
      </c>
      <c r="B2369" s="1">
        <v>45947</v>
      </c>
      <c r="C2369" t="s">
        <v>43</v>
      </c>
      <c r="D2369" t="s">
        <v>244</v>
      </c>
      <c r="E2369" t="s">
        <v>245</v>
      </c>
      <c r="F2369" t="s">
        <v>130</v>
      </c>
      <c r="G2369" t="s">
        <v>22</v>
      </c>
      <c r="H2369" t="s">
        <v>23</v>
      </c>
      <c r="I2369" t="s">
        <v>83</v>
      </c>
      <c r="J2369" t="s">
        <v>131</v>
      </c>
      <c r="K2369">
        <v>7</v>
      </c>
      <c r="L2369" s="2">
        <v>8.9499999999999993</v>
      </c>
      <c r="M2369" s="3">
        <v>0</v>
      </c>
      <c r="N2369" s="2">
        <v>62.65</v>
      </c>
      <c r="O2369" s="2">
        <v>49.84</v>
      </c>
      <c r="P2369" s="2">
        <v>12.81</v>
      </c>
      <c r="Q2369" t="s">
        <v>34</v>
      </c>
    </row>
    <row r="2370" spans="1:17" x14ac:dyDescent="0.2">
      <c r="A2370" t="s">
        <v>2535</v>
      </c>
      <c r="B2370" s="1">
        <v>45947</v>
      </c>
      <c r="C2370" t="s">
        <v>36</v>
      </c>
      <c r="D2370" t="s">
        <v>144</v>
      </c>
      <c r="E2370" t="s">
        <v>232</v>
      </c>
      <c r="F2370" t="s">
        <v>30</v>
      </c>
      <c r="G2370" t="s">
        <v>22</v>
      </c>
      <c r="H2370" t="s">
        <v>31</v>
      </c>
      <c r="I2370" t="s">
        <v>64</v>
      </c>
      <c r="J2370" t="s">
        <v>65</v>
      </c>
      <c r="K2370">
        <v>1</v>
      </c>
      <c r="L2370" s="2">
        <v>120.69</v>
      </c>
      <c r="M2370" s="3">
        <v>0.15</v>
      </c>
      <c r="N2370" s="2">
        <v>102.59</v>
      </c>
      <c r="O2370" s="2">
        <v>82.52</v>
      </c>
      <c r="P2370" s="2">
        <v>20.07</v>
      </c>
      <c r="Q2370" t="s">
        <v>57</v>
      </c>
    </row>
    <row r="2371" spans="1:17" x14ac:dyDescent="0.2">
      <c r="A2371" t="s">
        <v>2536</v>
      </c>
      <c r="B2371" s="1">
        <v>45948</v>
      </c>
      <c r="C2371" t="s">
        <v>18</v>
      </c>
      <c r="D2371" t="s">
        <v>133</v>
      </c>
      <c r="E2371" t="s">
        <v>226</v>
      </c>
      <c r="F2371" t="s">
        <v>130</v>
      </c>
      <c r="G2371" t="s">
        <v>54</v>
      </c>
      <c r="H2371" t="s">
        <v>47</v>
      </c>
      <c r="I2371" t="s">
        <v>48</v>
      </c>
      <c r="J2371" t="s">
        <v>164</v>
      </c>
      <c r="K2371">
        <v>1</v>
      </c>
      <c r="L2371" s="2">
        <v>801.2</v>
      </c>
      <c r="M2371" s="3">
        <v>0.05</v>
      </c>
      <c r="N2371" s="2">
        <v>761.14</v>
      </c>
      <c r="O2371" s="2">
        <v>500.97</v>
      </c>
      <c r="P2371" s="2">
        <v>260.17</v>
      </c>
      <c r="Q2371" t="s">
        <v>57</v>
      </c>
    </row>
    <row r="2372" spans="1:17" x14ac:dyDescent="0.2">
      <c r="A2372" t="s">
        <v>2537</v>
      </c>
      <c r="B2372" s="1">
        <v>45948</v>
      </c>
      <c r="C2372" t="s">
        <v>77</v>
      </c>
      <c r="D2372" t="s">
        <v>95</v>
      </c>
      <c r="E2372" t="s">
        <v>300</v>
      </c>
      <c r="F2372" t="s">
        <v>130</v>
      </c>
      <c r="G2372" t="s">
        <v>54</v>
      </c>
      <c r="H2372" t="s">
        <v>23</v>
      </c>
      <c r="I2372" t="s">
        <v>83</v>
      </c>
      <c r="J2372" t="s">
        <v>120</v>
      </c>
      <c r="K2372">
        <v>5</v>
      </c>
      <c r="L2372" s="2">
        <v>27.61</v>
      </c>
      <c r="M2372" s="3">
        <v>0.05</v>
      </c>
      <c r="N2372" s="2">
        <v>131.15</v>
      </c>
      <c r="O2372" s="2">
        <v>103.51</v>
      </c>
      <c r="P2372" s="2">
        <v>27.64</v>
      </c>
      <c r="Q2372" t="s">
        <v>57</v>
      </c>
    </row>
    <row r="2373" spans="1:17" x14ac:dyDescent="0.2">
      <c r="A2373" t="s">
        <v>2538</v>
      </c>
      <c r="B2373" s="1">
        <v>45948</v>
      </c>
      <c r="C2373" t="s">
        <v>77</v>
      </c>
      <c r="D2373" t="s">
        <v>95</v>
      </c>
      <c r="E2373" t="s">
        <v>96</v>
      </c>
      <c r="F2373" t="s">
        <v>138</v>
      </c>
      <c r="G2373" t="s">
        <v>75</v>
      </c>
      <c r="H2373" t="s">
        <v>31</v>
      </c>
      <c r="I2373" t="s">
        <v>32</v>
      </c>
      <c r="J2373" t="s">
        <v>258</v>
      </c>
      <c r="K2373">
        <v>8</v>
      </c>
      <c r="L2373" s="2">
        <v>1386.31</v>
      </c>
      <c r="M2373" s="3">
        <v>0.15</v>
      </c>
      <c r="N2373" s="2">
        <v>9426.91</v>
      </c>
      <c r="O2373" s="2">
        <v>6926.33</v>
      </c>
      <c r="P2373" s="2">
        <v>2500.58</v>
      </c>
      <c r="Q2373" t="s">
        <v>57</v>
      </c>
    </row>
    <row r="2374" spans="1:17" x14ac:dyDescent="0.2">
      <c r="A2374" t="s">
        <v>2539</v>
      </c>
      <c r="B2374" s="1">
        <v>45948</v>
      </c>
      <c r="C2374" t="s">
        <v>43</v>
      </c>
      <c r="D2374" t="s">
        <v>44</v>
      </c>
      <c r="E2374" t="s">
        <v>45</v>
      </c>
      <c r="F2374" t="s">
        <v>69</v>
      </c>
      <c r="G2374" t="s">
        <v>22</v>
      </c>
      <c r="H2374" t="s">
        <v>47</v>
      </c>
      <c r="I2374" t="s">
        <v>97</v>
      </c>
      <c r="J2374" t="s">
        <v>98</v>
      </c>
      <c r="K2374">
        <v>1</v>
      </c>
      <c r="L2374" s="2">
        <v>547.13</v>
      </c>
      <c r="M2374" s="3">
        <v>0.2</v>
      </c>
      <c r="N2374" s="2">
        <v>437.7</v>
      </c>
      <c r="O2374" s="2">
        <v>294.77</v>
      </c>
      <c r="P2374" s="2">
        <v>142.93</v>
      </c>
      <c r="Q2374" t="s">
        <v>61</v>
      </c>
    </row>
    <row r="2375" spans="1:17" x14ac:dyDescent="0.2">
      <c r="A2375" t="s">
        <v>2540</v>
      </c>
      <c r="B2375" s="1">
        <v>45948</v>
      </c>
      <c r="C2375" t="s">
        <v>18</v>
      </c>
      <c r="D2375" t="s">
        <v>28</v>
      </c>
      <c r="E2375" t="s">
        <v>170</v>
      </c>
      <c r="F2375" t="s">
        <v>60</v>
      </c>
      <c r="G2375" t="s">
        <v>22</v>
      </c>
      <c r="H2375" t="s">
        <v>23</v>
      </c>
      <c r="I2375" t="s">
        <v>24</v>
      </c>
      <c r="J2375" t="s">
        <v>108</v>
      </c>
      <c r="K2375">
        <v>9</v>
      </c>
      <c r="L2375" s="2">
        <v>18.010000000000002</v>
      </c>
      <c r="M2375" s="3">
        <v>0.1</v>
      </c>
      <c r="N2375" s="2">
        <v>145.88</v>
      </c>
      <c r="O2375" s="2">
        <v>101.98</v>
      </c>
      <c r="P2375" s="2">
        <v>43.9</v>
      </c>
      <c r="Q2375" t="s">
        <v>26</v>
      </c>
    </row>
    <row r="2376" spans="1:17" x14ac:dyDescent="0.2">
      <c r="A2376" t="s">
        <v>2541</v>
      </c>
      <c r="B2376" s="1">
        <v>45948</v>
      </c>
      <c r="C2376" t="s">
        <v>77</v>
      </c>
      <c r="D2376" t="s">
        <v>149</v>
      </c>
      <c r="E2376" t="s">
        <v>206</v>
      </c>
      <c r="F2376" t="s">
        <v>21</v>
      </c>
      <c r="G2376" t="s">
        <v>22</v>
      </c>
      <c r="H2376" t="s">
        <v>23</v>
      </c>
      <c r="I2376" t="s">
        <v>83</v>
      </c>
      <c r="J2376" t="s">
        <v>84</v>
      </c>
      <c r="K2376">
        <v>2</v>
      </c>
      <c r="L2376" s="2">
        <v>19.46</v>
      </c>
      <c r="M2376" s="3">
        <v>0</v>
      </c>
      <c r="N2376" s="2">
        <v>38.92</v>
      </c>
      <c r="O2376" s="2">
        <v>27.86</v>
      </c>
      <c r="P2376" s="2">
        <v>11.06</v>
      </c>
      <c r="Q2376" t="s">
        <v>61</v>
      </c>
    </row>
    <row r="2377" spans="1:17" x14ac:dyDescent="0.2">
      <c r="A2377" t="s">
        <v>2542</v>
      </c>
      <c r="B2377" s="1">
        <v>45949</v>
      </c>
      <c r="C2377" t="s">
        <v>36</v>
      </c>
      <c r="D2377" t="s">
        <v>144</v>
      </c>
      <c r="E2377" t="s">
        <v>214</v>
      </c>
      <c r="F2377" t="s">
        <v>69</v>
      </c>
      <c r="G2377" t="s">
        <v>54</v>
      </c>
      <c r="H2377" t="s">
        <v>31</v>
      </c>
      <c r="I2377" t="s">
        <v>32</v>
      </c>
      <c r="J2377" t="s">
        <v>258</v>
      </c>
      <c r="K2377">
        <v>7</v>
      </c>
      <c r="L2377" s="2">
        <v>1207.6300000000001</v>
      </c>
      <c r="M2377" s="3">
        <v>0.05</v>
      </c>
      <c r="N2377" s="2">
        <v>8030.74</v>
      </c>
      <c r="O2377" s="2">
        <v>5897.28</v>
      </c>
      <c r="P2377" s="2">
        <v>2133.46</v>
      </c>
      <c r="Q2377" t="s">
        <v>57</v>
      </c>
    </row>
    <row r="2378" spans="1:17" x14ac:dyDescent="0.2">
      <c r="A2378" t="s">
        <v>2543</v>
      </c>
      <c r="B2378" s="1">
        <v>45949</v>
      </c>
      <c r="C2378" t="s">
        <v>36</v>
      </c>
      <c r="D2378" t="s">
        <v>67</v>
      </c>
      <c r="E2378" t="s">
        <v>68</v>
      </c>
      <c r="F2378" t="s">
        <v>71</v>
      </c>
      <c r="G2378" t="s">
        <v>75</v>
      </c>
      <c r="H2378" t="s">
        <v>23</v>
      </c>
      <c r="I2378" t="s">
        <v>83</v>
      </c>
      <c r="J2378" t="s">
        <v>84</v>
      </c>
      <c r="K2378">
        <v>3</v>
      </c>
      <c r="L2378" s="2">
        <v>15.88</v>
      </c>
      <c r="M2378" s="3">
        <v>0.1</v>
      </c>
      <c r="N2378" s="2">
        <v>42.88</v>
      </c>
      <c r="O2378" s="2">
        <v>28.64</v>
      </c>
      <c r="P2378" s="2">
        <v>14.24</v>
      </c>
      <c r="Q2378" t="s">
        <v>26</v>
      </c>
    </row>
    <row r="2379" spans="1:17" x14ac:dyDescent="0.2">
      <c r="A2379" t="s">
        <v>2544</v>
      </c>
      <c r="B2379" s="1">
        <v>45949</v>
      </c>
      <c r="C2379" t="s">
        <v>18</v>
      </c>
      <c r="D2379" t="s">
        <v>133</v>
      </c>
      <c r="E2379" t="s">
        <v>226</v>
      </c>
      <c r="F2379" t="s">
        <v>60</v>
      </c>
      <c r="G2379" t="s">
        <v>75</v>
      </c>
      <c r="H2379" t="s">
        <v>23</v>
      </c>
      <c r="I2379" t="s">
        <v>24</v>
      </c>
      <c r="J2379" t="s">
        <v>220</v>
      </c>
      <c r="K2379">
        <v>6</v>
      </c>
      <c r="L2379" s="2">
        <v>8.2899999999999991</v>
      </c>
      <c r="M2379" s="3">
        <v>0.05</v>
      </c>
      <c r="N2379" s="2">
        <v>47.25</v>
      </c>
      <c r="O2379" s="2">
        <v>37.369999999999997</v>
      </c>
      <c r="P2379" s="2">
        <v>9.8800000000000008</v>
      </c>
      <c r="Q2379" t="s">
        <v>34</v>
      </c>
    </row>
    <row r="2380" spans="1:17" x14ac:dyDescent="0.2">
      <c r="A2380" t="s">
        <v>2545</v>
      </c>
      <c r="B2380" s="1">
        <v>45949</v>
      </c>
      <c r="C2380" t="s">
        <v>43</v>
      </c>
      <c r="D2380" t="s">
        <v>44</v>
      </c>
      <c r="E2380" t="s">
        <v>45</v>
      </c>
      <c r="F2380" t="s">
        <v>71</v>
      </c>
      <c r="G2380" t="s">
        <v>54</v>
      </c>
      <c r="H2380" t="s">
        <v>31</v>
      </c>
      <c r="I2380" t="s">
        <v>32</v>
      </c>
      <c r="J2380" t="s">
        <v>33</v>
      </c>
      <c r="K2380">
        <v>3</v>
      </c>
      <c r="L2380" s="2">
        <v>1104.51</v>
      </c>
      <c r="M2380" s="3">
        <v>0.1</v>
      </c>
      <c r="N2380" s="2">
        <v>2982.18</v>
      </c>
      <c r="O2380" s="2">
        <v>2012.59</v>
      </c>
      <c r="P2380" s="2">
        <v>969.59</v>
      </c>
      <c r="Q2380" t="s">
        <v>34</v>
      </c>
    </row>
    <row r="2381" spans="1:17" x14ac:dyDescent="0.2">
      <c r="A2381" t="s">
        <v>2546</v>
      </c>
      <c r="B2381" s="1">
        <v>45949</v>
      </c>
      <c r="C2381" t="s">
        <v>77</v>
      </c>
      <c r="D2381" t="s">
        <v>95</v>
      </c>
      <c r="E2381" t="s">
        <v>96</v>
      </c>
      <c r="F2381" t="s">
        <v>71</v>
      </c>
      <c r="G2381" t="s">
        <v>22</v>
      </c>
      <c r="H2381" t="s">
        <v>23</v>
      </c>
      <c r="I2381" t="s">
        <v>24</v>
      </c>
      <c r="J2381" t="s">
        <v>108</v>
      </c>
      <c r="K2381">
        <v>7</v>
      </c>
      <c r="L2381" s="2">
        <v>28.67</v>
      </c>
      <c r="M2381" s="3">
        <v>0.2</v>
      </c>
      <c r="N2381" s="2">
        <v>160.55000000000001</v>
      </c>
      <c r="O2381" s="2">
        <v>118.6</v>
      </c>
      <c r="P2381" s="2">
        <v>41.95</v>
      </c>
      <c r="Q2381" t="s">
        <v>26</v>
      </c>
    </row>
    <row r="2382" spans="1:17" x14ac:dyDescent="0.2">
      <c r="A2382" t="s">
        <v>2547</v>
      </c>
      <c r="B2382" s="1">
        <v>45949</v>
      </c>
      <c r="C2382" t="s">
        <v>43</v>
      </c>
      <c r="D2382" t="s">
        <v>244</v>
      </c>
      <c r="E2382" t="s">
        <v>300</v>
      </c>
      <c r="F2382" t="s">
        <v>21</v>
      </c>
      <c r="G2382" t="s">
        <v>75</v>
      </c>
      <c r="H2382" t="s">
        <v>31</v>
      </c>
      <c r="I2382" t="s">
        <v>64</v>
      </c>
      <c r="J2382" t="s">
        <v>126</v>
      </c>
      <c r="K2382">
        <v>4</v>
      </c>
      <c r="L2382" s="2">
        <v>179.42</v>
      </c>
      <c r="M2382" s="3">
        <v>0.1</v>
      </c>
      <c r="N2382" s="2">
        <v>645.91</v>
      </c>
      <c r="O2382" s="2">
        <v>413.66</v>
      </c>
      <c r="P2382" s="2">
        <v>232.25</v>
      </c>
      <c r="Q2382" t="s">
        <v>34</v>
      </c>
    </row>
    <row r="2383" spans="1:17" x14ac:dyDescent="0.2">
      <c r="A2383" t="s">
        <v>2548</v>
      </c>
      <c r="B2383" s="1">
        <v>45949</v>
      </c>
      <c r="C2383" t="s">
        <v>18</v>
      </c>
      <c r="D2383" t="s">
        <v>152</v>
      </c>
      <c r="E2383" t="s">
        <v>166</v>
      </c>
      <c r="F2383" t="s">
        <v>60</v>
      </c>
      <c r="G2383" t="s">
        <v>22</v>
      </c>
      <c r="H2383" t="s">
        <v>23</v>
      </c>
      <c r="I2383" t="s">
        <v>79</v>
      </c>
      <c r="J2383" t="s">
        <v>233</v>
      </c>
      <c r="K2383">
        <v>10</v>
      </c>
      <c r="L2383" s="2">
        <v>487.03</v>
      </c>
      <c r="M2383" s="3">
        <v>0.05</v>
      </c>
      <c r="N2383" s="2">
        <v>4626.78</v>
      </c>
      <c r="O2383" s="2">
        <v>3589.64</v>
      </c>
      <c r="P2383" s="2">
        <v>1037.1400000000001</v>
      </c>
      <c r="Q2383" t="s">
        <v>26</v>
      </c>
    </row>
    <row r="2384" spans="1:17" x14ac:dyDescent="0.2">
      <c r="A2384" t="s">
        <v>2549</v>
      </c>
      <c r="B2384" s="1">
        <v>45950</v>
      </c>
      <c r="C2384" t="s">
        <v>77</v>
      </c>
      <c r="D2384" t="s">
        <v>78</v>
      </c>
      <c r="E2384" t="s">
        <v>52</v>
      </c>
      <c r="F2384" t="s">
        <v>138</v>
      </c>
      <c r="G2384" t="s">
        <v>75</v>
      </c>
      <c r="H2384" t="s">
        <v>31</v>
      </c>
      <c r="I2384" t="s">
        <v>112</v>
      </c>
      <c r="J2384" t="s">
        <v>113</v>
      </c>
      <c r="K2384">
        <v>2</v>
      </c>
      <c r="L2384" s="2">
        <v>472.24</v>
      </c>
      <c r="M2384" s="3">
        <v>0</v>
      </c>
      <c r="N2384" s="2">
        <v>944.48</v>
      </c>
      <c r="O2384" s="2">
        <v>688.66</v>
      </c>
      <c r="P2384" s="2">
        <v>255.82</v>
      </c>
      <c r="Q2384" t="s">
        <v>26</v>
      </c>
    </row>
    <row r="2385" spans="1:17" x14ac:dyDescent="0.2">
      <c r="A2385" t="s">
        <v>2550</v>
      </c>
      <c r="B2385" s="1">
        <v>45950</v>
      </c>
      <c r="C2385" t="s">
        <v>43</v>
      </c>
      <c r="D2385" t="s">
        <v>244</v>
      </c>
      <c r="E2385" t="s">
        <v>245</v>
      </c>
      <c r="F2385" t="s">
        <v>30</v>
      </c>
      <c r="G2385" t="s">
        <v>22</v>
      </c>
      <c r="H2385" t="s">
        <v>31</v>
      </c>
      <c r="I2385" t="s">
        <v>64</v>
      </c>
      <c r="J2385" t="s">
        <v>65</v>
      </c>
      <c r="K2385">
        <v>3</v>
      </c>
      <c r="L2385" s="2">
        <v>165.75</v>
      </c>
      <c r="M2385" s="3">
        <v>0</v>
      </c>
      <c r="N2385" s="2">
        <v>497.25</v>
      </c>
      <c r="O2385" s="2">
        <v>299.54000000000002</v>
      </c>
      <c r="P2385" s="2">
        <v>197.71</v>
      </c>
      <c r="Q2385" t="s">
        <v>34</v>
      </c>
    </row>
    <row r="2386" spans="1:17" x14ac:dyDescent="0.2">
      <c r="A2386" t="s">
        <v>2551</v>
      </c>
      <c r="B2386" s="1">
        <v>45950</v>
      </c>
      <c r="C2386" t="s">
        <v>43</v>
      </c>
      <c r="D2386" t="s">
        <v>44</v>
      </c>
      <c r="E2386" t="s">
        <v>45</v>
      </c>
      <c r="F2386" t="s">
        <v>39</v>
      </c>
      <c r="G2386" t="s">
        <v>22</v>
      </c>
      <c r="H2386" t="s">
        <v>23</v>
      </c>
      <c r="I2386" t="s">
        <v>24</v>
      </c>
      <c r="J2386" t="s">
        <v>25</v>
      </c>
      <c r="K2386">
        <v>6</v>
      </c>
      <c r="L2386" s="2">
        <v>26.11</v>
      </c>
      <c r="M2386" s="3">
        <v>0.2</v>
      </c>
      <c r="N2386" s="2">
        <v>125.33</v>
      </c>
      <c r="O2386" s="2">
        <v>69.739999999999995</v>
      </c>
      <c r="P2386" s="2">
        <v>55.59</v>
      </c>
      <c r="Q2386" t="s">
        <v>57</v>
      </c>
    </row>
    <row r="2387" spans="1:17" x14ac:dyDescent="0.2">
      <c r="A2387" t="s">
        <v>2552</v>
      </c>
      <c r="B2387" s="1">
        <v>45950</v>
      </c>
      <c r="C2387" t="s">
        <v>36</v>
      </c>
      <c r="D2387" t="s">
        <v>110</v>
      </c>
      <c r="E2387" t="s">
        <v>111</v>
      </c>
      <c r="F2387" t="s">
        <v>21</v>
      </c>
      <c r="G2387" t="s">
        <v>22</v>
      </c>
      <c r="H2387" t="s">
        <v>23</v>
      </c>
      <c r="I2387" t="s">
        <v>79</v>
      </c>
      <c r="J2387" t="s">
        <v>179</v>
      </c>
      <c r="K2387">
        <v>2</v>
      </c>
      <c r="L2387" s="2">
        <v>439.77</v>
      </c>
      <c r="M2387" s="3">
        <v>0.2</v>
      </c>
      <c r="N2387" s="2">
        <v>703.63</v>
      </c>
      <c r="O2387" s="2">
        <v>460.98</v>
      </c>
      <c r="P2387" s="2">
        <v>242.65</v>
      </c>
      <c r="Q2387" t="s">
        <v>34</v>
      </c>
    </row>
    <row r="2388" spans="1:17" x14ac:dyDescent="0.2">
      <c r="A2388" t="s">
        <v>2553</v>
      </c>
      <c r="B2388" s="1">
        <v>45950</v>
      </c>
      <c r="C2388" t="s">
        <v>18</v>
      </c>
      <c r="D2388" t="s">
        <v>28</v>
      </c>
      <c r="E2388" t="s">
        <v>170</v>
      </c>
      <c r="F2388" t="s">
        <v>130</v>
      </c>
      <c r="G2388" t="s">
        <v>22</v>
      </c>
      <c r="H2388" t="s">
        <v>47</v>
      </c>
      <c r="I2388" t="s">
        <v>141</v>
      </c>
      <c r="J2388" t="s">
        <v>372</v>
      </c>
      <c r="K2388">
        <v>3</v>
      </c>
      <c r="L2388" s="2">
        <v>208.31</v>
      </c>
      <c r="M2388" s="3">
        <v>0.05</v>
      </c>
      <c r="N2388" s="2">
        <v>593.67999999999995</v>
      </c>
      <c r="O2388" s="2">
        <v>394.02</v>
      </c>
      <c r="P2388" s="2">
        <v>199.66</v>
      </c>
      <c r="Q2388" t="s">
        <v>57</v>
      </c>
    </row>
    <row r="2389" spans="1:17" x14ac:dyDescent="0.2">
      <c r="A2389" t="s">
        <v>2554</v>
      </c>
      <c r="B2389" s="1">
        <v>45950</v>
      </c>
      <c r="C2389" t="s">
        <v>43</v>
      </c>
      <c r="D2389" t="s">
        <v>244</v>
      </c>
      <c r="E2389" t="s">
        <v>245</v>
      </c>
      <c r="F2389" t="s">
        <v>69</v>
      </c>
      <c r="G2389" t="s">
        <v>22</v>
      </c>
      <c r="H2389" t="s">
        <v>31</v>
      </c>
      <c r="I2389" t="s">
        <v>32</v>
      </c>
      <c r="J2389" t="s">
        <v>33</v>
      </c>
      <c r="K2389">
        <v>6</v>
      </c>
      <c r="L2389" s="2">
        <v>1545.99</v>
      </c>
      <c r="M2389" s="3">
        <v>0.2</v>
      </c>
      <c r="N2389" s="2">
        <v>7420.75</v>
      </c>
      <c r="O2389" s="2">
        <v>5313.87</v>
      </c>
      <c r="P2389" s="2">
        <v>2106.88</v>
      </c>
      <c r="Q2389" t="s">
        <v>57</v>
      </c>
    </row>
    <row r="2390" spans="1:17" x14ac:dyDescent="0.2">
      <c r="A2390" t="s">
        <v>2555</v>
      </c>
      <c r="B2390" s="1">
        <v>45950</v>
      </c>
      <c r="C2390" t="s">
        <v>43</v>
      </c>
      <c r="D2390" t="s">
        <v>44</v>
      </c>
      <c r="E2390" t="s">
        <v>147</v>
      </c>
      <c r="F2390" t="s">
        <v>138</v>
      </c>
      <c r="G2390" t="s">
        <v>75</v>
      </c>
      <c r="H2390" t="s">
        <v>31</v>
      </c>
      <c r="I2390" t="s">
        <v>40</v>
      </c>
      <c r="J2390" t="s">
        <v>122</v>
      </c>
      <c r="K2390">
        <v>3</v>
      </c>
      <c r="L2390" s="2">
        <v>239.66</v>
      </c>
      <c r="M2390" s="3">
        <v>0.1</v>
      </c>
      <c r="N2390" s="2">
        <v>647.08000000000004</v>
      </c>
      <c r="O2390" s="2">
        <v>429.47</v>
      </c>
      <c r="P2390" s="2">
        <v>217.61</v>
      </c>
      <c r="Q2390" t="s">
        <v>57</v>
      </c>
    </row>
    <row r="2391" spans="1:17" x14ac:dyDescent="0.2">
      <c r="A2391" t="s">
        <v>2556</v>
      </c>
      <c r="B2391" s="1">
        <v>45950</v>
      </c>
      <c r="C2391" t="s">
        <v>18</v>
      </c>
      <c r="D2391" t="s">
        <v>28</v>
      </c>
      <c r="E2391" t="s">
        <v>29</v>
      </c>
      <c r="F2391" t="s">
        <v>130</v>
      </c>
      <c r="G2391" t="s">
        <v>22</v>
      </c>
      <c r="H2391" t="s">
        <v>47</v>
      </c>
      <c r="I2391" t="s">
        <v>97</v>
      </c>
      <c r="J2391" t="s">
        <v>116</v>
      </c>
      <c r="K2391">
        <v>2</v>
      </c>
      <c r="L2391" s="2">
        <v>542.89</v>
      </c>
      <c r="M2391" s="3">
        <v>0</v>
      </c>
      <c r="N2391" s="2">
        <v>1085.78</v>
      </c>
      <c r="O2391" s="2">
        <v>638.79</v>
      </c>
      <c r="P2391" s="2">
        <v>446.99</v>
      </c>
      <c r="Q2391" t="s">
        <v>26</v>
      </c>
    </row>
    <row r="2392" spans="1:17" x14ac:dyDescent="0.2">
      <c r="A2392" t="s">
        <v>2557</v>
      </c>
      <c r="B2392" s="1">
        <v>45950</v>
      </c>
      <c r="C2392" t="s">
        <v>36</v>
      </c>
      <c r="D2392" t="s">
        <v>67</v>
      </c>
      <c r="E2392" t="s">
        <v>323</v>
      </c>
      <c r="F2392" t="s">
        <v>46</v>
      </c>
      <c r="G2392" t="s">
        <v>22</v>
      </c>
      <c r="H2392" t="s">
        <v>31</v>
      </c>
      <c r="I2392" t="s">
        <v>40</v>
      </c>
      <c r="J2392" t="s">
        <v>122</v>
      </c>
      <c r="K2392">
        <v>9</v>
      </c>
      <c r="L2392" s="2">
        <v>151.05000000000001</v>
      </c>
      <c r="M2392" s="3">
        <v>0</v>
      </c>
      <c r="N2392" s="2">
        <v>1359.45</v>
      </c>
      <c r="O2392" s="2">
        <v>805.49</v>
      </c>
      <c r="P2392" s="2">
        <v>553.96</v>
      </c>
      <c r="Q2392" t="s">
        <v>34</v>
      </c>
    </row>
    <row r="2393" spans="1:17" x14ac:dyDescent="0.2">
      <c r="A2393" t="s">
        <v>2558</v>
      </c>
      <c r="B2393" s="1">
        <v>45951</v>
      </c>
      <c r="C2393" t="s">
        <v>18</v>
      </c>
      <c r="D2393" t="s">
        <v>28</v>
      </c>
      <c r="E2393" t="s">
        <v>29</v>
      </c>
      <c r="F2393" t="s">
        <v>130</v>
      </c>
      <c r="G2393" t="s">
        <v>22</v>
      </c>
      <c r="H2393" t="s">
        <v>47</v>
      </c>
      <c r="I2393" t="s">
        <v>141</v>
      </c>
      <c r="J2393" t="s">
        <v>372</v>
      </c>
      <c r="K2393">
        <v>5</v>
      </c>
      <c r="L2393" s="2">
        <v>552.41</v>
      </c>
      <c r="M2393" s="3">
        <v>0.15</v>
      </c>
      <c r="N2393" s="2">
        <v>2347.7399999999998</v>
      </c>
      <c r="O2393" s="2">
        <v>1703.48</v>
      </c>
      <c r="P2393" s="2">
        <v>644.26</v>
      </c>
      <c r="Q2393" t="s">
        <v>61</v>
      </c>
    </row>
    <row r="2394" spans="1:17" x14ac:dyDescent="0.2">
      <c r="A2394" t="s">
        <v>2559</v>
      </c>
      <c r="B2394" s="1">
        <v>45951</v>
      </c>
      <c r="C2394" t="s">
        <v>36</v>
      </c>
      <c r="D2394" t="s">
        <v>37</v>
      </c>
      <c r="E2394" t="s">
        <v>38</v>
      </c>
      <c r="F2394" t="s">
        <v>53</v>
      </c>
      <c r="G2394" t="s">
        <v>22</v>
      </c>
      <c r="H2394" t="s">
        <v>23</v>
      </c>
      <c r="I2394" t="s">
        <v>79</v>
      </c>
      <c r="J2394" t="s">
        <v>80</v>
      </c>
      <c r="K2394">
        <v>1</v>
      </c>
      <c r="L2394" s="2">
        <v>383.75</v>
      </c>
      <c r="M2394" s="3">
        <v>0.05</v>
      </c>
      <c r="N2394" s="2">
        <v>364.56</v>
      </c>
      <c r="O2394" s="2">
        <v>292.62</v>
      </c>
      <c r="P2394" s="2">
        <v>71.94</v>
      </c>
      <c r="Q2394" t="s">
        <v>57</v>
      </c>
    </row>
    <row r="2395" spans="1:17" x14ac:dyDescent="0.2">
      <c r="A2395" t="s">
        <v>2560</v>
      </c>
      <c r="B2395" s="1">
        <v>45951</v>
      </c>
      <c r="C2395" t="s">
        <v>36</v>
      </c>
      <c r="D2395" t="s">
        <v>73</v>
      </c>
      <c r="E2395" t="s">
        <v>212</v>
      </c>
      <c r="F2395" t="s">
        <v>46</v>
      </c>
      <c r="G2395" t="s">
        <v>22</v>
      </c>
      <c r="H2395" t="s">
        <v>23</v>
      </c>
      <c r="I2395" t="s">
        <v>83</v>
      </c>
      <c r="J2395" t="s">
        <v>120</v>
      </c>
      <c r="K2395">
        <v>4</v>
      </c>
      <c r="L2395" s="2">
        <v>8.08</v>
      </c>
      <c r="M2395" s="3">
        <v>0.1</v>
      </c>
      <c r="N2395" s="2">
        <v>29.09</v>
      </c>
      <c r="O2395" s="2">
        <v>17</v>
      </c>
      <c r="P2395" s="2">
        <v>12.09</v>
      </c>
      <c r="Q2395" t="s">
        <v>26</v>
      </c>
    </row>
    <row r="2396" spans="1:17" x14ac:dyDescent="0.2">
      <c r="A2396" t="s">
        <v>2561</v>
      </c>
      <c r="B2396" s="1">
        <v>45951</v>
      </c>
      <c r="C2396" t="s">
        <v>36</v>
      </c>
      <c r="D2396" t="s">
        <v>37</v>
      </c>
      <c r="E2396" t="s">
        <v>255</v>
      </c>
      <c r="F2396" t="s">
        <v>69</v>
      </c>
      <c r="G2396" t="s">
        <v>75</v>
      </c>
      <c r="H2396" t="s">
        <v>23</v>
      </c>
      <c r="I2396" t="s">
        <v>79</v>
      </c>
      <c r="J2396" t="s">
        <v>80</v>
      </c>
      <c r="K2396">
        <v>5</v>
      </c>
      <c r="L2396" s="2">
        <v>440.91</v>
      </c>
      <c r="M2396" s="3">
        <v>0.05</v>
      </c>
      <c r="N2396" s="2">
        <v>2094.3200000000002</v>
      </c>
      <c r="O2396" s="2">
        <v>1366.09</v>
      </c>
      <c r="P2396" s="2">
        <v>728.23</v>
      </c>
      <c r="Q2396" t="s">
        <v>26</v>
      </c>
    </row>
    <row r="2397" spans="1:17" x14ac:dyDescent="0.2">
      <c r="A2397" t="s">
        <v>2562</v>
      </c>
      <c r="B2397" s="1">
        <v>45951</v>
      </c>
      <c r="C2397" t="s">
        <v>77</v>
      </c>
      <c r="D2397" t="s">
        <v>78</v>
      </c>
      <c r="E2397" t="s">
        <v>261</v>
      </c>
      <c r="F2397" t="s">
        <v>69</v>
      </c>
      <c r="G2397" t="s">
        <v>75</v>
      </c>
      <c r="H2397" t="s">
        <v>31</v>
      </c>
      <c r="I2397" t="s">
        <v>64</v>
      </c>
      <c r="J2397" t="s">
        <v>65</v>
      </c>
      <c r="K2397">
        <v>10</v>
      </c>
      <c r="L2397" s="2">
        <v>74.25</v>
      </c>
      <c r="M2397" s="3">
        <v>0.05</v>
      </c>
      <c r="N2397" s="2">
        <v>705.38</v>
      </c>
      <c r="O2397" s="2">
        <v>445.53</v>
      </c>
      <c r="P2397" s="2">
        <v>259.85000000000002</v>
      </c>
      <c r="Q2397" t="s">
        <v>61</v>
      </c>
    </row>
    <row r="2398" spans="1:17" x14ac:dyDescent="0.2">
      <c r="A2398" t="s">
        <v>2563</v>
      </c>
      <c r="B2398" s="1">
        <v>45952</v>
      </c>
      <c r="C2398" t="s">
        <v>18</v>
      </c>
      <c r="D2398" t="s">
        <v>152</v>
      </c>
      <c r="E2398" t="s">
        <v>153</v>
      </c>
      <c r="F2398" t="s">
        <v>46</v>
      </c>
      <c r="G2398" t="s">
        <v>22</v>
      </c>
      <c r="H2398" t="s">
        <v>23</v>
      </c>
      <c r="I2398" t="s">
        <v>79</v>
      </c>
      <c r="J2398" t="s">
        <v>80</v>
      </c>
      <c r="K2398">
        <v>1</v>
      </c>
      <c r="L2398" s="2">
        <v>389.56</v>
      </c>
      <c r="M2398" s="3">
        <v>0.1</v>
      </c>
      <c r="N2398" s="2">
        <v>350.6</v>
      </c>
      <c r="O2398" s="2">
        <v>207.21</v>
      </c>
      <c r="P2398" s="2">
        <v>143.38999999999999</v>
      </c>
      <c r="Q2398" t="s">
        <v>34</v>
      </c>
    </row>
    <row r="2399" spans="1:17" x14ac:dyDescent="0.2">
      <c r="A2399" t="s">
        <v>2564</v>
      </c>
      <c r="B2399" s="1">
        <v>45952</v>
      </c>
      <c r="C2399" t="s">
        <v>43</v>
      </c>
      <c r="D2399" t="s">
        <v>208</v>
      </c>
      <c r="E2399" t="s">
        <v>209</v>
      </c>
      <c r="F2399" t="s">
        <v>69</v>
      </c>
      <c r="G2399" t="s">
        <v>75</v>
      </c>
      <c r="H2399" t="s">
        <v>23</v>
      </c>
      <c r="I2399" t="s">
        <v>83</v>
      </c>
      <c r="J2399" t="s">
        <v>131</v>
      </c>
      <c r="K2399">
        <v>7</v>
      </c>
      <c r="L2399" s="2">
        <v>10.89</v>
      </c>
      <c r="M2399" s="3">
        <v>0.1</v>
      </c>
      <c r="N2399" s="2">
        <v>68.61</v>
      </c>
      <c r="O2399" s="2">
        <v>50.56</v>
      </c>
      <c r="P2399" s="2">
        <v>18.05</v>
      </c>
      <c r="Q2399" t="s">
        <v>57</v>
      </c>
    </row>
    <row r="2400" spans="1:17" x14ac:dyDescent="0.2">
      <c r="A2400" t="s">
        <v>2565</v>
      </c>
      <c r="B2400" s="1">
        <v>45952</v>
      </c>
      <c r="C2400" t="s">
        <v>36</v>
      </c>
      <c r="D2400" t="s">
        <v>110</v>
      </c>
      <c r="E2400" t="s">
        <v>115</v>
      </c>
      <c r="F2400" t="s">
        <v>60</v>
      </c>
      <c r="G2400" t="s">
        <v>75</v>
      </c>
      <c r="H2400" t="s">
        <v>23</v>
      </c>
      <c r="I2400" t="s">
        <v>55</v>
      </c>
      <c r="J2400" t="s">
        <v>56</v>
      </c>
      <c r="K2400">
        <v>1</v>
      </c>
      <c r="L2400" s="2">
        <v>8.39</v>
      </c>
      <c r="M2400" s="3">
        <v>0.05</v>
      </c>
      <c r="N2400" s="2">
        <v>7.97</v>
      </c>
      <c r="O2400" s="2">
        <v>5.89</v>
      </c>
      <c r="P2400" s="2">
        <v>2.08</v>
      </c>
      <c r="Q2400" t="s">
        <v>61</v>
      </c>
    </row>
    <row r="2401" spans="1:17" x14ac:dyDescent="0.2">
      <c r="A2401" t="s">
        <v>2566</v>
      </c>
      <c r="B2401" s="1">
        <v>45952</v>
      </c>
      <c r="C2401" t="s">
        <v>77</v>
      </c>
      <c r="D2401" t="s">
        <v>149</v>
      </c>
      <c r="E2401" t="s">
        <v>150</v>
      </c>
      <c r="F2401" t="s">
        <v>39</v>
      </c>
      <c r="G2401" t="s">
        <v>54</v>
      </c>
      <c r="H2401" t="s">
        <v>31</v>
      </c>
      <c r="I2401" t="s">
        <v>112</v>
      </c>
      <c r="J2401" t="s">
        <v>176</v>
      </c>
      <c r="K2401">
        <v>10</v>
      </c>
      <c r="L2401" s="2">
        <v>502.12</v>
      </c>
      <c r="M2401" s="3">
        <v>0.1</v>
      </c>
      <c r="N2401" s="2">
        <v>4519.08</v>
      </c>
      <c r="O2401" s="2">
        <v>2828.83</v>
      </c>
      <c r="P2401" s="2">
        <v>1690.25</v>
      </c>
      <c r="Q2401" t="s">
        <v>57</v>
      </c>
    </row>
    <row r="2402" spans="1:17" x14ac:dyDescent="0.2">
      <c r="A2402" t="s">
        <v>2567</v>
      </c>
      <c r="B2402" s="1">
        <v>45952</v>
      </c>
      <c r="C2402" t="s">
        <v>77</v>
      </c>
      <c r="D2402" t="s">
        <v>78</v>
      </c>
      <c r="E2402" t="s">
        <v>261</v>
      </c>
      <c r="F2402" t="s">
        <v>53</v>
      </c>
      <c r="G2402" t="s">
        <v>75</v>
      </c>
      <c r="H2402" t="s">
        <v>31</v>
      </c>
      <c r="I2402" t="s">
        <v>64</v>
      </c>
      <c r="J2402" t="s">
        <v>252</v>
      </c>
      <c r="K2402">
        <v>7</v>
      </c>
      <c r="L2402" s="2">
        <v>45.49</v>
      </c>
      <c r="M2402" s="3">
        <v>0.1</v>
      </c>
      <c r="N2402" s="2">
        <v>286.58999999999997</v>
      </c>
      <c r="O2402" s="2">
        <v>184.42</v>
      </c>
      <c r="P2402" s="2">
        <v>102.17</v>
      </c>
      <c r="Q2402" t="s">
        <v>34</v>
      </c>
    </row>
    <row r="2403" spans="1:17" x14ac:dyDescent="0.2">
      <c r="A2403" t="s">
        <v>2568</v>
      </c>
      <c r="B2403" s="1">
        <v>45952</v>
      </c>
      <c r="C2403" t="s">
        <v>18</v>
      </c>
      <c r="D2403" t="s">
        <v>152</v>
      </c>
      <c r="E2403" t="s">
        <v>166</v>
      </c>
      <c r="F2403" t="s">
        <v>60</v>
      </c>
      <c r="G2403" t="s">
        <v>75</v>
      </c>
      <c r="H2403" t="s">
        <v>47</v>
      </c>
      <c r="I2403" t="s">
        <v>97</v>
      </c>
      <c r="J2403" t="s">
        <v>116</v>
      </c>
      <c r="K2403">
        <v>1</v>
      </c>
      <c r="L2403" s="2">
        <v>440.52</v>
      </c>
      <c r="M2403" s="3">
        <v>0.1</v>
      </c>
      <c r="N2403" s="2">
        <v>396.47</v>
      </c>
      <c r="O2403" s="2">
        <v>276.87</v>
      </c>
      <c r="P2403" s="2">
        <v>119.6</v>
      </c>
      <c r="Q2403" t="s">
        <v>34</v>
      </c>
    </row>
    <row r="2404" spans="1:17" x14ac:dyDescent="0.2">
      <c r="A2404" t="s">
        <v>2569</v>
      </c>
      <c r="B2404" s="1">
        <v>45953</v>
      </c>
      <c r="C2404" t="s">
        <v>18</v>
      </c>
      <c r="D2404" t="s">
        <v>86</v>
      </c>
      <c r="E2404" t="s">
        <v>92</v>
      </c>
      <c r="F2404" t="s">
        <v>71</v>
      </c>
      <c r="G2404" t="s">
        <v>75</v>
      </c>
      <c r="H2404" t="s">
        <v>23</v>
      </c>
      <c r="I2404" t="s">
        <v>24</v>
      </c>
      <c r="J2404" t="s">
        <v>220</v>
      </c>
      <c r="K2404">
        <v>2</v>
      </c>
      <c r="L2404" s="2">
        <v>9.42</v>
      </c>
      <c r="M2404" s="3">
        <v>0.2</v>
      </c>
      <c r="N2404" s="2">
        <v>15.07</v>
      </c>
      <c r="O2404" s="2">
        <v>8.99</v>
      </c>
      <c r="P2404" s="2">
        <v>6.08</v>
      </c>
      <c r="Q2404" t="s">
        <v>61</v>
      </c>
    </row>
    <row r="2405" spans="1:17" x14ac:dyDescent="0.2">
      <c r="A2405" t="s">
        <v>2570</v>
      </c>
      <c r="B2405" s="1">
        <v>45953</v>
      </c>
      <c r="C2405" t="s">
        <v>43</v>
      </c>
      <c r="D2405" t="s">
        <v>161</v>
      </c>
      <c r="E2405" t="s">
        <v>172</v>
      </c>
      <c r="F2405" t="s">
        <v>46</v>
      </c>
      <c r="G2405" t="s">
        <v>22</v>
      </c>
      <c r="H2405" t="s">
        <v>31</v>
      </c>
      <c r="I2405" t="s">
        <v>32</v>
      </c>
      <c r="J2405" t="s">
        <v>33</v>
      </c>
      <c r="K2405">
        <v>1</v>
      </c>
      <c r="L2405" s="2">
        <v>1428.35</v>
      </c>
      <c r="M2405" s="3">
        <v>0.15</v>
      </c>
      <c r="N2405" s="2">
        <v>1214.0999999999999</v>
      </c>
      <c r="O2405" s="2">
        <v>911.88</v>
      </c>
      <c r="P2405" s="2">
        <v>302.22000000000003</v>
      </c>
      <c r="Q2405" t="s">
        <v>61</v>
      </c>
    </row>
    <row r="2406" spans="1:17" x14ac:dyDescent="0.2">
      <c r="A2406" t="s">
        <v>2571</v>
      </c>
      <c r="B2406" s="1">
        <v>45953</v>
      </c>
      <c r="C2406" t="s">
        <v>43</v>
      </c>
      <c r="D2406" t="s">
        <v>161</v>
      </c>
      <c r="E2406" t="s">
        <v>162</v>
      </c>
      <c r="F2406" t="s">
        <v>46</v>
      </c>
      <c r="G2406" t="s">
        <v>22</v>
      </c>
      <c r="H2406" t="s">
        <v>23</v>
      </c>
      <c r="I2406" t="s">
        <v>55</v>
      </c>
      <c r="J2406" t="s">
        <v>56</v>
      </c>
      <c r="K2406">
        <v>7</v>
      </c>
      <c r="L2406" s="2">
        <v>5.68</v>
      </c>
      <c r="M2406" s="3">
        <v>0.05</v>
      </c>
      <c r="N2406" s="2">
        <v>37.770000000000003</v>
      </c>
      <c r="O2406" s="2">
        <v>29.37</v>
      </c>
      <c r="P2406" s="2">
        <v>8.4</v>
      </c>
      <c r="Q2406" t="s">
        <v>26</v>
      </c>
    </row>
    <row r="2407" spans="1:17" x14ac:dyDescent="0.2">
      <c r="A2407" t="s">
        <v>2572</v>
      </c>
      <c r="B2407" s="1">
        <v>45953</v>
      </c>
      <c r="C2407" t="s">
        <v>43</v>
      </c>
      <c r="D2407" t="s">
        <v>44</v>
      </c>
      <c r="E2407" t="s">
        <v>147</v>
      </c>
      <c r="F2407" t="s">
        <v>130</v>
      </c>
      <c r="G2407" t="s">
        <v>75</v>
      </c>
      <c r="H2407" t="s">
        <v>23</v>
      </c>
      <c r="I2407" t="s">
        <v>24</v>
      </c>
      <c r="J2407" t="s">
        <v>25</v>
      </c>
      <c r="K2407">
        <v>6</v>
      </c>
      <c r="L2407" s="2">
        <v>6.97</v>
      </c>
      <c r="M2407" s="3">
        <v>0</v>
      </c>
      <c r="N2407" s="2">
        <v>41.82</v>
      </c>
      <c r="O2407" s="2">
        <v>25.43</v>
      </c>
      <c r="P2407" s="2">
        <v>16.39</v>
      </c>
      <c r="Q2407" t="s">
        <v>34</v>
      </c>
    </row>
    <row r="2408" spans="1:17" x14ac:dyDescent="0.2">
      <c r="A2408" t="s">
        <v>2573</v>
      </c>
      <c r="B2408" s="1">
        <v>45953</v>
      </c>
      <c r="C2408" t="s">
        <v>36</v>
      </c>
      <c r="D2408" t="s">
        <v>144</v>
      </c>
      <c r="E2408" t="s">
        <v>232</v>
      </c>
      <c r="F2408" t="s">
        <v>60</v>
      </c>
      <c r="G2408" t="s">
        <v>54</v>
      </c>
      <c r="H2408" t="s">
        <v>31</v>
      </c>
      <c r="I2408" t="s">
        <v>32</v>
      </c>
      <c r="J2408" t="s">
        <v>104</v>
      </c>
      <c r="K2408">
        <v>8</v>
      </c>
      <c r="L2408" s="2">
        <v>728.32</v>
      </c>
      <c r="M2408" s="3">
        <v>0.15</v>
      </c>
      <c r="N2408" s="2">
        <v>4952.58</v>
      </c>
      <c r="O2408" s="2">
        <v>3907.51</v>
      </c>
      <c r="P2408" s="2">
        <v>1045.07</v>
      </c>
      <c r="Q2408" t="s">
        <v>57</v>
      </c>
    </row>
    <row r="2409" spans="1:17" x14ac:dyDescent="0.2">
      <c r="A2409" t="s">
        <v>2574</v>
      </c>
      <c r="B2409" s="1">
        <v>45953</v>
      </c>
      <c r="C2409" t="s">
        <v>18</v>
      </c>
      <c r="D2409" t="s">
        <v>152</v>
      </c>
      <c r="E2409" t="s">
        <v>153</v>
      </c>
      <c r="F2409" t="s">
        <v>60</v>
      </c>
      <c r="G2409" t="s">
        <v>75</v>
      </c>
      <c r="H2409" t="s">
        <v>31</v>
      </c>
      <c r="I2409" t="s">
        <v>112</v>
      </c>
      <c r="J2409" t="s">
        <v>113</v>
      </c>
      <c r="K2409">
        <v>8</v>
      </c>
      <c r="L2409" s="2">
        <v>456.76</v>
      </c>
      <c r="M2409" s="3">
        <v>0</v>
      </c>
      <c r="N2409" s="2">
        <v>3654.08</v>
      </c>
      <c r="O2409" s="2">
        <v>2027.9</v>
      </c>
      <c r="P2409" s="2">
        <v>1626.18</v>
      </c>
      <c r="Q2409" t="s">
        <v>34</v>
      </c>
    </row>
    <row r="2410" spans="1:17" x14ac:dyDescent="0.2">
      <c r="A2410" t="s">
        <v>2575</v>
      </c>
      <c r="B2410" s="1">
        <v>45953</v>
      </c>
      <c r="C2410" t="s">
        <v>43</v>
      </c>
      <c r="D2410" t="s">
        <v>208</v>
      </c>
      <c r="E2410" t="s">
        <v>209</v>
      </c>
      <c r="F2410" t="s">
        <v>138</v>
      </c>
      <c r="G2410" t="s">
        <v>75</v>
      </c>
      <c r="H2410" t="s">
        <v>31</v>
      </c>
      <c r="I2410" t="s">
        <v>112</v>
      </c>
      <c r="J2410" t="s">
        <v>176</v>
      </c>
      <c r="K2410">
        <v>6</v>
      </c>
      <c r="L2410" s="2">
        <v>645.69000000000005</v>
      </c>
      <c r="M2410" s="3">
        <v>0.05</v>
      </c>
      <c r="N2410" s="2">
        <v>3680.43</v>
      </c>
      <c r="O2410" s="2">
        <v>2828.61</v>
      </c>
      <c r="P2410" s="2">
        <v>851.82</v>
      </c>
      <c r="Q2410" t="s">
        <v>34</v>
      </c>
    </row>
    <row r="2411" spans="1:17" x14ac:dyDescent="0.2">
      <c r="A2411" t="s">
        <v>2576</v>
      </c>
      <c r="B2411" s="1">
        <v>45953</v>
      </c>
      <c r="C2411" t="s">
        <v>43</v>
      </c>
      <c r="D2411" t="s">
        <v>44</v>
      </c>
      <c r="E2411" t="s">
        <v>147</v>
      </c>
      <c r="F2411" t="s">
        <v>60</v>
      </c>
      <c r="G2411" t="s">
        <v>75</v>
      </c>
      <c r="H2411" t="s">
        <v>47</v>
      </c>
      <c r="I2411" t="s">
        <v>48</v>
      </c>
      <c r="J2411" t="s">
        <v>49</v>
      </c>
      <c r="K2411">
        <v>5</v>
      </c>
      <c r="L2411" s="2">
        <v>248.15</v>
      </c>
      <c r="M2411" s="3">
        <v>0.1</v>
      </c>
      <c r="N2411" s="2">
        <v>1116.68</v>
      </c>
      <c r="O2411" s="2">
        <v>707.17</v>
      </c>
      <c r="P2411" s="2">
        <v>409.51</v>
      </c>
      <c r="Q2411" t="s">
        <v>57</v>
      </c>
    </row>
    <row r="2412" spans="1:17" x14ac:dyDescent="0.2">
      <c r="A2412" t="s">
        <v>2577</v>
      </c>
      <c r="B2412" s="1">
        <v>45953</v>
      </c>
      <c r="C2412" t="s">
        <v>77</v>
      </c>
      <c r="D2412" t="s">
        <v>149</v>
      </c>
      <c r="E2412" t="s">
        <v>206</v>
      </c>
      <c r="F2412" t="s">
        <v>138</v>
      </c>
      <c r="G2412" t="s">
        <v>75</v>
      </c>
      <c r="H2412" t="s">
        <v>23</v>
      </c>
      <c r="I2412" t="s">
        <v>24</v>
      </c>
      <c r="J2412" t="s">
        <v>108</v>
      </c>
      <c r="K2412">
        <v>7</v>
      </c>
      <c r="L2412" s="2">
        <v>15.5</v>
      </c>
      <c r="M2412" s="3">
        <v>0.2</v>
      </c>
      <c r="N2412" s="2">
        <v>86.8</v>
      </c>
      <c r="O2412" s="2">
        <v>52.84</v>
      </c>
      <c r="P2412" s="2">
        <v>33.96</v>
      </c>
      <c r="Q2412" t="s">
        <v>34</v>
      </c>
    </row>
    <row r="2413" spans="1:17" x14ac:dyDescent="0.2">
      <c r="A2413" t="s">
        <v>2578</v>
      </c>
      <c r="B2413" s="1">
        <v>45953</v>
      </c>
      <c r="C2413" t="s">
        <v>77</v>
      </c>
      <c r="D2413" t="s">
        <v>95</v>
      </c>
      <c r="E2413" t="s">
        <v>367</v>
      </c>
      <c r="F2413" t="s">
        <v>53</v>
      </c>
      <c r="G2413" t="s">
        <v>22</v>
      </c>
      <c r="H2413" t="s">
        <v>31</v>
      </c>
      <c r="I2413" t="s">
        <v>32</v>
      </c>
      <c r="J2413" t="s">
        <v>33</v>
      </c>
      <c r="K2413">
        <v>1</v>
      </c>
      <c r="L2413" s="2">
        <v>1581.24</v>
      </c>
      <c r="M2413" s="3">
        <v>0.05</v>
      </c>
      <c r="N2413" s="2">
        <v>1502.18</v>
      </c>
      <c r="O2413" s="2">
        <v>1038.3800000000001</v>
      </c>
      <c r="P2413" s="2">
        <v>463.8</v>
      </c>
      <c r="Q2413" t="s">
        <v>34</v>
      </c>
    </row>
    <row r="2414" spans="1:17" x14ac:dyDescent="0.2">
      <c r="A2414" t="s">
        <v>2579</v>
      </c>
      <c r="B2414" s="1">
        <v>45954</v>
      </c>
      <c r="C2414" t="s">
        <v>43</v>
      </c>
      <c r="D2414" t="s">
        <v>44</v>
      </c>
      <c r="E2414" t="s">
        <v>82</v>
      </c>
      <c r="F2414" t="s">
        <v>46</v>
      </c>
      <c r="G2414" t="s">
        <v>54</v>
      </c>
      <c r="H2414" t="s">
        <v>47</v>
      </c>
      <c r="I2414" t="s">
        <v>89</v>
      </c>
      <c r="J2414" t="s">
        <v>90</v>
      </c>
      <c r="K2414">
        <v>5</v>
      </c>
      <c r="L2414" s="2">
        <v>288.25</v>
      </c>
      <c r="M2414" s="3">
        <v>0.15</v>
      </c>
      <c r="N2414" s="2">
        <v>1225.06</v>
      </c>
      <c r="O2414" s="2">
        <v>878.54</v>
      </c>
      <c r="P2414" s="2">
        <v>346.52</v>
      </c>
      <c r="Q2414" t="s">
        <v>34</v>
      </c>
    </row>
    <row r="2415" spans="1:17" x14ac:dyDescent="0.2">
      <c r="A2415" t="s">
        <v>2580</v>
      </c>
      <c r="B2415" s="1">
        <v>45954</v>
      </c>
      <c r="C2415" t="s">
        <v>18</v>
      </c>
      <c r="D2415" t="s">
        <v>133</v>
      </c>
      <c r="E2415" t="s">
        <v>226</v>
      </c>
      <c r="F2415" t="s">
        <v>71</v>
      </c>
      <c r="G2415" t="s">
        <v>75</v>
      </c>
      <c r="H2415" t="s">
        <v>31</v>
      </c>
      <c r="I2415" t="s">
        <v>40</v>
      </c>
      <c r="J2415" t="s">
        <v>216</v>
      </c>
      <c r="K2415">
        <v>7</v>
      </c>
      <c r="L2415" s="2">
        <v>98.32</v>
      </c>
      <c r="M2415" s="3">
        <v>0.1</v>
      </c>
      <c r="N2415" s="2">
        <v>619.41999999999996</v>
      </c>
      <c r="O2415" s="2">
        <v>452.25</v>
      </c>
      <c r="P2415" s="2">
        <v>167.17</v>
      </c>
      <c r="Q2415" t="s">
        <v>57</v>
      </c>
    </row>
    <row r="2416" spans="1:17" x14ac:dyDescent="0.2">
      <c r="A2416" t="s">
        <v>2581</v>
      </c>
      <c r="B2416" s="1">
        <v>45954</v>
      </c>
      <c r="C2416" t="s">
        <v>36</v>
      </c>
      <c r="D2416" t="s">
        <v>67</v>
      </c>
      <c r="E2416" t="s">
        <v>68</v>
      </c>
      <c r="F2416" t="s">
        <v>60</v>
      </c>
      <c r="G2416" t="s">
        <v>22</v>
      </c>
      <c r="H2416" t="s">
        <v>31</v>
      </c>
      <c r="I2416" t="s">
        <v>40</v>
      </c>
      <c r="J2416" t="s">
        <v>41</v>
      </c>
      <c r="K2416">
        <v>6</v>
      </c>
      <c r="L2416" s="2">
        <v>148.41999999999999</v>
      </c>
      <c r="M2416" s="3">
        <v>0.05</v>
      </c>
      <c r="N2416" s="2">
        <v>845.99</v>
      </c>
      <c r="O2416" s="2">
        <v>569.71</v>
      </c>
      <c r="P2416" s="2">
        <v>276.27999999999997</v>
      </c>
      <c r="Q2416" t="s">
        <v>61</v>
      </c>
    </row>
    <row r="2417" spans="1:17" x14ac:dyDescent="0.2">
      <c r="A2417" t="s">
        <v>2582</v>
      </c>
      <c r="B2417" s="1">
        <v>45954</v>
      </c>
      <c r="C2417" t="s">
        <v>43</v>
      </c>
      <c r="D2417" t="s">
        <v>161</v>
      </c>
      <c r="E2417" t="s">
        <v>172</v>
      </c>
      <c r="F2417" t="s">
        <v>138</v>
      </c>
      <c r="G2417" t="s">
        <v>75</v>
      </c>
      <c r="H2417" t="s">
        <v>23</v>
      </c>
      <c r="I2417" t="s">
        <v>55</v>
      </c>
      <c r="J2417" t="s">
        <v>173</v>
      </c>
      <c r="K2417">
        <v>3</v>
      </c>
      <c r="L2417" s="2">
        <v>14.05</v>
      </c>
      <c r="M2417" s="3">
        <v>0.05</v>
      </c>
      <c r="N2417" s="2">
        <v>40.04</v>
      </c>
      <c r="O2417" s="2">
        <v>25.35</v>
      </c>
      <c r="P2417" s="2">
        <v>14.69</v>
      </c>
      <c r="Q2417" t="s">
        <v>34</v>
      </c>
    </row>
    <row r="2418" spans="1:17" x14ac:dyDescent="0.2">
      <c r="A2418" t="s">
        <v>2583</v>
      </c>
      <c r="B2418" s="1">
        <v>45954</v>
      </c>
      <c r="C2418" t="s">
        <v>36</v>
      </c>
      <c r="D2418" t="s">
        <v>73</v>
      </c>
      <c r="E2418" t="s">
        <v>247</v>
      </c>
      <c r="F2418" t="s">
        <v>60</v>
      </c>
      <c r="G2418" t="s">
        <v>54</v>
      </c>
      <c r="H2418" t="s">
        <v>47</v>
      </c>
      <c r="I2418" t="s">
        <v>97</v>
      </c>
      <c r="J2418" t="s">
        <v>116</v>
      </c>
      <c r="K2418">
        <v>2</v>
      </c>
      <c r="L2418" s="2">
        <v>680.46</v>
      </c>
      <c r="M2418" s="3">
        <v>0.05</v>
      </c>
      <c r="N2418" s="2">
        <v>1292.8699999999999</v>
      </c>
      <c r="O2418" s="2">
        <v>870.12</v>
      </c>
      <c r="P2418" s="2">
        <v>422.75</v>
      </c>
      <c r="Q2418" t="s">
        <v>26</v>
      </c>
    </row>
    <row r="2419" spans="1:17" x14ac:dyDescent="0.2">
      <c r="A2419" t="s">
        <v>2584</v>
      </c>
      <c r="B2419" s="1">
        <v>45954</v>
      </c>
      <c r="C2419" t="s">
        <v>77</v>
      </c>
      <c r="D2419" t="s">
        <v>106</v>
      </c>
      <c r="E2419" t="s">
        <v>107</v>
      </c>
      <c r="F2419" t="s">
        <v>30</v>
      </c>
      <c r="G2419" t="s">
        <v>22</v>
      </c>
      <c r="H2419" t="s">
        <v>23</v>
      </c>
      <c r="I2419" t="s">
        <v>79</v>
      </c>
      <c r="J2419" t="s">
        <v>80</v>
      </c>
      <c r="K2419">
        <v>3</v>
      </c>
      <c r="L2419" s="2">
        <v>178.65</v>
      </c>
      <c r="M2419" s="3">
        <v>0.15</v>
      </c>
      <c r="N2419" s="2">
        <v>455.56</v>
      </c>
      <c r="O2419" s="2">
        <v>264</v>
      </c>
      <c r="P2419" s="2">
        <v>191.56</v>
      </c>
      <c r="Q2419" t="s">
        <v>61</v>
      </c>
    </row>
    <row r="2420" spans="1:17" x14ac:dyDescent="0.2">
      <c r="A2420" t="s">
        <v>2585</v>
      </c>
      <c r="B2420" s="1">
        <v>45954</v>
      </c>
      <c r="C2420" t="s">
        <v>43</v>
      </c>
      <c r="D2420" t="s">
        <v>244</v>
      </c>
      <c r="E2420" t="s">
        <v>326</v>
      </c>
      <c r="F2420" t="s">
        <v>130</v>
      </c>
      <c r="G2420" t="s">
        <v>54</v>
      </c>
      <c r="H2420" t="s">
        <v>31</v>
      </c>
      <c r="I2420" t="s">
        <v>40</v>
      </c>
      <c r="J2420" t="s">
        <v>122</v>
      </c>
      <c r="K2420">
        <v>9</v>
      </c>
      <c r="L2420" s="2">
        <v>173.68</v>
      </c>
      <c r="M2420" s="3">
        <v>0.05</v>
      </c>
      <c r="N2420" s="2">
        <v>1484.96</v>
      </c>
      <c r="O2420" s="2">
        <v>1119.73</v>
      </c>
      <c r="P2420" s="2">
        <v>365.23</v>
      </c>
      <c r="Q2420" t="s">
        <v>34</v>
      </c>
    </row>
    <row r="2421" spans="1:17" x14ac:dyDescent="0.2">
      <c r="A2421" t="s">
        <v>2586</v>
      </c>
      <c r="B2421" s="1">
        <v>45954</v>
      </c>
      <c r="C2421" t="s">
        <v>18</v>
      </c>
      <c r="D2421" t="s">
        <v>28</v>
      </c>
      <c r="E2421" t="s">
        <v>170</v>
      </c>
      <c r="F2421" t="s">
        <v>138</v>
      </c>
      <c r="G2421" t="s">
        <v>75</v>
      </c>
      <c r="H2421" t="s">
        <v>23</v>
      </c>
      <c r="I2421" t="s">
        <v>55</v>
      </c>
      <c r="J2421" t="s">
        <v>56</v>
      </c>
      <c r="K2421">
        <v>4</v>
      </c>
      <c r="L2421" s="2">
        <v>5.4</v>
      </c>
      <c r="M2421" s="3">
        <v>0.1</v>
      </c>
      <c r="N2421" s="2">
        <v>19.440000000000001</v>
      </c>
      <c r="O2421" s="2">
        <v>11.37</v>
      </c>
      <c r="P2421" s="2">
        <v>8.07</v>
      </c>
      <c r="Q2421" t="s">
        <v>61</v>
      </c>
    </row>
    <row r="2422" spans="1:17" x14ac:dyDescent="0.2">
      <c r="A2422" t="s">
        <v>2587</v>
      </c>
      <c r="B2422" s="1">
        <v>45954</v>
      </c>
      <c r="C2422" t="s">
        <v>18</v>
      </c>
      <c r="D2422" t="s">
        <v>28</v>
      </c>
      <c r="E2422" t="s">
        <v>157</v>
      </c>
      <c r="F2422" t="s">
        <v>30</v>
      </c>
      <c r="G2422" t="s">
        <v>22</v>
      </c>
      <c r="H2422" t="s">
        <v>23</v>
      </c>
      <c r="I2422" t="s">
        <v>55</v>
      </c>
      <c r="J2422" t="s">
        <v>173</v>
      </c>
      <c r="K2422">
        <v>10</v>
      </c>
      <c r="L2422" s="2">
        <v>20.36</v>
      </c>
      <c r="M2422" s="3">
        <v>0.1</v>
      </c>
      <c r="N2422" s="2">
        <v>183.24</v>
      </c>
      <c r="O2422" s="2">
        <v>109.93</v>
      </c>
      <c r="P2422" s="2">
        <v>73.31</v>
      </c>
      <c r="Q2422" t="s">
        <v>61</v>
      </c>
    </row>
    <row r="2423" spans="1:17" x14ac:dyDescent="0.2">
      <c r="A2423" t="s">
        <v>2588</v>
      </c>
      <c r="B2423" s="1">
        <v>45955</v>
      </c>
      <c r="C2423" t="s">
        <v>43</v>
      </c>
      <c r="D2423" t="s">
        <v>161</v>
      </c>
      <c r="E2423" t="s">
        <v>418</v>
      </c>
      <c r="F2423" t="s">
        <v>130</v>
      </c>
      <c r="G2423" t="s">
        <v>22</v>
      </c>
      <c r="H2423" t="s">
        <v>23</v>
      </c>
      <c r="I2423" t="s">
        <v>24</v>
      </c>
      <c r="J2423" t="s">
        <v>25</v>
      </c>
      <c r="K2423">
        <v>6</v>
      </c>
      <c r="L2423" s="2">
        <v>24.65</v>
      </c>
      <c r="M2423" s="3">
        <v>0.1</v>
      </c>
      <c r="N2423" s="2">
        <v>133.11000000000001</v>
      </c>
      <c r="O2423" s="2">
        <v>91.88</v>
      </c>
      <c r="P2423" s="2">
        <v>41.23</v>
      </c>
      <c r="Q2423" t="s">
        <v>57</v>
      </c>
    </row>
    <row r="2424" spans="1:17" x14ac:dyDescent="0.2">
      <c r="A2424" t="s">
        <v>2589</v>
      </c>
      <c r="B2424" s="1">
        <v>45955</v>
      </c>
      <c r="C2424" t="s">
        <v>18</v>
      </c>
      <c r="D2424" t="s">
        <v>133</v>
      </c>
      <c r="E2424" t="s">
        <v>197</v>
      </c>
      <c r="F2424" t="s">
        <v>39</v>
      </c>
      <c r="G2424" t="s">
        <v>22</v>
      </c>
      <c r="H2424" t="s">
        <v>47</v>
      </c>
      <c r="I2424" t="s">
        <v>89</v>
      </c>
      <c r="J2424" t="s">
        <v>90</v>
      </c>
      <c r="K2424">
        <v>3</v>
      </c>
      <c r="L2424" s="2">
        <v>354.82</v>
      </c>
      <c r="M2424" s="3">
        <v>0</v>
      </c>
      <c r="N2424" s="2">
        <v>1064.46</v>
      </c>
      <c r="O2424" s="2">
        <v>745.6</v>
      </c>
      <c r="P2424" s="2">
        <v>318.86</v>
      </c>
      <c r="Q2424" t="s">
        <v>57</v>
      </c>
    </row>
    <row r="2425" spans="1:17" x14ac:dyDescent="0.2">
      <c r="A2425" t="s">
        <v>2590</v>
      </c>
      <c r="B2425" s="1">
        <v>45955</v>
      </c>
      <c r="C2425" t="s">
        <v>43</v>
      </c>
      <c r="D2425" t="s">
        <v>208</v>
      </c>
      <c r="E2425" t="s">
        <v>230</v>
      </c>
      <c r="F2425" t="s">
        <v>21</v>
      </c>
      <c r="G2425" t="s">
        <v>75</v>
      </c>
      <c r="H2425" t="s">
        <v>23</v>
      </c>
      <c r="I2425" t="s">
        <v>24</v>
      </c>
      <c r="J2425" t="s">
        <v>220</v>
      </c>
      <c r="K2425">
        <v>4</v>
      </c>
      <c r="L2425" s="2">
        <v>20.83</v>
      </c>
      <c r="M2425" s="3">
        <v>0.2</v>
      </c>
      <c r="N2425" s="2">
        <v>66.66</v>
      </c>
      <c r="O2425" s="2">
        <v>52.96</v>
      </c>
      <c r="P2425" s="2">
        <v>13.7</v>
      </c>
      <c r="Q2425" t="s">
        <v>26</v>
      </c>
    </row>
    <row r="2426" spans="1:17" x14ac:dyDescent="0.2">
      <c r="A2426" t="s">
        <v>2591</v>
      </c>
      <c r="B2426" s="1">
        <v>45955</v>
      </c>
      <c r="C2426" t="s">
        <v>18</v>
      </c>
      <c r="D2426" t="s">
        <v>86</v>
      </c>
      <c r="E2426" t="s">
        <v>140</v>
      </c>
      <c r="F2426" t="s">
        <v>138</v>
      </c>
      <c r="G2426" t="s">
        <v>75</v>
      </c>
      <c r="H2426" t="s">
        <v>23</v>
      </c>
      <c r="I2426" t="s">
        <v>24</v>
      </c>
      <c r="J2426" t="s">
        <v>25</v>
      </c>
      <c r="K2426">
        <v>3</v>
      </c>
      <c r="L2426" s="2">
        <v>10.54</v>
      </c>
      <c r="M2426" s="3">
        <v>0.05</v>
      </c>
      <c r="N2426" s="2">
        <v>30.04</v>
      </c>
      <c r="O2426" s="2">
        <v>22.4</v>
      </c>
      <c r="P2426" s="2">
        <v>7.64</v>
      </c>
      <c r="Q2426" t="s">
        <v>34</v>
      </c>
    </row>
    <row r="2427" spans="1:17" x14ac:dyDescent="0.2">
      <c r="A2427" t="s">
        <v>2592</v>
      </c>
      <c r="B2427" s="1">
        <v>45955</v>
      </c>
      <c r="C2427" t="s">
        <v>36</v>
      </c>
      <c r="D2427" t="s">
        <v>144</v>
      </c>
      <c r="E2427" t="s">
        <v>145</v>
      </c>
      <c r="F2427" t="s">
        <v>46</v>
      </c>
      <c r="G2427" t="s">
        <v>22</v>
      </c>
      <c r="H2427" t="s">
        <v>31</v>
      </c>
      <c r="I2427" t="s">
        <v>32</v>
      </c>
      <c r="J2427" t="s">
        <v>258</v>
      </c>
      <c r="K2427">
        <v>8</v>
      </c>
      <c r="L2427" s="2">
        <v>1275.8800000000001</v>
      </c>
      <c r="M2427" s="3">
        <v>0.05</v>
      </c>
      <c r="N2427" s="2">
        <v>9696.69</v>
      </c>
      <c r="O2427" s="2">
        <v>6798.65</v>
      </c>
      <c r="P2427" s="2">
        <v>2898.04</v>
      </c>
      <c r="Q2427" t="s">
        <v>26</v>
      </c>
    </row>
    <row r="2428" spans="1:17" x14ac:dyDescent="0.2">
      <c r="A2428" t="s">
        <v>2593</v>
      </c>
      <c r="B2428" s="1">
        <v>45955</v>
      </c>
      <c r="C2428" t="s">
        <v>18</v>
      </c>
      <c r="D2428" t="s">
        <v>133</v>
      </c>
      <c r="E2428" t="s">
        <v>226</v>
      </c>
      <c r="F2428" t="s">
        <v>39</v>
      </c>
      <c r="G2428" t="s">
        <v>75</v>
      </c>
      <c r="H2428" t="s">
        <v>23</v>
      </c>
      <c r="I2428" t="s">
        <v>24</v>
      </c>
      <c r="J2428" t="s">
        <v>220</v>
      </c>
      <c r="K2428">
        <v>7</v>
      </c>
      <c r="L2428" s="2">
        <v>10.97</v>
      </c>
      <c r="M2428" s="3">
        <v>0.05</v>
      </c>
      <c r="N2428" s="2">
        <v>72.95</v>
      </c>
      <c r="O2428" s="2">
        <v>59.06</v>
      </c>
      <c r="P2428" s="2">
        <v>13.89</v>
      </c>
      <c r="Q2428" t="s">
        <v>34</v>
      </c>
    </row>
    <row r="2429" spans="1:17" x14ac:dyDescent="0.2">
      <c r="A2429" t="s">
        <v>2594</v>
      </c>
      <c r="B2429" s="1">
        <v>45955</v>
      </c>
      <c r="C2429" t="s">
        <v>43</v>
      </c>
      <c r="D2429" t="s">
        <v>244</v>
      </c>
      <c r="E2429" t="s">
        <v>300</v>
      </c>
      <c r="F2429" t="s">
        <v>21</v>
      </c>
      <c r="G2429" t="s">
        <v>54</v>
      </c>
      <c r="H2429" t="s">
        <v>23</v>
      </c>
      <c r="I2429" t="s">
        <v>24</v>
      </c>
      <c r="J2429" t="s">
        <v>220</v>
      </c>
      <c r="K2429">
        <v>3</v>
      </c>
      <c r="L2429" s="2">
        <v>26.19</v>
      </c>
      <c r="M2429" s="3">
        <v>0</v>
      </c>
      <c r="N2429" s="2">
        <v>78.569999999999993</v>
      </c>
      <c r="O2429" s="2">
        <v>51.48</v>
      </c>
      <c r="P2429" s="2">
        <v>27.09</v>
      </c>
      <c r="Q2429" t="s">
        <v>57</v>
      </c>
    </row>
    <row r="2430" spans="1:17" x14ac:dyDescent="0.2">
      <c r="A2430" t="s">
        <v>2595</v>
      </c>
      <c r="B2430" s="1">
        <v>45955</v>
      </c>
      <c r="C2430" t="s">
        <v>36</v>
      </c>
      <c r="D2430" t="s">
        <v>67</v>
      </c>
      <c r="E2430" t="s">
        <v>270</v>
      </c>
      <c r="F2430" t="s">
        <v>39</v>
      </c>
      <c r="G2430" t="s">
        <v>54</v>
      </c>
      <c r="H2430" t="s">
        <v>31</v>
      </c>
      <c r="I2430" t="s">
        <v>64</v>
      </c>
      <c r="J2430" t="s">
        <v>252</v>
      </c>
      <c r="K2430">
        <v>5</v>
      </c>
      <c r="L2430" s="2">
        <v>96.6</v>
      </c>
      <c r="M2430" s="3">
        <v>0.15</v>
      </c>
      <c r="N2430" s="2">
        <v>410.55</v>
      </c>
      <c r="O2430" s="2">
        <v>283.05</v>
      </c>
      <c r="P2430" s="2">
        <v>127.5</v>
      </c>
      <c r="Q2430" t="s">
        <v>34</v>
      </c>
    </row>
    <row r="2431" spans="1:17" x14ac:dyDescent="0.2">
      <c r="A2431" t="s">
        <v>2596</v>
      </c>
      <c r="B2431" s="1">
        <v>45955</v>
      </c>
      <c r="C2431" t="s">
        <v>77</v>
      </c>
      <c r="D2431" t="s">
        <v>149</v>
      </c>
      <c r="E2431" t="s">
        <v>150</v>
      </c>
      <c r="F2431" t="s">
        <v>39</v>
      </c>
      <c r="G2431" t="s">
        <v>75</v>
      </c>
      <c r="H2431" t="s">
        <v>23</v>
      </c>
      <c r="I2431" t="s">
        <v>83</v>
      </c>
      <c r="J2431" t="s">
        <v>131</v>
      </c>
      <c r="K2431">
        <v>10</v>
      </c>
      <c r="L2431" s="2">
        <v>14.36</v>
      </c>
      <c r="M2431" s="3">
        <v>0.05</v>
      </c>
      <c r="N2431" s="2">
        <v>136.41999999999999</v>
      </c>
      <c r="O2431" s="2">
        <v>104.54</v>
      </c>
      <c r="P2431" s="2">
        <v>31.88</v>
      </c>
      <c r="Q2431" t="s">
        <v>57</v>
      </c>
    </row>
    <row r="2432" spans="1:17" x14ac:dyDescent="0.2">
      <c r="A2432" t="s">
        <v>2597</v>
      </c>
      <c r="B2432" s="1">
        <v>45956</v>
      </c>
      <c r="C2432" t="s">
        <v>77</v>
      </c>
      <c r="D2432" t="s">
        <v>95</v>
      </c>
      <c r="E2432" t="s">
        <v>367</v>
      </c>
      <c r="F2432" t="s">
        <v>21</v>
      </c>
      <c r="G2432" t="s">
        <v>22</v>
      </c>
      <c r="H2432" t="s">
        <v>23</v>
      </c>
      <c r="I2432" t="s">
        <v>55</v>
      </c>
      <c r="J2432" t="s">
        <v>173</v>
      </c>
      <c r="K2432">
        <v>7</v>
      </c>
      <c r="L2432" s="2">
        <v>6.11</v>
      </c>
      <c r="M2432" s="3">
        <v>0.05</v>
      </c>
      <c r="N2432" s="2">
        <v>40.630000000000003</v>
      </c>
      <c r="O2432" s="2">
        <v>25.76</v>
      </c>
      <c r="P2432" s="2">
        <v>14.87</v>
      </c>
      <c r="Q2432" t="s">
        <v>26</v>
      </c>
    </row>
    <row r="2433" spans="1:17" x14ac:dyDescent="0.2">
      <c r="A2433" t="s">
        <v>2598</v>
      </c>
      <c r="B2433" s="1">
        <v>45956</v>
      </c>
      <c r="C2433" t="s">
        <v>43</v>
      </c>
      <c r="D2433" t="s">
        <v>208</v>
      </c>
      <c r="E2433" t="s">
        <v>230</v>
      </c>
      <c r="F2433" t="s">
        <v>30</v>
      </c>
      <c r="G2433" t="s">
        <v>22</v>
      </c>
      <c r="H2433" t="s">
        <v>31</v>
      </c>
      <c r="I2433" t="s">
        <v>112</v>
      </c>
      <c r="J2433" t="s">
        <v>113</v>
      </c>
      <c r="K2433">
        <v>3</v>
      </c>
      <c r="L2433" s="2">
        <v>200.25</v>
      </c>
      <c r="M2433" s="3">
        <v>0</v>
      </c>
      <c r="N2433" s="2">
        <v>600.75</v>
      </c>
      <c r="O2433" s="2">
        <v>387.07</v>
      </c>
      <c r="P2433" s="2">
        <v>213.68</v>
      </c>
      <c r="Q2433" t="s">
        <v>57</v>
      </c>
    </row>
    <row r="2434" spans="1:17" x14ac:dyDescent="0.2">
      <c r="A2434" t="s">
        <v>2599</v>
      </c>
      <c r="B2434" s="1">
        <v>45956</v>
      </c>
      <c r="C2434" t="s">
        <v>77</v>
      </c>
      <c r="D2434" t="s">
        <v>106</v>
      </c>
      <c r="E2434" t="s">
        <v>107</v>
      </c>
      <c r="F2434" t="s">
        <v>21</v>
      </c>
      <c r="G2434" t="s">
        <v>22</v>
      </c>
      <c r="H2434" t="s">
        <v>31</v>
      </c>
      <c r="I2434" t="s">
        <v>40</v>
      </c>
      <c r="J2434" t="s">
        <v>216</v>
      </c>
      <c r="K2434">
        <v>4</v>
      </c>
      <c r="L2434" s="2">
        <v>167.43</v>
      </c>
      <c r="M2434" s="3">
        <v>0.1</v>
      </c>
      <c r="N2434" s="2">
        <v>602.75</v>
      </c>
      <c r="O2434" s="2">
        <v>388.36</v>
      </c>
      <c r="P2434" s="2">
        <v>214.39</v>
      </c>
      <c r="Q2434" t="s">
        <v>26</v>
      </c>
    </row>
    <row r="2435" spans="1:17" x14ac:dyDescent="0.2">
      <c r="A2435" t="s">
        <v>2600</v>
      </c>
      <c r="B2435" s="1">
        <v>45956</v>
      </c>
      <c r="C2435" t="s">
        <v>43</v>
      </c>
      <c r="D2435" t="s">
        <v>161</v>
      </c>
      <c r="E2435" t="s">
        <v>172</v>
      </c>
      <c r="F2435" t="s">
        <v>60</v>
      </c>
      <c r="G2435" t="s">
        <v>22</v>
      </c>
      <c r="H2435" t="s">
        <v>23</v>
      </c>
      <c r="I2435" t="s">
        <v>24</v>
      </c>
      <c r="J2435" t="s">
        <v>108</v>
      </c>
      <c r="K2435">
        <v>7</v>
      </c>
      <c r="L2435" s="2">
        <v>18.5</v>
      </c>
      <c r="M2435" s="3">
        <v>0.1</v>
      </c>
      <c r="N2435" s="2">
        <v>116.55</v>
      </c>
      <c r="O2435" s="2">
        <v>80.75</v>
      </c>
      <c r="P2435" s="2">
        <v>35.799999999999997</v>
      </c>
      <c r="Q2435" t="s">
        <v>57</v>
      </c>
    </row>
    <row r="2436" spans="1:17" x14ac:dyDescent="0.2">
      <c r="A2436" t="s">
        <v>2601</v>
      </c>
      <c r="B2436" s="1">
        <v>45956</v>
      </c>
      <c r="C2436" t="s">
        <v>18</v>
      </c>
      <c r="D2436" t="s">
        <v>152</v>
      </c>
      <c r="E2436" t="s">
        <v>166</v>
      </c>
      <c r="F2436" t="s">
        <v>60</v>
      </c>
      <c r="G2436" t="s">
        <v>54</v>
      </c>
      <c r="H2436" t="s">
        <v>23</v>
      </c>
      <c r="I2436" t="s">
        <v>83</v>
      </c>
      <c r="J2436" t="s">
        <v>84</v>
      </c>
      <c r="K2436">
        <v>10</v>
      </c>
      <c r="L2436" s="2">
        <v>14.36</v>
      </c>
      <c r="M2436" s="3">
        <v>0.15</v>
      </c>
      <c r="N2436" s="2">
        <v>122.06</v>
      </c>
      <c r="O2436" s="2">
        <v>94.04</v>
      </c>
      <c r="P2436" s="2">
        <v>28.02</v>
      </c>
      <c r="Q2436" t="s">
        <v>57</v>
      </c>
    </row>
    <row r="2437" spans="1:17" x14ac:dyDescent="0.2">
      <c r="A2437" t="s">
        <v>2602</v>
      </c>
      <c r="B2437" s="1">
        <v>45956</v>
      </c>
      <c r="C2437" t="s">
        <v>18</v>
      </c>
      <c r="D2437" t="s">
        <v>28</v>
      </c>
      <c r="E2437" t="s">
        <v>29</v>
      </c>
      <c r="F2437" t="s">
        <v>130</v>
      </c>
      <c r="G2437" t="s">
        <v>22</v>
      </c>
      <c r="H2437" t="s">
        <v>23</v>
      </c>
      <c r="I2437" t="s">
        <v>55</v>
      </c>
      <c r="J2437" t="s">
        <v>173</v>
      </c>
      <c r="K2437">
        <v>7</v>
      </c>
      <c r="L2437" s="2">
        <v>18.02</v>
      </c>
      <c r="M2437" s="3">
        <v>0</v>
      </c>
      <c r="N2437" s="2">
        <v>126.14</v>
      </c>
      <c r="O2437" s="2">
        <v>99.66</v>
      </c>
      <c r="P2437" s="2">
        <v>26.48</v>
      </c>
      <c r="Q2437" t="s">
        <v>26</v>
      </c>
    </row>
    <row r="2438" spans="1:17" x14ac:dyDescent="0.2">
      <c r="A2438" t="s">
        <v>2603</v>
      </c>
      <c r="B2438" s="1">
        <v>45956</v>
      </c>
      <c r="C2438" t="s">
        <v>77</v>
      </c>
      <c r="D2438" t="s">
        <v>78</v>
      </c>
      <c r="E2438" t="s">
        <v>261</v>
      </c>
      <c r="F2438" t="s">
        <v>71</v>
      </c>
      <c r="G2438" t="s">
        <v>22</v>
      </c>
      <c r="H2438" t="s">
        <v>47</v>
      </c>
      <c r="I2438" t="s">
        <v>89</v>
      </c>
      <c r="J2438" t="s">
        <v>90</v>
      </c>
      <c r="K2438">
        <v>7</v>
      </c>
      <c r="L2438" s="2">
        <v>448.64</v>
      </c>
      <c r="M2438" s="3">
        <v>0</v>
      </c>
      <c r="N2438" s="2">
        <v>3140.48</v>
      </c>
      <c r="O2438" s="2">
        <v>2008.62</v>
      </c>
      <c r="P2438" s="2">
        <v>1131.8599999999999</v>
      </c>
      <c r="Q2438" t="s">
        <v>34</v>
      </c>
    </row>
    <row r="2439" spans="1:17" x14ac:dyDescent="0.2">
      <c r="A2439" t="s">
        <v>2604</v>
      </c>
      <c r="B2439" s="1">
        <v>45957</v>
      </c>
      <c r="C2439" t="s">
        <v>36</v>
      </c>
      <c r="D2439" t="s">
        <v>73</v>
      </c>
      <c r="E2439" t="s">
        <v>74</v>
      </c>
      <c r="F2439" t="s">
        <v>60</v>
      </c>
      <c r="G2439" t="s">
        <v>75</v>
      </c>
      <c r="H2439" t="s">
        <v>23</v>
      </c>
      <c r="I2439" t="s">
        <v>24</v>
      </c>
      <c r="J2439" t="s">
        <v>108</v>
      </c>
      <c r="K2439">
        <v>9</v>
      </c>
      <c r="L2439" s="2">
        <v>29.37</v>
      </c>
      <c r="M2439" s="3">
        <v>0.15</v>
      </c>
      <c r="N2439" s="2">
        <v>224.68</v>
      </c>
      <c r="O2439" s="2">
        <v>139.91999999999999</v>
      </c>
      <c r="P2439" s="2">
        <v>84.76</v>
      </c>
      <c r="Q2439" t="s">
        <v>61</v>
      </c>
    </row>
    <row r="2440" spans="1:17" x14ac:dyDescent="0.2">
      <c r="A2440" t="s">
        <v>2605</v>
      </c>
      <c r="B2440" s="1">
        <v>45957</v>
      </c>
      <c r="C2440" t="s">
        <v>77</v>
      </c>
      <c r="D2440" t="s">
        <v>128</v>
      </c>
      <c r="E2440" t="s">
        <v>159</v>
      </c>
      <c r="F2440" t="s">
        <v>69</v>
      </c>
      <c r="G2440" t="s">
        <v>75</v>
      </c>
      <c r="H2440" t="s">
        <v>31</v>
      </c>
      <c r="I2440" t="s">
        <v>64</v>
      </c>
      <c r="J2440" t="s">
        <v>126</v>
      </c>
      <c r="K2440">
        <v>7</v>
      </c>
      <c r="L2440" s="2">
        <v>143.01</v>
      </c>
      <c r="M2440" s="3">
        <v>0.15</v>
      </c>
      <c r="N2440" s="2">
        <v>850.91</v>
      </c>
      <c r="O2440" s="2">
        <v>595.41999999999996</v>
      </c>
      <c r="P2440" s="2">
        <v>255.49</v>
      </c>
      <c r="Q2440" t="s">
        <v>57</v>
      </c>
    </row>
    <row r="2441" spans="1:17" x14ac:dyDescent="0.2">
      <c r="A2441" t="s">
        <v>2606</v>
      </c>
      <c r="B2441" s="1">
        <v>45957</v>
      </c>
      <c r="C2441" t="s">
        <v>43</v>
      </c>
      <c r="D2441" t="s">
        <v>244</v>
      </c>
      <c r="E2441" t="s">
        <v>326</v>
      </c>
      <c r="F2441" t="s">
        <v>30</v>
      </c>
      <c r="G2441" t="s">
        <v>75</v>
      </c>
      <c r="H2441" t="s">
        <v>23</v>
      </c>
      <c r="I2441" t="s">
        <v>79</v>
      </c>
      <c r="J2441" t="s">
        <v>233</v>
      </c>
      <c r="K2441">
        <v>5</v>
      </c>
      <c r="L2441" s="2">
        <v>245.91</v>
      </c>
      <c r="M2441" s="3">
        <v>0.05</v>
      </c>
      <c r="N2441" s="2">
        <v>1168.07</v>
      </c>
      <c r="O2441" s="2">
        <v>804.05</v>
      </c>
      <c r="P2441" s="2">
        <v>364.02</v>
      </c>
      <c r="Q2441" t="s">
        <v>61</v>
      </c>
    </row>
    <row r="2442" spans="1:17" x14ac:dyDescent="0.2">
      <c r="A2442" t="s">
        <v>2607</v>
      </c>
      <c r="B2442" s="1">
        <v>45957</v>
      </c>
      <c r="C2442" t="s">
        <v>43</v>
      </c>
      <c r="D2442" t="s">
        <v>51</v>
      </c>
      <c r="E2442" t="s">
        <v>59</v>
      </c>
      <c r="F2442" t="s">
        <v>138</v>
      </c>
      <c r="G2442" t="s">
        <v>22</v>
      </c>
      <c r="H2442" t="s">
        <v>31</v>
      </c>
      <c r="I2442" t="s">
        <v>40</v>
      </c>
      <c r="J2442" t="s">
        <v>122</v>
      </c>
      <c r="K2442">
        <v>10</v>
      </c>
      <c r="L2442" s="2">
        <v>191.95</v>
      </c>
      <c r="M2442" s="3">
        <v>0.15</v>
      </c>
      <c r="N2442" s="2">
        <v>1631.58</v>
      </c>
      <c r="O2442" s="2">
        <v>1221.8</v>
      </c>
      <c r="P2442" s="2">
        <v>409.78</v>
      </c>
      <c r="Q2442" t="s">
        <v>57</v>
      </c>
    </row>
    <row r="2443" spans="1:17" x14ac:dyDescent="0.2">
      <c r="A2443" t="s">
        <v>2608</v>
      </c>
      <c r="B2443" s="1">
        <v>45957</v>
      </c>
      <c r="C2443" t="s">
        <v>77</v>
      </c>
      <c r="D2443" t="s">
        <v>128</v>
      </c>
      <c r="E2443" t="s">
        <v>129</v>
      </c>
      <c r="F2443" t="s">
        <v>53</v>
      </c>
      <c r="G2443" t="s">
        <v>54</v>
      </c>
      <c r="H2443" t="s">
        <v>31</v>
      </c>
      <c r="I2443" t="s">
        <v>40</v>
      </c>
      <c r="J2443" t="s">
        <v>41</v>
      </c>
      <c r="K2443">
        <v>10</v>
      </c>
      <c r="L2443" s="2">
        <v>130.56</v>
      </c>
      <c r="M2443" s="3">
        <v>0.05</v>
      </c>
      <c r="N2443" s="2">
        <v>1240.32</v>
      </c>
      <c r="O2443" s="2">
        <v>1012.65</v>
      </c>
      <c r="P2443" s="2">
        <v>227.67</v>
      </c>
      <c r="Q2443" t="s">
        <v>34</v>
      </c>
    </row>
    <row r="2444" spans="1:17" x14ac:dyDescent="0.2">
      <c r="A2444" t="s">
        <v>2609</v>
      </c>
      <c r="B2444" s="1">
        <v>45957</v>
      </c>
      <c r="C2444" t="s">
        <v>18</v>
      </c>
      <c r="D2444" t="s">
        <v>133</v>
      </c>
      <c r="E2444" t="s">
        <v>197</v>
      </c>
      <c r="F2444" t="s">
        <v>53</v>
      </c>
      <c r="G2444" t="s">
        <v>22</v>
      </c>
      <c r="H2444" t="s">
        <v>47</v>
      </c>
      <c r="I2444" t="s">
        <v>141</v>
      </c>
      <c r="J2444" t="s">
        <v>372</v>
      </c>
      <c r="K2444">
        <v>6</v>
      </c>
      <c r="L2444" s="2">
        <v>744.55</v>
      </c>
      <c r="M2444" s="3">
        <v>0</v>
      </c>
      <c r="N2444" s="2">
        <v>4467.3</v>
      </c>
      <c r="O2444" s="2">
        <v>2741.33</v>
      </c>
      <c r="P2444" s="2">
        <v>1725.97</v>
      </c>
      <c r="Q2444" t="s">
        <v>34</v>
      </c>
    </row>
    <row r="2445" spans="1:17" x14ac:dyDescent="0.2">
      <c r="A2445" t="s">
        <v>2610</v>
      </c>
      <c r="B2445" s="1">
        <v>45957</v>
      </c>
      <c r="C2445" t="s">
        <v>36</v>
      </c>
      <c r="D2445" t="s">
        <v>37</v>
      </c>
      <c r="E2445" t="s">
        <v>187</v>
      </c>
      <c r="F2445" t="s">
        <v>30</v>
      </c>
      <c r="G2445" t="s">
        <v>75</v>
      </c>
      <c r="H2445" t="s">
        <v>23</v>
      </c>
      <c r="I2445" t="s">
        <v>24</v>
      </c>
      <c r="J2445" t="s">
        <v>25</v>
      </c>
      <c r="K2445">
        <v>6</v>
      </c>
      <c r="L2445" s="2">
        <v>11.95</v>
      </c>
      <c r="M2445" s="3">
        <v>0.05</v>
      </c>
      <c r="N2445" s="2">
        <v>68.11</v>
      </c>
      <c r="O2445" s="2">
        <v>43.54</v>
      </c>
      <c r="P2445" s="2">
        <v>24.57</v>
      </c>
      <c r="Q2445" t="s">
        <v>26</v>
      </c>
    </row>
    <row r="2446" spans="1:17" x14ac:dyDescent="0.2">
      <c r="A2446" t="s">
        <v>2611</v>
      </c>
      <c r="B2446" s="1">
        <v>45957</v>
      </c>
      <c r="C2446" t="s">
        <v>18</v>
      </c>
      <c r="D2446" t="s">
        <v>28</v>
      </c>
      <c r="E2446" t="s">
        <v>170</v>
      </c>
      <c r="F2446" t="s">
        <v>138</v>
      </c>
      <c r="G2446" t="s">
        <v>75</v>
      </c>
      <c r="H2446" t="s">
        <v>47</v>
      </c>
      <c r="I2446" t="s">
        <v>97</v>
      </c>
      <c r="J2446" t="s">
        <v>168</v>
      </c>
      <c r="K2446">
        <v>6</v>
      </c>
      <c r="L2446" s="2">
        <v>490.99</v>
      </c>
      <c r="M2446" s="3">
        <v>0.05</v>
      </c>
      <c r="N2446" s="2">
        <v>2798.64</v>
      </c>
      <c r="O2446" s="2">
        <v>2003.79</v>
      </c>
      <c r="P2446" s="2">
        <v>794.85</v>
      </c>
      <c r="Q2446" t="s">
        <v>26</v>
      </c>
    </row>
    <row r="2447" spans="1:17" x14ac:dyDescent="0.2">
      <c r="A2447" t="s">
        <v>2612</v>
      </c>
      <c r="B2447" s="1">
        <v>45957</v>
      </c>
      <c r="C2447" t="s">
        <v>77</v>
      </c>
      <c r="D2447" t="s">
        <v>149</v>
      </c>
      <c r="E2447" t="s">
        <v>206</v>
      </c>
      <c r="F2447" t="s">
        <v>46</v>
      </c>
      <c r="G2447" t="s">
        <v>22</v>
      </c>
      <c r="H2447" t="s">
        <v>31</v>
      </c>
      <c r="I2447" t="s">
        <v>40</v>
      </c>
      <c r="J2447" t="s">
        <v>41</v>
      </c>
      <c r="K2447">
        <v>5</v>
      </c>
      <c r="L2447" s="2">
        <v>121.49</v>
      </c>
      <c r="M2447" s="3">
        <v>0</v>
      </c>
      <c r="N2447" s="2">
        <v>607.45000000000005</v>
      </c>
      <c r="O2447" s="2">
        <v>420.09</v>
      </c>
      <c r="P2447" s="2">
        <v>187.36</v>
      </c>
      <c r="Q2447" t="s">
        <v>34</v>
      </c>
    </row>
    <row r="2448" spans="1:17" x14ac:dyDescent="0.2">
      <c r="A2448" t="s">
        <v>2613</v>
      </c>
      <c r="B2448" s="1">
        <v>45957</v>
      </c>
      <c r="C2448" t="s">
        <v>77</v>
      </c>
      <c r="D2448" t="s">
        <v>78</v>
      </c>
      <c r="E2448" t="s">
        <v>52</v>
      </c>
      <c r="F2448" t="s">
        <v>71</v>
      </c>
      <c r="G2448" t="s">
        <v>75</v>
      </c>
      <c r="H2448" t="s">
        <v>23</v>
      </c>
      <c r="I2448" t="s">
        <v>55</v>
      </c>
      <c r="J2448" t="s">
        <v>56</v>
      </c>
      <c r="K2448">
        <v>6</v>
      </c>
      <c r="L2448" s="2">
        <v>17.37</v>
      </c>
      <c r="M2448" s="3">
        <v>0.1</v>
      </c>
      <c r="N2448" s="2">
        <v>93.8</v>
      </c>
      <c r="O2448" s="2">
        <v>53.25</v>
      </c>
      <c r="P2448" s="2">
        <v>40.549999999999997</v>
      </c>
      <c r="Q2448" t="s">
        <v>34</v>
      </c>
    </row>
    <row r="2449" spans="1:17" x14ac:dyDescent="0.2">
      <c r="A2449" t="s">
        <v>2614</v>
      </c>
      <c r="B2449" s="1">
        <v>45958</v>
      </c>
      <c r="C2449" t="s">
        <v>36</v>
      </c>
      <c r="D2449" t="s">
        <v>73</v>
      </c>
      <c r="E2449" t="s">
        <v>74</v>
      </c>
      <c r="F2449" t="s">
        <v>69</v>
      </c>
      <c r="G2449" t="s">
        <v>22</v>
      </c>
      <c r="H2449" t="s">
        <v>31</v>
      </c>
      <c r="I2449" t="s">
        <v>64</v>
      </c>
      <c r="J2449" t="s">
        <v>65</v>
      </c>
      <c r="K2449">
        <v>4</v>
      </c>
      <c r="L2449" s="2">
        <v>59.22</v>
      </c>
      <c r="M2449" s="3">
        <v>0.05</v>
      </c>
      <c r="N2449" s="2">
        <v>225.04</v>
      </c>
      <c r="O2449" s="2">
        <v>146.96</v>
      </c>
      <c r="P2449" s="2">
        <v>78.08</v>
      </c>
      <c r="Q2449" t="s">
        <v>34</v>
      </c>
    </row>
    <row r="2450" spans="1:17" x14ac:dyDescent="0.2">
      <c r="A2450" t="s">
        <v>2615</v>
      </c>
      <c r="B2450" s="1">
        <v>45958</v>
      </c>
      <c r="C2450" t="s">
        <v>36</v>
      </c>
      <c r="D2450" t="s">
        <v>144</v>
      </c>
      <c r="E2450" t="s">
        <v>145</v>
      </c>
      <c r="F2450" t="s">
        <v>60</v>
      </c>
      <c r="G2450" t="s">
        <v>54</v>
      </c>
      <c r="H2450" t="s">
        <v>47</v>
      </c>
      <c r="I2450" t="s">
        <v>97</v>
      </c>
      <c r="J2450" t="s">
        <v>116</v>
      </c>
      <c r="K2450">
        <v>1</v>
      </c>
      <c r="L2450" s="2">
        <v>130.06</v>
      </c>
      <c r="M2450" s="3">
        <v>0.1</v>
      </c>
      <c r="N2450" s="2">
        <v>117.05</v>
      </c>
      <c r="O2450" s="2">
        <v>77.11</v>
      </c>
      <c r="P2450" s="2">
        <v>39.94</v>
      </c>
      <c r="Q2450" t="s">
        <v>61</v>
      </c>
    </row>
    <row r="2451" spans="1:17" x14ac:dyDescent="0.2">
      <c r="A2451" t="s">
        <v>2616</v>
      </c>
      <c r="B2451" s="1">
        <v>45958</v>
      </c>
      <c r="C2451" t="s">
        <v>43</v>
      </c>
      <c r="D2451" t="s">
        <v>208</v>
      </c>
      <c r="E2451" t="s">
        <v>209</v>
      </c>
      <c r="F2451" t="s">
        <v>46</v>
      </c>
      <c r="G2451" t="s">
        <v>22</v>
      </c>
      <c r="H2451" t="s">
        <v>23</v>
      </c>
      <c r="I2451" t="s">
        <v>79</v>
      </c>
      <c r="J2451" t="s">
        <v>80</v>
      </c>
      <c r="K2451">
        <v>7</v>
      </c>
      <c r="L2451" s="2">
        <v>535.48</v>
      </c>
      <c r="M2451" s="3">
        <v>0.05</v>
      </c>
      <c r="N2451" s="2">
        <v>3560.94</v>
      </c>
      <c r="O2451" s="2">
        <v>2769.48</v>
      </c>
      <c r="P2451" s="2">
        <v>791.46</v>
      </c>
      <c r="Q2451" t="s">
        <v>26</v>
      </c>
    </row>
    <row r="2452" spans="1:17" x14ac:dyDescent="0.2">
      <c r="A2452" t="s">
        <v>2617</v>
      </c>
      <c r="B2452" s="1">
        <v>45958</v>
      </c>
      <c r="C2452" t="s">
        <v>18</v>
      </c>
      <c r="D2452" t="s">
        <v>19</v>
      </c>
      <c r="E2452" t="s">
        <v>100</v>
      </c>
      <c r="F2452" t="s">
        <v>39</v>
      </c>
      <c r="G2452" t="s">
        <v>54</v>
      </c>
      <c r="H2452" t="s">
        <v>23</v>
      </c>
      <c r="I2452" t="s">
        <v>79</v>
      </c>
      <c r="J2452" t="s">
        <v>179</v>
      </c>
      <c r="K2452">
        <v>9</v>
      </c>
      <c r="L2452" s="2">
        <v>279.86</v>
      </c>
      <c r="M2452" s="3">
        <v>0.05</v>
      </c>
      <c r="N2452" s="2">
        <v>2392.8000000000002</v>
      </c>
      <c r="O2452" s="2">
        <v>1562.37</v>
      </c>
      <c r="P2452" s="2">
        <v>830.43</v>
      </c>
      <c r="Q2452" t="s">
        <v>26</v>
      </c>
    </row>
    <row r="2453" spans="1:17" x14ac:dyDescent="0.2">
      <c r="A2453" t="s">
        <v>2618</v>
      </c>
      <c r="B2453" s="1">
        <v>45958</v>
      </c>
      <c r="C2453" t="s">
        <v>36</v>
      </c>
      <c r="D2453" t="s">
        <v>73</v>
      </c>
      <c r="E2453" t="s">
        <v>74</v>
      </c>
      <c r="F2453" t="s">
        <v>30</v>
      </c>
      <c r="G2453" t="s">
        <v>75</v>
      </c>
      <c r="H2453" t="s">
        <v>31</v>
      </c>
      <c r="I2453" t="s">
        <v>40</v>
      </c>
      <c r="J2453" t="s">
        <v>41</v>
      </c>
      <c r="K2453">
        <v>6</v>
      </c>
      <c r="L2453" s="2">
        <v>114.87</v>
      </c>
      <c r="M2453" s="3">
        <v>0.05</v>
      </c>
      <c r="N2453" s="2">
        <v>654.76</v>
      </c>
      <c r="O2453" s="2">
        <v>405.04</v>
      </c>
      <c r="P2453" s="2">
        <v>249.72</v>
      </c>
      <c r="Q2453" t="s">
        <v>34</v>
      </c>
    </row>
    <row r="2454" spans="1:17" x14ac:dyDescent="0.2">
      <c r="A2454" t="s">
        <v>2619</v>
      </c>
      <c r="B2454" s="1">
        <v>45958</v>
      </c>
      <c r="C2454" t="s">
        <v>36</v>
      </c>
      <c r="D2454" t="s">
        <v>73</v>
      </c>
      <c r="E2454" t="s">
        <v>74</v>
      </c>
      <c r="F2454" t="s">
        <v>71</v>
      </c>
      <c r="G2454" t="s">
        <v>75</v>
      </c>
      <c r="H2454" t="s">
        <v>31</v>
      </c>
      <c r="I2454" t="s">
        <v>64</v>
      </c>
      <c r="J2454" t="s">
        <v>65</v>
      </c>
      <c r="K2454">
        <v>4</v>
      </c>
      <c r="L2454" s="2">
        <v>66.5</v>
      </c>
      <c r="M2454" s="3">
        <v>0.1</v>
      </c>
      <c r="N2454" s="2">
        <v>239.4</v>
      </c>
      <c r="O2454" s="2">
        <v>160.80000000000001</v>
      </c>
      <c r="P2454" s="2">
        <v>78.599999999999994</v>
      </c>
      <c r="Q2454" t="s">
        <v>61</v>
      </c>
    </row>
    <row r="2455" spans="1:17" x14ac:dyDescent="0.2">
      <c r="A2455" t="s">
        <v>2620</v>
      </c>
      <c r="B2455" s="1">
        <v>45958</v>
      </c>
      <c r="C2455" t="s">
        <v>36</v>
      </c>
      <c r="D2455" t="s">
        <v>67</v>
      </c>
      <c r="E2455" t="s">
        <v>323</v>
      </c>
      <c r="F2455" t="s">
        <v>30</v>
      </c>
      <c r="G2455" t="s">
        <v>54</v>
      </c>
      <c r="H2455" t="s">
        <v>31</v>
      </c>
      <c r="I2455" t="s">
        <v>64</v>
      </c>
      <c r="J2455" t="s">
        <v>126</v>
      </c>
      <c r="K2455">
        <v>2</v>
      </c>
      <c r="L2455" s="2">
        <v>90.94</v>
      </c>
      <c r="M2455" s="3">
        <v>0</v>
      </c>
      <c r="N2455" s="2">
        <v>181.88</v>
      </c>
      <c r="O2455" s="2">
        <v>102.54</v>
      </c>
      <c r="P2455" s="2">
        <v>79.34</v>
      </c>
      <c r="Q2455" t="s">
        <v>61</v>
      </c>
    </row>
    <row r="2456" spans="1:17" x14ac:dyDescent="0.2">
      <c r="A2456" t="s">
        <v>2621</v>
      </c>
      <c r="B2456" s="1">
        <v>45959</v>
      </c>
      <c r="C2456" t="s">
        <v>36</v>
      </c>
      <c r="D2456" t="s">
        <v>110</v>
      </c>
      <c r="E2456" t="s">
        <v>111</v>
      </c>
      <c r="F2456" t="s">
        <v>71</v>
      </c>
      <c r="G2456" t="s">
        <v>75</v>
      </c>
      <c r="H2456" t="s">
        <v>47</v>
      </c>
      <c r="I2456" t="s">
        <v>141</v>
      </c>
      <c r="J2456" t="s">
        <v>201</v>
      </c>
      <c r="K2456">
        <v>7</v>
      </c>
      <c r="L2456" s="2">
        <v>464.18</v>
      </c>
      <c r="M2456" s="3">
        <v>0</v>
      </c>
      <c r="N2456" s="2">
        <v>3249.26</v>
      </c>
      <c r="O2456" s="2">
        <v>2178.33</v>
      </c>
      <c r="P2456" s="2">
        <v>1070.93</v>
      </c>
      <c r="Q2456" t="s">
        <v>61</v>
      </c>
    </row>
    <row r="2457" spans="1:17" x14ac:dyDescent="0.2">
      <c r="A2457" t="s">
        <v>2622</v>
      </c>
      <c r="B2457" s="1">
        <v>45959</v>
      </c>
      <c r="C2457" t="s">
        <v>36</v>
      </c>
      <c r="D2457" t="s">
        <v>73</v>
      </c>
      <c r="E2457" t="s">
        <v>247</v>
      </c>
      <c r="F2457" t="s">
        <v>39</v>
      </c>
      <c r="G2457" t="s">
        <v>22</v>
      </c>
      <c r="H2457" t="s">
        <v>23</v>
      </c>
      <c r="I2457" t="s">
        <v>83</v>
      </c>
      <c r="J2457" t="s">
        <v>131</v>
      </c>
      <c r="K2457">
        <v>9</v>
      </c>
      <c r="L2457" s="2">
        <v>9.4499999999999993</v>
      </c>
      <c r="M2457" s="3">
        <v>0.1</v>
      </c>
      <c r="N2457" s="2">
        <v>76.540000000000006</v>
      </c>
      <c r="O2457" s="2">
        <v>53.39</v>
      </c>
      <c r="P2457" s="2">
        <v>23.15</v>
      </c>
      <c r="Q2457" t="s">
        <v>26</v>
      </c>
    </row>
    <row r="2458" spans="1:17" x14ac:dyDescent="0.2">
      <c r="A2458" t="s">
        <v>2623</v>
      </c>
      <c r="B2458" s="1">
        <v>45959</v>
      </c>
      <c r="C2458" t="s">
        <v>36</v>
      </c>
      <c r="D2458" t="s">
        <v>67</v>
      </c>
      <c r="E2458" t="s">
        <v>323</v>
      </c>
      <c r="F2458" t="s">
        <v>21</v>
      </c>
      <c r="G2458" t="s">
        <v>22</v>
      </c>
      <c r="H2458" t="s">
        <v>31</v>
      </c>
      <c r="I2458" t="s">
        <v>112</v>
      </c>
      <c r="J2458" t="s">
        <v>113</v>
      </c>
      <c r="K2458">
        <v>3</v>
      </c>
      <c r="L2458" s="2">
        <v>495.43</v>
      </c>
      <c r="M2458" s="3">
        <v>0</v>
      </c>
      <c r="N2458" s="2">
        <v>1486.29</v>
      </c>
      <c r="O2458" s="2">
        <v>1177.94</v>
      </c>
      <c r="P2458" s="2">
        <v>308.35000000000002</v>
      </c>
      <c r="Q2458" t="s">
        <v>57</v>
      </c>
    </row>
    <row r="2459" spans="1:17" x14ac:dyDescent="0.2">
      <c r="A2459" t="s">
        <v>2624</v>
      </c>
      <c r="B2459" s="1">
        <v>45959</v>
      </c>
      <c r="C2459" t="s">
        <v>36</v>
      </c>
      <c r="D2459" t="s">
        <v>110</v>
      </c>
      <c r="E2459" t="s">
        <v>115</v>
      </c>
      <c r="F2459" t="s">
        <v>46</v>
      </c>
      <c r="G2459" t="s">
        <v>54</v>
      </c>
      <c r="H2459" t="s">
        <v>31</v>
      </c>
      <c r="I2459" t="s">
        <v>40</v>
      </c>
      <c r="J2459" t="s">
        <v>41</v>
      </c>
      <c r="K2459">
        <v>7</v>
      </c>
      <c r="L2459" s="2">
        <v>130.27000000000001</v>
      </c>
      <c r="M2459" s="3">
        <v>0</v>
      </c>
      <c r="N2459" s="2">
        <v>911.89</v>
      </c>
      <c r="O2459" s="2">
        <v>648.80999999999995</v>
      </c>
      <c r="P2459" s="2">
        <v>263.08</v>
      </c>
      <c r="Q2459" t="s">
        <v>26</v>
      </c>
    </row>
    <row r="2460" spans="1:17" x14ac:dyDescent="0.2">
      <c r="A2460" t="s">
        <v>2625</v>
      </c>
      <c r="B2460" s="1">
        <v>45959</v>
      </c>
      <c r="C2460" t="s">
        <v>43</v>
      </c>
      <c r="D2460" t="s">
        <v>44</v>
      </c>
      <c r="E2460" t="s">
        <v>45</v>
      </c>
      <c r="F2460" t="s">
        <v>53</v>
      </c>
      <c r="G2460" t="s">
        <v>22</v>
      </c>
      <c r="H2460" t="s">
        <v>23</v>
      </c>
      <c r="I2460" t="s">
        <v>83</v>
      </c>
      <c r="J2460" t="s">
        <v>131</v>
      </c>
      <c r="K2460">
        <v>5</v>
      </c>
      <c r="L2460" s="2">
        <v>27.57</v>
      </c>
      <c r="M2460" s="3">
        <v>0</v>
      </c>
      <c r="N2460" s="2">
        <v>137.85</v>
      </c>
      <c r="O2460" s="2">
        <v>106.04</v>
      </c>
      <c r="P2460" s="2">
        <v>31.81</v>
      </c>
      <c r="Q2460" t="s">
        <v>57</v>
      </c>
    </row>
    <row r="2461" spans="1:17" x14ac:dyDescent="0.2">
      <c r="A2461" t="s">
        <v>2626</v>
      </c>
      <c r="B2461" s="1">
        <v>45959</v>
      </c>
      <c r="C2461" t="s">
        <v>77</v>
      </c>
      <c r="D2461" t="s">
        <v>128</v>
      </c>
      <c r="E2461" t="s">
        <v>129</v>
      </c>
      <c r="F2461" t="s">
        <v>39</v>
      </c>
      <c r="G2461" t="s">
        <v>75</v>
      </c>
      <c r="H2461" t="s">
        <v>23</v>
      </c>
      <c r="I2461" t="s">
        <v>83</v>
      </c>
      <c r="J2461" t="s">
        <v>84</v>
      </c>
      <c r="K2461">
        <v>10</v>
      </c>
      <c r="L2461" s="2">
        <v>9.44</v>
      </c>
      <c r="M2461" s="3">
        <v>0.05</v>
      </c>
      <c r="N2461" s="2">
        <v>89.68</v>
      </c>
      <c r="O2461" s="2">
        <v>72.180000000000007</v>
      </c>
      <c r="P2461" s="2">
        <v>17.5</v>
      </c>
      <c r="Q2461" t="s">
        <v>26</v>
      </c>
    </row>
    <row r="2462" spans="1:17" x14ac:dyDescent="0.2">
      <c r="A2462" t="s">
        <v>2627</v>
      </c>
      <c r="B2462" s="1">
        <v>45959</v>
      </c>
      <c r="C2462" t="s">
        <v>36</v>
      </c>
      <c r="D2462" t="s">
        <v>67</v>
      </c>
      <c r="E2462" t="s">
        <v>270</v>
      </c>
      <c r="F2462" t="s">
        <v>39</v>
      </c>
      <c r="G2462" t="s">
        <v>22</v>
      </c>
      <c r="H2462" t="s">
        <v>31</v>
      </c>
      <c r="I2462" t="s">
        <v>40</v>
      </c>
      <c r="J2462" t="s">
        <v>216</v>
      </c>
      <c r="K2462">
        <v>6</v>
      </c>
      <c r="L2462" s="2">
        <v>125.01</v>
      </c>
      <c r="M2462" s="3">
        <v>0.2</v>
      </c>
      <c r="N2462" s="2">
        <v>600.04999999999995</v>
      </c>
      <c r="O2462" s="2">
        <v>414.85</v>
      </c>
      <c r="P2462" s="2">
        <v>185.2</v>
      </c>
      <c r="Q2462" t="s">
        <v>26</v>
      </c>
    </row>
    <row r="2463" spans="1:17" x14ac:dyDescent="0.2">
      <c r="A2463" t="s">
        <v>2628</v>
      </c>
      <c r="B2463" s="1">
        <v>45959</v>
      </c>
      <c r="C2463" t="s">
        <v>36</v>
      </c>
      <c r="D2463" t="s">
        <v>37</v>
      </c>
      <c r="E2463" t="s">
        <v>187</v>
      </c>
      <c r="F2463" t="s">
        <v>69</v>
      </c>
      <c r="G2463" t="s">
        <v>54</v>
      </c>
      <c r="H2463" t="s">
        <v>23</v>
      </c>
      <c r="I2463" t="s">
        <v>83</v>
      </c>
      <c r="J2463" t="s">
        <v>120</v>
      </c>
      <c r="K2463">
        <v>2</v>
      </c>
      <c r="L2463" s="2">
        <v>34.85</v>
      </c>
      <c r="M2463" s="3">
        <v>0.1</v>
      </c>
      <c r="N2463" s="2">
        <v>62.73</v>
      </c>
      <c r="O2463" s="2">
        <v>42.22</v>
      </c>
      <c r="P2463" s="2">
        <v>20.51</v>
      </c>
      <c r="Q2463" t="s">
        <v>34</v>
      </c>
    </row>
    <row r="2464" spans="1:17" x14ac:dyDescent="0.2">
      <c r="A2464" t="s">
        <v>2629</v>
      </c>
      <c r="B2464" s="1">
        <v>45960</v>
      </c>
      <c r="C2464" t="s">
        <v>43</v>
      </c>
      <c r="D2464" t="s">
        <v>51</v>
      </c>
      <c r="E2464" t="s">
        <v>52</v>
      </c>
      <c r="F2464" t="s">
        <v>46</v>
      </c>
      <c r="G2464" t="s">
        <v>22</v>
      </c>
      <c r="H2464" t="s">
        <v>47</v>
      </c>
      <c r="I2464" t="s">
        <v>97</v>
      </c>
      <c r="J2464" t="s">
        <v>116</v>
      </c>
      <c r="K2464">
        <v>5</v>
      </c>
      <c r="L2464" s="2">
        <v>527.67999999999995</v>
      </c>
      <c r="M2464" s="3">
        <v>0.1</v>
      </c>
      <c r="N2464" s="2">
        <v>2374.56</v>
      </c>
      <c r="O2464" s="2">
        <v>1510.47</v>
      </c>
      <c r="P2464" s="2">
        <v>864.09</v>
      </c>
      <c r="Q2464" t="s">
        <v>61</v>
      </c>
    </row>
    <row r="2465" spans="1:17" x14ac:dyDescent="0.2">
      <c r="A2465" t="s">
        <v>2630</v>
      </c>
      <c r="B2465" s="1">
        <v>45960</v>
      </c>
      <c r="C2465" t="s">
        <v>36</v>
      </c>
      <c r="D2465" t="s">
        <v>110</v>
      </c>
      <c r="E2465" t="s">
        <v>203</v>
      </c>
      <c r="F2465" t="s">
        <v>69</v>
      </c>
      <c r="G2465" t="s">
        <v>22</v>
      </c>
      <c r="H2465" t="s">
        <v>47</v>
      </c>
      <c r="I2465" t="s">
        <v>141</v>
      </c>
      <c r="J2465" t="s">
        <v>142</v>
      </c>
      <c r="K2465">
        <v>5</v>
      </c>
      <c r="L2465" s="2">
        <v>171</v>
      </c>
      <c r="M2465" s="3">
        <v>0.05</v>
      </c>
      <c r="N2465" s="2">
        <v>812.25</v>
      </c>
      <c r="O2465" s="2">
        <v>657.9</v>
      </c>
      <c r="P2465" s="2">
        <v>154.35</v>
      </c>
      <c r="Q2465" t="s">
        <v>34</v>
      </c>
    </row>
    <row r="2466" spans="1:17" x14ac:dyDescent="0.2">
      <c r="A2466" t="s">
        <v>2631</v>
      </c>
      <c r="B2466" s="1">
        <v>45960</v>
      </c>
      <c r="C2466" t="s">
        <v>77</v>
      </c>
      <c r="D2466" t="s">
        <v>128</v>
      </c>
      <c r="E2466" t="s">
        <v>129</v>
      </c>
      <c r="F2466" t="s">
        <v>69</v>
      </c>
      <c r="G2466" t="s">
        <v>22</v>
      </c>
      <c r="H2466" t="s">
        <v>31</v>
      </c>
      <c r="I2466" t="s">
        <v>40</v>
      </c>
      <c r="J2466" t="s">
        <v>122</v>
      </c>
      <c r="K2466">
        <v>10</v>
      </c>
      <c r="L2466" s="2">
        <v>139.22</v>
      </c>
      <c r="M2466" s="3">
        <v>0.1</v>
      </c>
      <c r="N2466" s="2">
        <v>1252.98</v>
      </c>
      <c r="O2466" s="2">
        <v>770.48</v>
      </c>
      <c r="P2466" s="2">
        <v>482.5</v>
      </c>
      <c r="Q2466" t="s">
        <v>34</v>
      </c>
    </row>
    <row r="2467" spans="1:17" x14ac:dyDescent="0.2">
      <c r="A2467" t="s">
        <v>2632</v>
      </c>
      <c r="B2467" s="1">
        <v>45960</v>
      </c>
      <c r="C2467" t="s">
        <v>43</v>
      </c>
      <c r="D2467" t="s">
        <v>244</v>
      </c>
      <c r="E2467" t="s">
        <v>245</v>
      </c>
      <c r="F2467" t="s">
        <v>21</v>
      </c>
      <c r="G2467" t="s">
        <v>22</v>
      </c>
      <c r="H2467" t="s">
        <v>31</v>
      </c>
      <c r="I2467" t="s">
        <v>32</v>
      </c>
      <c r="J2467" t="s">
        <v>104</v>
      </c>
      <c r="K2467">
        <v>2</v>
      </c>
      <c r="L2467" s="2">
        <v>1249.26</v>
      </c>
      <c r="M2467" s="3">
        <v>0.05</v>
      </c>
      <c r="N2467" s="2">
        <v>2373.59</v>
      </c>
      <c r="O2467" s="2">
        <v>1371.61</v>
      </c>
      <c r="P2467" s="2">
        <v>1001.98</v>
      </c>
      <c r="Q2467" t="s">
        <v>61</v>
      </c>
    </row>
    <row r="2468" spans="1:17" x14ac:dyDescent="0.2">
      <c r="A2468" t="s">
        <v>2633</v>
      </c>
      <c r="B2468" s="1">
        <v>45960</v>
      </c>
      <c r="C2468" t="s">
        <v>36</v>
      </c>
      <c r="D2468" t="s">
        <v>110</v>
      </c>
      <c r="E2468" t="s">
        <v>115</v>
      </c>
      <c r="F2468" t="s">
        <v>21</v>
      </c>
      <c r="G2468" t="s">
        <v>22</v>
      </c>
      <c r="H2468" t="s">
        <v>47</v>
      </c>
      <c r="I2468" t="s">
        <v>48</v>
      </c>
      <c r="J2468" t="s">
        <v>93</v>
      </c>
      <c r="K2468">
        <v>7</v>
      </c>
      <c r="L2468" s="2">
        <v>329.25</v>
      </c>
      <c r="M2468" s="3">
        <v>0.05</v>
      </c>
      <c r="N2468" s="2">
        <v>2189.5100000000002</v>
      </c>
      <c r="O2468" s="2">
        <v>1482.42</v>
      </c>
      <c r="P2468" s="2">
        <v>707.09</v>
      </c>
      <c r="Q2468" t="s">
        <v>61</v>
      </c>
    </row>
    <row r="2469" spans="1:17" x14ac:dyDescent="0.2">
      <c r="A2469" t="s">
        <v>2634</v>
      </c>
      <c r="B2469" s="1">
        <v>45960</v>
      </c>
      <c r="C2469" t="s">
        <v>77</v>
      </c>
      <c r="D2469" t="s">
        <v>128</v>
      </c>
      <c r="E2469" t="s">
        <v>129</v>
      </c>
      <c r="F2469" t="s">
        <v>69</v>
      </c>
      <c r="G2469" t="s">
        <v>22</v>
      </c>
      <c r="H2469" t="s">
        <v>31</v>
      </c>
      <c r="I2469" t="s">
        <v>64</v>
      </c>
      <c r="J2469" t="s">
        <v>65</v>
      </c>
      <c r="K2469">
        <v>10</v>
      </c>
      <c r="L2469" s="2">
        <v>156.06</v>
      </c>
      <c r="M2469" s="3">
        <v>0</v>
      </c>
      <c r="N2469" s="2">
        <v>1560.6</v>
      </c>
      <c r="O2469" s="2">
        <v>1221.52</v>
      </c>
      <c r="P2469" s="2">
        <v>339.08</v>
      </c>
      <c r="Q2469" t="s">
        <v>26</v>
      </c>
    </row>
    <row r="2470" spans="1:17" x14ac:dyDescent="0.2">
      <c r="A2470" t="s">
        <v>2635</v>
      </c>
      <c r="B2470" s="1">
        <v>45960</v>
      </c>
      <c r="C2470" t="s">
        <v>77</v>
      </c>
      <c r="D2470" t="s">
        <v>128</v>
      </c>
      <c r="E2470" t="s">
        <v>155</v>
      </c>
      <c r="F2470" t="s">
        <v>53</v>
      </c>
      <c r="G2470" t="s">
        <v>22</v>
      </c>
      <c r="H2470" t="s">
        <v>31</v>
      </c>
      <c r="I2470" t="s">
        <v>64</v>
      </c>
      <c r="J2470" t="s">
        <v>126</v>
      </c>
      <c r="K2470">
        <v>4</v>
      </c>
      <c r="L2470" s="2">
        <v>66.77</v>
      </c>
      <c r="M2470" s="3">
        <v>0.1</v>
      </c>
      <c r="N2470" s="2">
        <v>240.37</v>
      </c>
      <c r="O2470" s="2">
        <v>167.06</v>
      </c>
      <c r="P2470" s="2">
        <v>73.31</v>
      </c>
      <c r="Q2470" t="s">
        <v>34</v>
      </c>
    </row>
    <row r="2471" spans="1:17" x14ac:dyDescent="0.2">
      <c r="A2471" t="s">
        <v>2636</v>
      </c>
      <c r="B2471" s="1">
        <v>45961</v>
      </c>
      <c r="C2471" t="s">
        <v>18</v>
      </c>
      <c r="D2471" t="s">
        <v>86</v>
      </c>
      <c r="E2471" t="s">
        <v>92</v>
      </c>
      <c r="F2471" t="s">
        <v>71</v>
      </c>
      <c r="G2471" t="s">
        <v>22</v>
      </c>
      <c r="H2471" t="s">
        <v>47</v>
      </c>
      <c r="I2471" t="s">
        <v>89</v>
      </c>
      <c r="J2471" t="s">
        <v>90</v>
      </c>
      <c r="K2471">
        <v>6</v>
      </c>
      <c r="L2471" s="2">
        <v>181.48</v>
      </c>
      <c r="M2471" s="3">
        <v>0.05</v>
      </c>
      <c r="N2471" s="2">
        <v>1034.44</v>
      </c>
      <c r="O2471" s="2">
        <v>750.1</v>
      </c>
      <c r="P2471" s="2">
        <v>284.33999999999997</v>
      </c>
      <c r="Q2471" t="s">
        <v>26</v>
      </c>
    </row>
    <row r="2472" spans="1:17" x14ac:dyDescent="0.2">
      <c r="A2472" t="s">
        <v>2637</v>
      </c>
      <c r="B2472" s="1">
        <v>45961</v>
      </c>
      <c r="C2472" t="s">
        <v>18</v>
      </c>
      <c r="D2472" t="s">
        <v>152</v>
      </c>
      <c r="E2472" t="s">
        <v>166</v>
      </c>
      <c r="F2472" t="s">
        <v>69</v>
      </c>
      <c r="G2472" t="s">
        <v>22</v>
      </c>
      <c r="H2472" t="s">
        <v>31</v>
      </c>
      <c r="I2472" t="s">
        <v>40</v>
      </c>
      <c r="J2472" t="s">
        <v>41</v>
      </c>
      <c r="K2472">
        <v>6</v>
      </c>
      <c r="L2472" s="2">
        <v>76</v>
      </c>
      <c r="M2472" s="3">
        <v>0.1</v>
      </c>
      <c r="N2472" s="2">
        <v>410.4</v>
      </c>
      <c r="O2472" s="2">
        <v>279.47000000000003</v>
      </c>
      <c r="P2472" s="2">
        <v>130.93</v>
      </c>
      <c r="Q2472" t="s">
        <v>26</v>
      </c>
    </row>
    <row r="2473" spans="1:17" x14ac:dyDescent="0.2">
      <c r="A2473" t="s">
        <v>2638</v>
      </c>
      <c r="B2473" s="1">
        <v>45961</v>
      </c>
      <c r="C2473" t="s">
        <v>43</v>
      </c>
      <c r="D2473" t="s">
        <v>244</v>
      </c>
      <c r="E2473" t="s">
        <v>245</v>
      </c>
      <c r="F2473" t="s">
        <v>39</v>
      </c>
      <c r="G2473" t="s">
        <v>22</v>
      </c>
      <c r="H2473" t="s">
        <v>47</v>
      </c>
      <c r="I2473" t="s">
        <v>48</v>
      </c>
      <c r="J2473" t="s">
        <v>93</v>
      </c>
      <c r="K2473">
        <v>7</v>
      </c>
      <c r="L2473" s="2">
        <v>514.41999999999996</v>
      </c>
      <c r="M2473" s="3">
        <v>0</v>
      </c>
      <c r="N2473" s="2">
        <v>3600.94</v>
      </c>
      <c r="O2473" s="2">
        <v>2277.42</v>
      </c>
      <c r="P2473" s="2">
        <v>1323.52</v>
      </c>
      <c r="Q2473" t="s">
        <v>61</v>
      </c>
    </row>
    <row r="2474" spans="1:17" x14ac:dyDescent="0.2">
      <c r="A2474" t="s">
        <v>2639</v>
      </c>
      <c r="B2474" s="1">
        <v>45961</v>
      </c>
      <c r="C2474" t="s">
        <v>18</v>
      </c>
      <c r="D2474" t="s">
        <v>152</v>
      </c>
      <c r="E2474" t="s">
        <v>153</v>
      </c>
      <c r="F2474" t="s">
        <v>71</v>
      </c>
      <c r="G2474" t="s">
        <v>54</v>
      </c>
      <c r="H2474" t="s">
        <v>23</v>
      </c>
      <c r="I2474" t="s">
        <v>79</v>
      </c>
      <c r="J2474" t="s">
        <v>233</v>
      </c>
      <c r="K2474">
        <v>6</v>
      </c>
      <c r="L2474" s="2">
        <v>342.96</v>
      </c>
      <c r="M2474" s="3">
        <v>0.05</v>
      </c>
      <c r="N2474" s="2">
        <v>1954.87</v>
      </c>
      <c r="O2474" s="2">
        <v>1134.25</v>
      </c>
      <c r="P2474" s="2">
        <v>820.62</v>
      </c>
      <c r="Q2474" t="s">
        <v>34</v>
      </c>
    </row>
    <row r="2475" spans="1:17" x14ac:dyDescent="0.2">
      <c r="A2475" t="s">
        <v>2640</v>
      </c>
      <c r="B2475" s="1">
        <v>45962</v>
      </c>
      <c r="C2475" t="s">
        <v>43</v>
      </c>
      <c r="D2475" t="s">
        <v>208</v>
      </c>
      <c r="E2475" t="s">
        <v>209</v>
      </c>
      <c r="F2475" t="s">
        <v>30</v>
      </c>
      <c r="G2475" t="s">
        <v>54</v>
      </c>
      <c r="H2475" t="s">
        <v>31</v>
      </c>
      <c r="I2475" t="s">
        <v>40</v>
      </c>
      <c r="J2475" t="s">
        <v>122</v>
      </c>
      <c r="K2475">
        <v>8</v>
      </c>
      <c r="L2475" s="2">
        <v>196.22</v>
      </c>
      <c r="M2475" s="3">
        <v>0</v>
      </c>
      <c r="N2475" s="2">
        <v>1569.76</v>
      </c>
      <c r="O2475" s="2">
        <v>964.51</v>
      </c>
      <c r="P2475" s="2">
        <v>605.25</v>
      </c>
      <c r="Q2475" t="s">
        <v>26</v>
      </c>
    </row>
    <row r="2476" spans="1:17" x14ac:dyDescent="0.2">
      <c r="A2476" t="s">
        <v>2641</v>
      </c>
      <c r="B2476" s="1">
        <v>45962</v>
      </c>
      <c r="C2476" t="s">
        <v>77</v>
      </c>
      <c r="D2476" t="s">
        <v>128</v>
      </c>
      <c r="E2476" t="s">
        <v>155</v>
      </c>
      <c r="F2476" t="s">
        <v>21</v>
      </c>
      <c r="G2476" t="s">
        <v>75</v>
      </c>
      <c r="H2476" t="s">
        <v>23</v>
      </c>
      <c r="I2476" t="s">
        <v>24</v>
      </c>
      <c r="J2476" t="s">
        <v>108</v>
      </c>
      <c r="K2476">
        <v>7</v>
      </c>
      <c r="L2476" s="2">
        <v>29.31</v>
      </c>
      <c r="M2476" s="3">
        <v>0</v>
      </c>
      <c r="N2476" s="2">
        <v>205.17</v>
      </c>
      <c r="O2476" s="2">
        <v>166.3</v>
      </c>
      <c r="P2476" s="2">
        <v>38.869999999999997</v>
      </c>
      <c r="Q2476" t="s">
        <v>57</v>
      </c>
    </row>
    <row r="2477" spans="1:17" x14ac:dyDescent="0.2">
      <c r="A2477" t="s">
        <v>2642</v>
      </c>
      <c r="B2477" s="1">
        <v>45962</v>
      </c>
      <c r="C2477" t="s">
        <v>43</v>
      </c>
      <c r="D2477" t="s">
        <v>208</v>
      </c>
      <c r="E2477" t="s">
        <v>209</v>
      </c>
      <c r="F2477" t="s">
        <v>30</v>
      </c>
      <c r="G2477" t="s">
        <v>75</v>
      </c>
      <c r="H2477" t="s">
        <v>31</v>
      </c>
      <c r="I2477" t="s">
        <v>64</v>
      </c>
      <c r="J2477" t="s">
        <v>126</v>
      </c>
      <c r="K2477">
        <v>4</v>
      </c>
      <c r="L2477" s="2">
        <v>46.05</v>
      </c>
      <c r="M2477" s="3">
        <v>0.1</v>
      </c>
      <c r="N2477" s="2">
        <v>165.78</v>
      </c>
      <c r="O2477" s="2">
        <v>95.8</v>
      </c>
      <c r="P2477" s="2">
        <v>69.98</v>
      </c>
      <c r="Q2477" t="s">
        <v>57</v>
      </c>
    </row>
    <row r="2478" spans="1:17" x14ac:dyDescent="0.2">
      <c r="A2478" t="s">
        <v>2643</v>
      </c>
      <c r="B2478" s="1">
        <v>45962</v>
      </c>
      <c r="C2478" t="s">
        <v>36</v>
      </c>
      <c r="D2478" t="s">
        <v>67</v>
      </c>
      <c r="E2478" t="s">
        <v>68</v>
      </c>
      <c r="F2478" t="s">
        <v>138</v>
      </c>
      <c r="G2478" t="s">
        <v>75</v>
      </c>
      <c r="H2478" t="s">
        <v>23</v>
      </c>
      <c r="I2478" t="s">
        <v>24</v>
      </c>
      <c r="J2478" t="s">
        <v>25</v>
      </c>
      <c r="K2478">
        <v>9</v>
      </c>
      <c r="L2478" s="2">
        <v>5.12</v>
      </c>
      <c r="M2478" s="3">
        <v>0.1</v>
      </c>
      <c r="N2478" s="2">
        <v>41.47</v>
      </c>
      <c r="O2478" s="2">
        <v>25.37</v>
      </c>
      <c r="P2478" s="2">
        <v>16.100000000000001</v>
      </c>
      <c r="Q2478" t="s">
        <v>26</v>
      </c>
    </row>
    <row r="2479" spans="1:17" x14ac:dyDescent="0.2">
      <c r="A2479" t="s">
        <v>2644</v>
      </c>
      <c r="B2479" s="1">
        <v>45963</v>
      </c>
      <c r="C2479" t="s">
        <v>77</v>
      </c>
      <c r="D2479" t="s">
        <v>78</v>
      </c>
      <c r="E2479" t="s">
        <v>295</v>
      </c>
      <c r="F2479" t="s">
        <v>60</v>
      </c>
      <c r="G2479" t="s">
        <v>75</v>
      </c>
      <c r="H2479" t="s">
        <v>47</v>
      </c>
      <c r="I2479" t="s">
        <v>89</v>
      </c>
      <c r="J2479" t="s">
        <v>90</v>
      </c>
      <c r="K2479">
        <v>7</v>
      </c>
      <c r="L2479" s="2">
        <v>242.17</v>
      </c>
      <c r="M2479" s="3">
        <v>0</v>
      </c>
      <c r="N2479" s="2">
        <v>1695.19</v>
      </c>
      <c r="O2479" s="2">
        <v>1230.78</v>
      </c>
      <c r="P2479" s="2">
        <v>464.41</v>
      </c>
      <c r="Q2479" t="s">
        <v>57</v>
      </c>
    </row>
    <row r="2480" spans="1:17" x14ac:dyDescent="0.2">
      <c r="A2480" t="s">
        <v>2645</v>
      </c>
      <c r="B2480" s="1">
        <v>45963</v>
      </c>
      <c r="C2480" t="s">
        <v>43</v>
      </c>
      <c r="D2480" t="s">
        <v>51</v>
      </c>
      <c r="E2480" t="s">
        <v>63</v>
      </c>
      <c r="F2480" t="s">
        <v>71</v>
      </c>
      <c r="G2480" t="s">
        <v>22</v>
      </c>
      <c r="H2480" t="s">
        <v>23</v>
      </c>
      <c r="I2480" t="s">
        <v>83</v>
      </c>
      <c r="J2480" t="s">
        <v>131</v>
      </c>
      <c r="K2480">
        <v>10</v>
      </c>
      <c r="L2480" s="2">
        <v>25.08</v>
      </c>
      <c r="M2480" s="3">
        <v>0</v>
      </c>
      <c r="N2480" s="2">
        <v>250.8</v>
      </c>
      <c r="O2480" s="2">
        <v>192.99</v>
      </c>
      <c r="P2480" s="2">
        <v>57.81</v>
      </c>
      <c r="Q2480" t="s">
        <v>57</v>
      </c>
    </row>
    <row r="2481" spans="1:17" x14ac:dyDescent="0.2">
      <c r="A2481" t="s">
        <v>2646</v>
      </c>
      <c r="B2481" s="1">
        <v>45963</v>
      </c>
      <c r="C2481" t="s">
        <v>77</v>
      </c>
      <c r="D2481" t="s">
        <v>106</v>
      </c>
      <c r="E2481" t="s">
        <v>236</v>
      </c>
      <c r="F2481" t="s">
        <v>138</v>
      </c>
      <c r="G2481" t="s">
        <v>22</v>
      </c>
      <c r="H2481" t="s">
        <v>23</v>
      </c>
      <c r="I2481" t="s">
        <v>24</v>
      </c>
      <c r="J2481" t="s">
        <v>25</v>
      </c>
      <c r="K2481">
        <v>4</v>
      </c>
      <c r="L2481" s="2">
        <v>11.9</v>
      </c>
      <c r="M2481" s="3">
        <v>0.1</v>
      </c>
      <c r="N2481" s="2">
        <v>42.84</v>
      </c>
      <c r="O2481" s="2">
        <v>33.01</v>
      </c>
      <c r="P2481" s="2">
        <v>9.83</v>
      </c>
      <c r="Q2481" t="s">
        <v>61</v>
      </c>
    </row>
    <row r="2482" spans="1:17" x14ac:dyDescent="0.2">
      <c r="A2482" t="s">
        <v>2647</v>
      </c>
      <c r="B2482" s="1">
        <v>45963</v>
      </c>
      <c r="C2482" t="s">
        <v>43</v>
      </c>
      <c r="D2482" t="s">
        <v>44</v>
      </c>
      <c r="E2482" t="s">
        <v>147</v>
      </c>
      <c r="F2482" t="s">
        <v>53</v>
      </c>
      <c r="G2482" t="s">
        <v>75</v>
      </c>
      <c r="H2482" t="s">
        <v>47</v>
      </c>
      <c r="I2482" t="s">
        <v>89</v>
      </c>
      <c r="J2482" t="s">
        <v>204</v>
      </c>
      <c r="K2482">
        <v>5</v>
      </c>
      <c r="L2482" s="2">
        <v>385.05</v>
      </c>
      <c r="M2482" s="3">
        <v>0</v>
      </c>
      <c r="N2482" s="2">
        <v>1925.25</v>
      </c>
      <c r="O2482" s="2">
        <v>1279.3</v>
      </c>
      <c r="P2482" s="2">
        <v>645.95000000000005</v>
      </c>
      <c r="Q2482" t="s">
        <v>34</v>
      </c>
    </row>
    <row r="2483" spans="1:17" x14ac:dyDescent="0.2">
      <c r="A2483" t="s">
        <v>2648</v>
      </c>
      <c r="B2483" s="1">
        <v>45963</v>
      </c>
      <c r="C2483" t="s">
        <v>77</v>
      </c>
      <c r="D2483" t="s">
        <v>95</v>
      </c>
      <c r="E2483" t="s">
        <v>367</v>
      </c>
      <c r="F2483" t="s">
        <v>21</v>
      </c>
      <c r="G2483" t="s">
        <v>75</v>
      </c>
      <c r="H2483" t="s">
        <v>23</v>
      </c>
      <c r="I2483" t="s">
        <v>79</v>
      </c>
      <c r="J2483" t="s">
        <v>80</v>
      </c>
      <c r="K2483">
        <v>4</v>
      </c>
      <c r="L2483" s="2">
        <v>588.95000000000005</v>
      </c>
      <c r="M2483" s="3">
        <v>0</v>
      </c>
      <c r="N2483" s="2">
        <v>2355.8000000000002</v>
      </c>
      <c r="O2483" s="2">
        <v>1482.46</v>
      </c>
      <c r="P2483" s="2">
        <v>873.34</v>
      </c>
      <c r="Q2483" t="s">
        <v>34</v>
      </c>
    </row>
    <row r="2484" spans="1:17" x14ac:dyDescent="0.2">
      <c r="A2484" t="s">
        <v>2649</v>
      </c>
      <c r="B2484" s="1">
        <v>45963</v>
      </c>
      <c r="C2484" t="s">
        <v>43</v>
      </c>
      <c r="D2484" t="s">
        <v>208</v>
      </c>
      <c r="E2484" t="s">
        <v>287</v>
      </c>
      <c r="F2484" t="s">
        <v>21</v>
      </c>
      <c r="G2484" t="s">
        <v>22</v>
      </c>
      <c r="H2484" t="s">
        <v>23</v>
      </c>
      <c r="I2484" t="s">
        <v>83</v>
      </c>
      <c r="J2484" t="s">
        <v>84</v>
      </c>
      <c r="K2484">
        <v>3</v>
      </c>
      <c r="L2484" s="2">
        <v>29.96</v>
      </c>
      <c r="M2484" s="3">
        <v>0.1</v>
      </c>
      <c r="N2484" s="2">
        <v>80.89</v>
      </c>
      <c r="O2484" s="2">
        <v>60.21</v>
      </c>
      <c r="P2484" s="2">
        <v>20.68</v>
      </c>
      <c r="Q2484" t="s">
        <v>34</v>
      </c>
    </row>
    <row r="2485" spans="1:17" x14ac:dyDescent="0.2">
      <c r="A2485" t="s">
        <v>2650</v>
      </c>
      <c r="B2485" s="1">
        <v>45963</v>
      </c>
      <c r="C2485" t="s">
        <v>36</v>
      </c>
      <c r="D2485" t="s">
        <v>73</v>
      </c>
      <c r="E2485" t="s">
        <v>74</v>
      </c>
      <c r="F2485" t="s">
        <v>60</v>
      </c>
      <c r="G2485" t="s">
        <v>22</v>
      </c>
      <c r="H2485" t="s">
        <v>31</v>
      </c>
      <c r="I2485" t="s">
        <v>112</v>
      </c>
      <c r="J2485" t="s">
        <v>176</v>
      </c>
      <c r="K2485">
        <v>5</v>
      </c>
      <c r="L2485" s="2">
        <v>663.38</v>
      </c>
      <c r="M2485" s="3">
        <v>0.1</v>
      </c>
      <c r="N2485" s="2">
        <v>2985.21</v>
      </c>
      <c r="O2485" s="2">
        <v>1711.43</v>
      </c>
      <c r="P2485" s="2">
        <v>1273.78</v>
      </c>
      <c r="Q2485" t="s">
        <v>57</v>
      </c>
    </row>
    <row r="2486" spans="1:17" x14ac:dyDescent="0.2">
      <c r="A2486" t="s">
        <v>2651</v>
      </c>
      <c r="B2486" s="1">
        <v>45963</v>
      </c>
      <c r="C2486" t="s">
        <v>18</v>
      </c>
      <c r="D2486" t="s">
        <v>152</v>
      </c>
      <c r="E2486" t="s">
        <v>166</v>
      </c>
      <c r="F2486" t="s">
        <v>71</v>
      </c>
      <c r="G2486" t="s">
        <v>22</v>
      </c>
      <c r="H2486" t="s">
        <v>23</v>
      </c>
      <c r="I2486" t="s">
        <v>55</v>
      </c>
      <c r="J2486" t="s">
        <v>102</v>
      </c>
      <c r="K2486">
        <v>7</v>
      </c>
      <c r="L2486" s="2">
        <v>15.88</v>
      </c>
      <c r="M2486" s="3">
        <v>0.05</v>
      </c>
      <c r="N2486" s="2">
        <v>105.6</v>
      </c>
      <c r="O2486" s="2">
        <v>84.51</v>
      </c>
      <c r="P2486" s="2">
        <v>21.09</v>
      </c>
      <c r="Q2486" t="s">
        <v>61</v>
      </c>
    </row>
    <row r="2487" spans="1:17" x14ac:dyDescent="0.2">
      <c r="A2487" t="s">
        <v>2652</v>
      </c>
      <c r="B2487" s="1">
        <v>45963</v>
      </c>
      <c r="C2487" t="s">
        <v>36</v>
      </c>
      <c r="D2487" t="s">
        <v>144</v>
      </c>
      <c r="E2487" t="s">
        <v>214</v>
      </c>
      <c r="F2487" t="s">
        <v>39</v>
      </c>
      <c r="G2487" t="s">
        <v>54</v>
      </c>
      <c r="H2487" t="s">
        <v>31</v>
      </c>
      <c r="I2487" t="s">
        <v>40</v>
      </c>
      <c r="J2487" t="s">
        <v>122</v>
      </c>
      <c r="K2487">
        <v>1</v>
      </c>
      <c r="L2487" s="2">
        <v>244.67</v>
      </c>
      <c r="M2487" s="3">
        <v>0.05</v>
      </c>
      <c r="N2487" s="2">
        <v>232.44</v>
      </c>
      <c r="O2487" s="2">
        <v>183.74</v>
      </c>
      <c r="P2487" s="2">
        <v>48.7</v>
      </c>
      <c r="Q2487" t="s">
        <v>26</v>
      </c>
    </row>
    <row r="2488" spans="1:17" x14ac:dyDescent="0.2">
      <c r="A2488" t="s">
        <v>2653</v>
      </c>
      <c r="B2488" s="1">
        <v>45963</v>
      </c>
      <c r="C2488" t="s">
        <v>36</v>
      </c>
      <c r="D2488" t="s">
        <v>73</v>
      </c>
      <c r="E2488" t="s">
        <v>212</v>
      </c>
      <c r="F2488" t="s">
        <v>46</v>
      </c>
      <c r="G2488" t="s">
        <v>75</v>
      </c>
      <c r="H2488" t="s">
        <v>47</v>
      </c>
      <c r="I2488" t="s">
        <v>97</v>
      </c>
      <c r="J2488" t="s">
        <v>116</v>
      </c>
      <c r="K2488">
        <v>1</v>
      </c>
      <c r="L2488" s="2">
        <v>242.12</v>
      </c>
      <c r="M2488" s="3">
        <v>0.15</v>
      </c>
      <c r="N2488" s="2">
        <v>205.8</v>
      </c>
      <c r="O2488" s="2">
        <v>153.72999999999999</v>
      </c>
      <c r="P2488" s="2">
        <v>52.07</v>
      </c>
      <c r="Q2488" t="s">
        <v>57</v>
      </c>
    </row>
    <row r="2489" spans="1:17" x14ac:dyDescent="0.2">
      <c r="A2489" t="s">
        <v>2654</v>
      </c>
      <c r="B2489" s="1">
        <v>45964</v>
      </c>
      <c r="C2489" t="s">
        <v>36</v>
      </c>
      <c r="D2489" t="s">
        <v>73</v>
      </c>
      <c r="E2489" t="s">
        <v>74</v>
      </c>
      <c r="F2489" t="s">
        <v>71</v>
      </c>
      <c r="G2489" t="s">
        <v>75</v>
      </c>
      <c r="H2489" t="s">
        <v>31</v>
      </c>
      <c r="I2489" t="s">
        <v>32</v>
      </c>
      <c r="J2489" t="s">
        <v>104</v>
      </c>
      <c r="K2489">
        <v>3</v>
      </c>
      <c r="L2489" s="2">
        <v>1537.32</v>
      </c>
      <c r="M2489" s="3">
        <v>0</v>
      </c>
      <c r="N2489" s="2">
        <v>4611.96</v>
      </c>
      <c r="O2489" s="2">
        <v>3392.04</v>
      </c>
      <c r="P2489" s="2">
        <v>1219.92</v>
      </c>
      <c r="Q2489" t="s">
        <v>26</v>
      </c>
    </row>
    <row r="2490" spans="1:17" x14ac:dyDescent="0.2">
      <c r="A2490" t="s">
        <v>2655</v>
      </c>
      <c r="B2490" s="1">
        <v>45964</v>
      </c>
      <c r="C2490" t="s">
        <v>36</v>
      </c>
      <c r="D2490" t="s">
        <v>67</v>
      </c>
      <c r="E2490" t="s">
        <v>68</v>
      </c>
      <c r="F2490" t="s">
        <v>53</v>
      </c>
      <c r="G2490" t="s">
        <v>54</v>
      </c>
      <c r="H2490" t="s">
        <v>31</v>
      </c>
      <c r="I2490" t="s">
        <v>112</v>
      </c>
      <c r="J2490" t="s">
        <v>136</v>
      </c>
      <c r="K2490">
        <v>6</v>
      </c>
      <c r="L2490" s="2">
        <v>682.22</v>
      </c>
      <c r="M2490" s="3">
        <v>0.1</v>
      </c>
      <c r="N2490" s="2">
        <v>3683.99</v>
      </c>
      <c r="O2490" s="2">
        <v>2402.1799999999998</v>
      </c>
      <c r="P2490" s="2">
        <v>1281.81</v>
      </c>
      <c r="Q2490" t="s">
        <v>34</v>
      </c>
    </row>
    <row r="2491" spans="1:17" x14ac:dyDescent="0.2">
      <c r="A2491" t="s">
        <v>2656</v>
      </c>
      <c r="B2491" s="1">
        <v>45964</v>
      </c>
      <c r="C2491" t="s">
        <v>77</v>
      </c>
      <c r="D2491" t="s">
        <v>106</v>
      </c>
      <c r="E2491" t="s">
        <v>303</v>
      </c>
      <c r="F2491" t="s">
        <v>53</v>
      </c>
      <c r="G2491" t="s">
        <v>54</v>
      </c>
      <c r="H2491" t="s">
        <v>31</v>
      </c>
      <c r="I2491" t="s">
        <v>32</v>
      </c>
      <c r="J2491" t="s">
        <v>33</v>
      </c>
      <c r="K2491">
        <v>5</v>
      </c>
      <c r="L2491" s="2">
        <v>635.03</v>
      </c>
      <c r="M2491" s="3">
        <v>0.15</v>
      </c>
      <c r="N2491" s="2">
        <v>2698.88</v>
      </c>
      <c r="O2491" s="2">
        <v>1818.04</v>
      </c>
      <c r="P2491" s="2">
        <v>880.84</v>
      </c>
      <c r="Q2491" t="s">
        <v>61</v>
      </c>
    </row>
    <row r="2492" spans="1:17" x14ac:dyDescent="0.2">
      <c r="A2492" t="s">
        <v>2657</v>
      </c>
      <c r="B2492" s="1">
        <v>45965</v>
      </c>
      <c r="C2492" t="s">
        <v>18</v>
      </c>
      <c r="D2492" t="s">
        <v>86</v>
      </c>
      <c r="E2492" t="s">
        <v>92</v>
      </c>
      <c r="F2492" t="s">
        <v>21</v>
      </c>
      <c r="G2492" t="s">
        <v>22</v>
      </c>
      <c r="H2492" t="s">
        <v>31</v>
      </c>
      <c r="I2492" t="s">
        <v>112</v>
      </c>
      <c r="J2492" t="s">
        <v>113</v>
      </c>
      <c r="K2492">
        <v>3</v>
      </c>
      <c r="L2492" s="2">
        <v>176.89</v>
      </c>
      <c r="M2492" s="3">
        <v>0.05</v>
      </c>
      <c r="N2492" s="2">
        <v>504.14</v>
      </c>
      <c r="O2492" s="2">
        <v>349.82</v>
      </c>
      <c r="P2492" s="2">
        <v>154.32</v>
      </c>
      <c r="Q2492" t="s">
        <v>34</v>
      </c>
    </row>
    <row r="2493" spans="1:17" x14ac:dyDescent="0.2">
      <c r="A2493" t="s">
        <v>2658</v>
      </c>
      <c r="B2493" s="1">
        <v>45965</v>
      </c>
      <c r="C2493" t="s">
        <v>77</v>
      </c>
      <c r="D2493" t="s">
        <v>128</v>
      </c>
      <c r="E2493" t="s">
        <v>129</v>
      </c>
      <c r="F2493" t="s">
        <v>53</v>
      </c>
      <c r="G2493" t="s">
        <v>22</v>
      </c>
      <c r="H2493" t="s">
        <v>47</v>
      </c>
      <c r="I2493" t="s">
        <v>141</v>
      </c>
      <c r="J2493" t="s">
        <v>372</v>
      </c>
      <c r="K2493">
        <v>4</v>
      </c>
      <c r="L2493" s="2">
        <v>720.87</v>
      </c>
      <c r="M2493" s="3">
        <v>0.05</v>
      </c>
      <c r="N2493" s="2">
        <v>2739.31</v>
      </c>
      <c r="O2493" s="2">
        <v>1585.19</v>
      </c>
      <c r="P2493" s="2">
        <v>1154.1199999999999</v>
      </c>
      <c r="Q2493" t="s">
        <v>61</v>
      </c>
    </row>
    <row r="2494" spans="1:17" x14ac:dyDescent="0.2">
      <c r="A2494" t="s">
        <v>2659</v>
      </c>
      <c r="B2494" s="1">
        <v>45965</v>
      </c>
      <c r="C2494" t="s">
        <v>36</v>
      </c>
      <c r="D2494" t="s">
        <v>110</v>
      </c>
      <c r="E2494" t="s">
        <v>203</v>
      </c>
      <c r="F2494" t="s">
        <v>21</v>
      </c>
      <c r="G2494" t="s">
        <v>22</v>
      </c>
      <c r="H2494" t="s">
        <v>31</v>
      </c>
      <c r="I2494" t="s">
        <v>112</v>
      </c>
      <c r="J2494" t="s">
        <v>176</v>
      </c>
      <c r="K2494">
        <v>1</v>
      </c>
      <c r="L2494" s="2">
        <v>468.87</v>
      </c>
      <c r="M2494" s="3">
        <v>0.1</v>
      </c>
      <c r="N2494" s="2">
        <v>421.98</v>
      </c>
      <c r="O2494" s="2">
        <v>253.49</v>
      </c>
      <c r="P2494" s="2">
        <v>168.49</v>
      </c>
      <c r="Q2494" t="s">
        <v>34</v>
      </c>
    </row>
    <row r="2495" spans="1:17" x14ac:dyDescent="0.2">
      <c r="A2495" t="s">
        <v>2660</v>
      </c>
      <c r="B2495" s="1">
        <v>45965</v>
      </c>
      <c r="C2495" t="s">
        <v>36</v>
      </c>
      <c r="D2495" t="s">
        <v>110</v>
      </c>
      <c r="E2495" t="s">
        <v>115</v>
      </c>
      <c r="F2495" t="s">
        <v>71</v>
      </c>
      <c r="G2495" t="s">
        <v>75</v>
      </c>
      <c r="H2495" t="s">
        <v>23</v>
      </c>
      <c r="I2495" t="s">
        <v>55</v>
      </c>
      <c r="J2495" t="s">
        <v>56</v>
      </c>
      <c r="K2495">
        <v>3</v>
      </c>
      <c r="L2495" s="2">
        <v>12.84</v>
      </c>
      <c r="M2495" s="3">
        <v>0.2</v>
      </c>
      <c r="N2495" s="2">
        <v>30.82</v>
      </c>
      <c r="O2495" s="2">
        <v>21.94</v>
      </c>
      <c r="P2495" s="2">
        <v>8.8800000000000008</v>
      </c>
      <c r="Q2495" t="s">
        <v>34</v>
      </c>
    </row>
    <row r="2496" spans="1:17" x14ac:dyDescent="0.2">
      <c r="A2496" t="s">
        <v>2661</v>
      </c>
      <c r="B2496" s="1">
        <v>45965</v>
      </c>
      <c r="C2496" t="s">
        <v>36</v>
      </c>
      <c r="D2496" t="s">
        <v>110</v>
      </c>
      <c r="E2496" t="s">
        <v>203</v>
      </c>
      <c r="F2496" t="s">
        <v>46</v>
      </c>
      <c r="G2496" t="s">
        <v>54</v>
      </c>
      <c r="H2496" t="s">
        <v>31</v>
      </c>
      <c r="I2496" t="s">
        <v>40</v>
      </c>
      <c r="J2496" t="s">
        <v>41</v>
      </c>
      <c r="K2496">
        <v>9</v>
      </c>
      <c r="L2496" s="2">
        <v>203.5</v>
      </c>
      <c r="M2496" s="3">
        <v>0.1</v>
      </c>
      <c r="N2496" s="2">
        <v>1648.35</v>
      </c>
      <c r="O2496" s="2">
        <v>938.75</v>
      </c>
      <c r="P2496" s="2">
        <v>709.6</v>
      </c>
      <c r="Q2496" t="s">
        <v>61</v>
      </c>
    </row>
    <row r="2497" spans="1:17" x14ac:dyDescent="0.2">
      <c r="A2497" t="s">
        <v>2662</v>
      </c>
      <c r="B2497" s="1">
        <v>45965</v>
      </c>
      <c r="C2497" t="s">
        <v>36</v>
      </c>
      <c r="D2497" t="s">
        <v>37</v>
      </c>
      <c r="E2497" t="s">
        <v>187</v>
      </c>
      <c r="F2497" t="s">
        <v>39</v>
      </c>
      <c r="G2497" t="s">
        <v>22</v>
      </c>
      <c r="H2497" t="s">
        <v>23</v>
      </c>
      <c r="I2497" t="s">
        <v>79</v>
      </c>
      <c r="J2497" t="s">
        <v>80</v>
      </c>
      <c r="K2497">
        <v>7</v>
      </c>
      <c r="L2497" s="2">
        <v>475.56</v>
      </c>
      <c r="M2497" s="3">
        <v>0.1</v>
      </c>
      <c r="N2497" s="2">
        <v>2996.03</v>
      </c>
      <c r="O2497" s="2">
        <v>2161.67</v>
      </c>
      <c r="P2497" s="2">
        <v>834.36</v>
      </c>
      <c r="Q2497" t="s">
        <v>57</v>
      </c>
    </row>
    <row r="2498" spans="1:17" x14ac:dyDescent="0.2">
      <c r="A2498" t="s">
        <v>2663</v>
      </c>
      <c r="B2498" s="1">
        <v>45965</v>
      </c>
      <c r="C2498" t="s">
        <v>43</v>
      </c>
      <c r="D2498" t="s">
        <v>51</v>
      </c>
      <c r="E2498" t="s">
        <v>59</v>
      </c>
      <c r="F2498" t="s">
        <v>21</v>
      </c>
      <c r="G2498" t="s">
        <v>54</v>
      </c>
      <c r="H2498" t="s">
        <v>23</v>
      </c>
      <c r="I2498" t="s">
        <v>55</v>
      </c>
      <c r="J2498" t="s">
        <v>102</v>
      </c>
      <c r="K2498">
        <v>10</v>
      </c>
      <c r="L2498" s="2">
        <v>23.57</v>
      </c>
      <c r="M2498" s="3">
        <v>0.05</v>
      </c>
      <c r="N2498" s="2">
        <v>223.92</v>
      </c>
      <c r="O2498" s="2">
        <v>172.36</v>
      </c>
      <c r="P2498" s="2">
        <v>51.56</v>
      </c>
      <c r="Q2498" t="s">
        <v>61</v>
      </c>
    </row>
    <row r="2499" spans="1:17" x14ac:dyDescent="0.2">
      <c r="A2499" t="s">
        <v>2664</v>
      </c>
      <c r="B2499" s="1">
        <v>45966</v>
      </c>
      <c r="C2499" t="s">
        <v>77</v>
      </c>
      <c r="D2499" t="s">
        <v>106</v>
      </c>
      <c r="E2499" t="s">
        <v>303</v>
      </c>
      <c r="F2499" t="s">
        <v>30</v>
      </c>
      <c r="G2499" t="s">
        <v>22</v>
      </c>
      <c r="H2499" t="s">
        <v>23</v>
      </c>
      <c r="I2499" t="s">
        <v>79</v>
      </c>
      <c r="J2499" t="s">
        <v>80</v>
      </c>
      <c r="K2499">
        <v>8</v>
      </c>
      <c r="L2499" s="2">
        <v>197.39</v>
      </c>
      <c r="M2499" s="3">
        <v>0</v>
      </c>
      <c r="N2499" s="2">
        <v>1579.12</v>
      </c>
      <c r="O2499" s="2">
        <v>1211.17</v>
      </c>
      <c r="P2499" s="2">
        <v>367.95</v>
      </c>
      <c r="Q2499" t="s">
        <v>34</v>
      </c>
    </row>
    <row r="2500" spans="1:17" x14ac:dyDescent="0.2">
      <c r="A2500" t="s">
        <v>2665</v>
      </c>
      <c r="B2500" s="1">
        <v>45966</v>
      </c>
      <c r="C2500" t="s">
        <v>77</v>
      </c>
      <c r="D2500" t="s">
        <v>106</v>
      </c>
      <c r="E2500" t="s">
        <v>107</v>
      </c>
      <c r="F2500" t="s">
        <v>138</v>
      </c>
      <c r="G2500" t="s">
        <v>54</v>
      </c>
      <c r="H2500" t="s">
        <v>31</v>
      </c>
      <c r="I2500" t="s">
        <v>32</v>
      </c>
      <c r="J2500" t="s">
        <v>104</v>
      </c>
      <c r="K2500">
        <v>3</v>
      </c>
      <c r="L2500" s="2">
        <v>1244.8599999999999</v>
      </c>
      <c r="M2500" s="3">
        <v>0.15</v>
      </c>
      <c r="N2500" s="2">
        <v>3174.39</v>
      </c>
      <c r="O2500" s="2">
        <v>2063.9699999999998</v>
      </c>
      <c r="P2500" s="2">
        <v>1110.42</v>
      </c>
      <c r="Q2500" t="s">
        <v>34</v>
      </c>
    </row>
    <row r="2501" spans="1:17" x14ac:dyDescent="0.2">
      <c r="A2501" t="s">
        <v>2666</v>
      </c>
      <c r="B2501" s="1">
        <v>45966</v>
      </c>
      <c r="C2501" t="s">
        <v>18</v>
      </c>
      <c r="D2501" t="s">
        <v>86</v>
      </c>
      <c r="E2501" t="s">
        <v>140</v>
      </c>
      <c r="F2501" t="s">
        <v>130</v>
      </c>
      <c r="G2501" t="s">
        <v>54</v>
      </c>
      <c r="H2501" t="s">
        <v>47</v>
      </c>
      <c r="I2501" t="s">
        <v>89</v>
      </c>
      <c r="J2501" t="s">
        <v>240</v>
      </c>
      <c r="K2501">
        <v>5</v>
      </c>
      <c r="L2501" s="2">
        <v>483.78</v>
      </c>
      <c r="M2501" s="3">
        <v>0.15</v>
      </c>
      <c r="N2501" s="2">
        <v>2056.06</v>
      </c>
      <c r="O2501" s="2">
        <v>1141.8399999999999</v>
      </c>
      <c r="P2501" s="2">
        <v>914.22</v>
      </c>
      <c r="Q2501" t="s">
        <v>61</v>
      </c>
    </row>
    <row r="2502" spans="1:17" x14ac:dyDescent="0.2">
      <c r="A2502" t="s">
        <v>2667</v>
      </c>
      <c r="B2502" s="1">
        <v>45966</v>
      </c>
      <c r="C2502" t="s">
        <v>36</v>
      </c>
      <c r="D2502" t="s">
        <v>73</v>
      </c>
      <c r="E2502" t="s">
        <v>247</v>
      </c>
      <c r="F2502" t="s">
        <v>39</v>
      </c>
      <c r="G2502" t="s">
        <v>54</v>
      </c>
      <c r="H2502" t="s">
        <v>31</v>
      </c>
      <c r="I2502" t="s">
        <v>40</v>
      </c>
      <c r="J2502" t="s">
        <v>216</v>
      </c>
      <c r="K2502">
        <v>8</v>
      </c>
      <c r="L2502" s="2">
        <v>102.86</v>
      </c>
      <c r="M2502" s="3">
        <v>0.05</v>
      </c>
      <c r="N2502" s="2">
        <v>781.74</v>
      </c>
      <c r="O2502" s="2">
        <v>636.80999999999995</v>
      </c>
      <c r="P2502" s="2">
        <v>144.93</v>
      </c>
      <c r="Q2502" t="s">
        <v>61</v>
      </c>
    </row>
    <row r="2503" spans="1:17" x14ac:dyDescent="0.2">
      <c r="A2503" t="s">
        <v>2668</v>
      </c>
      <c r="B2503" s="1">
        <v>45966</v>
      </c>
      <c r="C2503" t="s">
        <v>36</v>
      </c>
      <c r="D2503" t="s">
        <v>110</v>
      </c>
      <c r="E2503" t="s">
        <v>203</v>
      </c>
      <c r="F2503" t="s">
        <v>138</v>
      </c>
      <c r="G2503" t="s">
        <v>22</v>
      </c>
      <c r="H2503" t="s">
        <v>31</v>
      </c>
      <c r="I2503" t="s">
        <v>112</v>
      </c>
      <c r="J2503" t="s">
        <v>136</v>
      </c>
      <c r="K2503">
        <v>3</v>
      </c>
      <c r="L2503" s="2">
        <v>519.51</v>
      </c>
      <c r="M2503" s="3">
        <v>0.05</v>
      </c>
      <c r="N2503" s="2">
        <v>1480.6</v>
      </c>
      <c r="O2503" s="2">
        <v>1036.21</v>
      </c>
      <c r="P2503" s="2">
        <v>444.39</v>
      </c>
      <c r="Q2503" t="s">
        <v>34</v>
      </c>
    </row>
    <row r="2504" spans="1:17" x14ac:dyDescent="0.2">
      <c r="A2504" t="s">
        <v>2669</v>
      </c>
      <c r="B2504" s="1">
        <v>45966</v>
      </c>
      <c r="C2504" t="s">
        <v>77</v>
      </c>
      <c r="D2504" t="s">
        <v>149</v>
      </c>
      <c r="E2504" t="s">
        <v>309</v>
      </c>
      <c r="F2504" t="s">
        <v>21</v>
      </c>
      <c r="G2504" t="s">
        <v>75</v>
      </c>
      <c r="H2504" t="s">
        <v>31</v>
      </c>
      <c r="I2504" t="s">
        <v>64</v>
      </c>
      <c r="J2504" t="s">
        <v>65</v>
      </c>
      <c r="K2504">
        <v>8</v>
      </c>
      <c r="L2504" s="2">
        <v>169.77</v>
      </c>
      <c r="M2504" s="3">
        <v>0.1</v>
      </c>
      <c r="N2504" s="2">
        <v>1222.3399999999999</v>
      </c>
      <c r="O2504" s="2">
        <v>799.5</v>
      </c>
      <c r="P2504" s="2">
        <v>422.84</v>
      </c>
      <c r="Q2504" t="s">
        <v>61</v>
      </c>
    </row>
    <row r="2505" spans="1:17" x14ac:dyDescent="0.2">
      <c r="A2505" t="s">
        <v>2670</v>
      </c>
      <c r="B2505" s="1">
        <v>45966</v>
      </c>
      <c r="C2505" t="s">
        <v>36</v>
      </c>
      <c r="D2505" t="s">
        <v>73</v>
      </c>
      <c r="E2505" t="s">
        <v>74</v>
      </c>
      <c r="F2505" t="s">
        <v>53</v>
      </c>
      <c r="G2505" t="s">
        <v>22</v>
      </c>
      <c r="H2505" t="s">
        <v>31</v>
      </c>
      <c r="I2505" t="s">
        <v>64</v>
      </c>
      <c r="J2505" t="s">
        <v>252</v>
      </c>
      <c r="K2505">
        <v>9</v>
      </c>
      <c r="L2505" s="2">
        <v>93.16</v>
      </c>
      <c r="M2505" s="3">
        <v>0.05</v>
      </c>
      <c r="N2505" s="2">
        <v>796.52</v>
      </c>
      <c r="O2505" s="2">
        <v>469.67</v>
      </c>
      <c r="P2505" s="2">
        <v>326.85000000000002</v>
      </c>
      <c r="Q2505" t="s">
        <v>61</v>
      </c>
    </row>
    <row r="2506" spans="1:17" x14ac:dyDescent="0.2">
      <c r="A2506" t="s">
        <v>2671</v>
      </c>
      <c r="B2506" s="1">
        <v>45966</v>
      </c>
      <c r="C2506" t="s">
        <v>36</v>
      </c>
      <c r="D2506" t="s">
        <v>144</v>
      </c>
      <c r="E2506" t="s">
        <v>145</v>
      </c>
      <c r="F2506" t="s">
        <v>21</v>
      </c>
      <c r="G2506" t="s">
        <v>54</v>
      </c>
      <c r="H2506" t="s">
        <v>31</v>
      </c>
      <c r="I2506" t="s">
        <v>112</v>
      </c>
      <c r="J2506" t="s">
        <v>136</v>
      </c>
      <c r="K2506">
        <v>3</v>
      </c>
      <c r="L2506" s="2">
        <v>268.06</v>
      </c>
      <c r="M2506" s="3">
        <v>0.1</v>
      </c>
      <c r="N2506" s="2">
        <v>723.76</v>
      </c>
      <c r="O2506" s="2">
        <v>460.05</v>
      </c>
      <c r="P2506" s="2">
        <v>263.70999999999998</v>
      </c>
      <c r="Q2506" t="s">
        <v>57</v>
      </c>
    </row>
    <row r="2507" spans="1:17" x14ac:dyDescent="0.2">
      <c r="A2507" t="s">
        <v>2672</v>
      </c>
      <c r="B2507" s="1">
        <v>45966</v>
      </c>
      <c r="C2507" t="s">
        <v>43</v>
      </c>
      <c r="D2507" t="s">
        <v>44</v>
      </c>
      <c r="E2507" t="s">
        <v>45</v>
      </c>
      <c r="F2507" t="s">
        <v>69</v>
      </c>
      <c r="G2507" t="s">
        <v>54</v>
      </c>
      <c r="H2507" t="s">
        <v>23</v>
      </c>
      <c r="I2507" t="s">
        <v>83</v>
      </c>
      <c r="J2507" t="s">
        <v>131</v>
      </c>
      <c r="K2507">
        <v>2</v>
      </c>
      <c r="L2507" s="2">
        <v>31.23</v>
      </c>
      <c r="M2507" s="3">
        <v>0.05</v>
      </c>
      <c r="N2507" s="2">
        <v>59.34</v>
      </c>
      <c r="O2507" s="2">
        <v>44.44</v>
      </c>
      <c r="P2507" s="2">
        <v>14.9</v>
      </c>
      <c r="Q2507" t="s">
        <v>26</v>
      </c>
    </row>
    <row r="2508" spans="1:17" x14ac:dyDescent="0.2">
      <c r="A2508" t="s">
        <v>2673</v>
      </c>
      <c r="B2508" s="1">
        <v>45966</v>
      </c>
      <c r="C2508" t="s">
        <v>77</v>
      </c>
      <c r="D2508" t="s">
        <v>128</v>
      </c>
      <c r="E2508" t="s">
        <v>159</v>
      </c>
      <c r="F2508" t="s">
        <v>21</v>
      </c>
      <c r="G2508" t="s">
        <v>75</v>
      </c>
      <c r="H2508" t="s">
        <v>31</v>
      </c>
      <c r="I2508" t="s">
        <v>32</v>
      </c>
      <c r="J2508" t="s">
        <v>258</v>
      </c>
      <c r="K2508">
        <v>6</v>
      </c>
      <c r="L2508" s="2">
        <v>1776.89</v>
      </c>
      <c r="M2508" s="3">
        <v>0</v>
      </c>
      <c r="N2508" s="2">
        <v>10661.34</v>
      </c>
      <c r="O2508" s="2">
        <v>8442.2199999999993</v>
      </c>
      <c r="P2508" s="2">
        <v>2219.12</v>
      </c>
      <c r="Q2508" t="s">
        <v>26</v>
      </c>
    </row>
    <row r="2509" spans="1:17" x14ac:dyDescent="0.2">
      <c r="A2509" t="s">
        <v>2674</v>
      </c>
      <c r="B2509" s="1">
        <v>45967</v>
      </c>
      <c r="C2509" t="s">
        <v>43</v>
      </c>
      <c r="D2509" t="s">
        <v>51</v>
      </c>
      <c r="E2509" t="s">
        <v>52</v>
      </c>
      <c r="F2509" t="s">
        <v>69</v>
      </c>
      <c r="G2509" t="s">
        <v>75</v>
      </c>
      <c r="H2509" t="s">
        <v>23</v>
      </c>
      <c r="I2509" t="s">
        <v>24</v>
      </c>
      <c r="J2509" t="s">
        <v>108</v>
      </c>
      <c r="K2509">
        <v>7</v>
      </c>
      <c r="L2509" s="2">
        <v>27.6</v>
      </c>
      <c r="M2509" s="3">
        <v>0.1</v>
      </c>
      <c r="N2509" s="2">
        <v>173.88</v>
      </c>
      <c r="O2509" s="2">
        <v>121.15</v>
      </c>
      <c r="P2509" s="2">
        <v>52.73</v>
      </c>
      <c r="Q2509" t="s">
        <v>61</v>
      </c>
    </row>
    <row r="2510" spans="1:17" x14ac:dyDescent="0.2">
      <c r="A2510" t="s">
        <v>2675</v>
      </c>
      <c r="B2510" s="1">
        <v>45967</v>
      </c>
      <c r="C2510" t="s">
        <v>77</v>
      </c>
      <c r="D2510" t="s">
        <v>95</v>
      </c>
      <c r="E2510" t="s">
        <v>300</v>
      </c>
      <c r="F2510" t="s">
        <v>60</v>
      </c>
      <c r="G2510" t="s">
        <v>22</v>
      </c>
      <c r="H2510" t="s">
        <v>23</v>
      </c>
      <c r="I2510" t="s">
        <v>83</v>
      </c>
      <c r="J2510" t="s">
        <v>84</v>
      </c>
      <c r="K2510">
        <v>3</v>
      </c>
      <c r="L2510" s="2">
        <v>25.02</v>
      </c>
      <c r="M2510" s="3">
        <v>0.1</v>
      </c>
      <c r="N2510" s="2">
        <v>67.55</v>
      </c>
      <c r="O2510" s="2">
        <v>38.299999999999997</v>
      </c>
      <c r="P2510" s="2">
        <v>29.25</v>
      </c>
      <c r="Q2510" t="s">
        <v>61</v>
      </c>
    </row>
    <row r="2511" spans="1:17" x14ac:dyDescent="0.2">
      <c r="A2511" t="s">
        <v>2676</v>
      </c>
      <c r="B2511" s="1">
        <v>45967</v>
      </c>
      <c r="C2511" t="s">
        <v>77</v>
      </c>
      <c r="D2511" t="s">
        <v>128</v>
      </c>
      <c r="E2511" t="s">
        <v>155</v>
      </c>
      <c r="F2511" t="s">
        <v>138</v>
      </c>
      <c r="G2511" t="s">
        <v>22</v>
      </c>
      <c r="H2511" t="s">
        <v>31</v>
      </c>
      <c r="I2511" t="s">
        <v>40</v>
      </c>
      <c r="J2511" t="s">
        <v>216</v>
      </c>
      <c r="K2511">
        <v>9</v>
      </c>
      <c r="L2511" s="2">
        <v>51.5</v>
      </c>
      <c r="M2511" s="3">
        <v>0</v>
      </c>
      <c r="N2511" s="2">
        <v>463.5</v>
      </c>
      <c r="O2511" s="2">
        <v>354.49</v>
      </c>
      <c r="P2511" s="2">
        <v>109.01</v>
      </c>
      <c r="Q2511" t="s">
        <v>57</v>
      </c>
    </row>
    <row r="2512" spans="1:17" x14ac:dyDescent="0.2">
      <c r="A2512" t="s">
        <v>2677</v>
      </c>
      <c r="B2512" s="1">
        <v>45967</v>
      </c>
      <c r="C2512" t="s">
        <v>36</v>
      </c>
      <c r="D2512" t="s">
        <v>67</v>
      </c>
      <c r="E2512" t="s">
        <v>323</v>
      </c>
      <c r="F2512" t="s">
        <v>39</v>
      </c>
      <c r="G2512" t="s">
        <v>22</v>
      </c>
      <c r="H2512" t="s">
        <v>23</v>
      </c>
      <c r="I2512" t="s">
        <v>55</v>
      </c>
      <c r="J2512" t="s">
        <v>173</v>
      </c>
      <c r="K2512">
        <v>1</v>
      </c>
      <c r="L2512" s="2">
        <v>11.07</v>
      </c>
      <c r="M2512" s="3">
        <v>0.05</v>
      </c>
      <c r="N2512" s="2">
        <v>10.52</v>
      </c>
      <c r="O2512" s="2">
        <v>6.72</v>
      </c>
      <c r="P2512" s="2">
        <v>3.8</v>
      </c>
      <c r="Q2512" t="s">
        <v>26</v>
      </c>
    </row>
    <row r="2513" spans="1:17" x14ac:dyDescent="0.2">
      <c r="A2513" t="s">
        <v>2678</v>
      </c>
      <c r="B2513" s="1">
        <v>45967</v>
      </c>
      <c r="C2513" t="s">
        <v>18</v>
      </c>
      <c r="D2513" t="s">
        <v>133</v>
      </c>
      <c r="E2513" t="s">
        <v>197</v>
      </c>
      <c r="F2513" t="s">
        <v>130</v>
      </c>
      <c r="G2513" t="s">
        <v>75</v>
      </c>
      <c r="H2513" t="s">
        <v>23</v>
      </c>
      <c r="I2513" t="s">
        <v>79</v>
      </c>
      <c r="J2513" t="s">
        <v>80</v>
      </c>
      <c r="K2513">
        <v>4</v>
      </c>
      <c r="L2513" s="2">
        <v>338.14</v>
      </c>
      <c r="M2513" s="3">
        <v>0.2</v>
      </c>
      <c r="N2513" s="2">
        <v>1082.05</v>
      </c>
      <c r="O2513" s="2">
        <v>846.56</v>
      </c>
      <c r="P2513" s="2">
        <v>235.49</v>
      </c>
      <c r="Q2513" t="s">
        <v>61</v>
      </c>
    </row>
    <row r="2514" spans="1:17" x14ac:dyDescent="0.2">
      <c r="A2514" t="s">
        <v>2679</v>
      </c>
      <c r="B2514" s="1">
        <v>45967</v>
      </c>
      <c r="C2514" t="s">
        <v>36</v>
      </c>
      <c r="D2514" t="s">
        <v>37</v>
      </c>
      <c r="E2514" t="s">
        <v>187</v>
      </c>
      <c r="F2514" t="s">
        <v>30</v>
      </c>
      <c r="G2514" t="s">
        <v>22</v>
      </c>
      <c r="H2514" t="s">
        <v>47</v>
      </c>
      <c r="I2514" t="s">
        <v>141</v>
      </c>
      <c r="J2514" t="s">
        <v>372</v>
      </c>
      <c r="K2514">
        <v>7</v>
      </c>
      <c r="L2514" s="2">
        <v>254.79</v>
      </c>
      <c r="M2514" s="3">
        <v>0.1</v>
      </c>
      <c r="N2514" s="2">
        <v>1605.18</v>
      </c>
      <c r="O2514" s="2">
        <v>1074.44</v>
      </c>
      <c r="P2514" s="2">
        <v>530.74</v>
      </c>
      <c r="Q2514" t="s">
        <v>34</v>
      </c>
    </row>
    <row r="2515" spans="1:17" x14ac:dyDescent="0.2">
      <c r="A2515" t="s">
        <v>2680</v>
      </c>
      <c r="B2515" s="1">
        <v>45968</v>
      </c>
      <c r="C2515" t="s">
        <v>43</v>
      </c>
      <c r="D2515" t="s">
        <v>51</v>
      </c>
      <c r="E2515" t="s">
        <v>52</v>
      </c>
      <c r="F2515" t="s">
        <v>39</v>
      </c>
      <c r="G2515" t="s">
        <v>22</v>
      </c>
      <c r="H2515" t="s">
        <v>31</v>
      </c>
      <c r="I2515" t="s">
        <v>112</v>
      </c>
      <c r="J2515" t="s">
        <v>136</v>
      </c>
      <c r="K2515">
        <v>9</v>
      </c>
      <c r="L2515" s="2">
        <v>366.96</v>
      </c>
      <c r="M2515" s="3">
        <v>0.15</v>
      </c>
      <c r="N2515" s="2">
        <v>2807.24</v>
      </c>
      <c r="O2515" s="2">
        <v>1812.92</v>
      </c>
      <c r="P2515" s="2">
        <v>994.32</v>
      </c>
      <c r="Q2515" t="s">
        <v>34</v>
      </c>
    </row>
    <row r="2516" spans="1:17" x14ac:dyDescent="0.2">
      <c r="A2516" t="s">
        <v>2681</v>
      </c>
      <c r="B2516" s="1">
        <v>45968</v>
      </c>
      <c r="C2516" t="s">
        <v>77</v>
      </c>
      <c r="D2516" t="s">
        <v>128</v>
      </c>
      <c r="E2516" t="s">
        <v>159</v>
      </c>
      <c r="F2516" t="s">
        <v>138</v>
      </c>
      <c r="G2516" t="s">
        <v>75</v>
      </c>
      <c r="H2516" t="s">
        <v>31</v>
      </c>
      <c r="I2516" t="s">
        <v>32</v>
      </c>
      <c r="J2516" t="s">
        <v>104</v>
      </c>
      <c r="K2516">
        <v>6</v>
      </c>
      <c r="L2516" s="2">
        <v>1664.39</v>
      </c>
      <c r="M2516" s="3">
        <v>0.15</v>
      </c>
      <c r="N2516" s="2">
        <v>8488.39</v>
      </c>
      <c r="O2516" s="2">
        <v>6545.43</v>
      </c>
      <c r="P2516" s="2">
        <v>1942.96</v>
      </c>
      <c r="Q2516" t="s">
        <v>57</v>
      </c>
    </row>
    <row r="2517" spans="1:17" x14ac:dyDescent="0.2">
      <c r="A2517" t="s">
        <v>2682</v>
      </c>
      <c r="B2517" s="1">
        <v>45968</v>
      </c>
      <c r="C2517" t="s">
        <v>36</v>
      </c>
      <c r="D2517" t="s">
        <v>110</v>
      </c>
      <c r="E2517" t="s">
        <v>115</v>
      </c>
      <c r="F2517" t="s">
        <v>130</v>
      </c>
      <c r="G2517" t="s">
        <v>22</v>
      </c>
      <c r="H2517" t="s">
        <v>47</v>
      </c>
      <c r="I2517" t="s">
        <v>141</v>
      </c>
      <c r="J2517" t="s">
        <v>142</v>
      </c>
      <c r="K2517">
        <v>1</v>
      </c>
      <c r="L2517" s="2">
        <v>295.45</v>
      </c>
      <c r="M2517" s="3">
        <v>0.05</v>
      </c>
      <c r="N2517" s="2">
        <v>280.68</v>
      </c>
      <c r="O2517" s="2">
        <v>172.81</v>
      </c>
      <c r="P2517" s="2">
        <v>107.87</v>
      </c>
      <c r="Q2517" t="s">
        <v>34</v>
      </c>
    </row>
    <row r="2518" spans="1:17" x14ac:dyDescent="0.2">
      <c r="A2518" t="s">
        <v>2683</v>
      </c>
      <c r="B2518" s="1">
        <v>45968</v>
      </c>
      <c r="C2518" t="s">
        <v>18</v>
      </c>
      <c r="D2518" t="s">
        <v>86</v>
      </c>
      <c r="E2518" t="s">
        <v>92</v>
      </c>
      <c r="F2518" t="s">
        <v>60</v>
      </c>
      <c r="G2518" t="s">
        <v>54</v>
      </c>
      <c r="H2518" t="s">
        <v>23</v>
      </c>
      <c r="I2518" t="s">
        <v>55</v>
      </c>
      <c r="J2518" t="s">
        <v>56</v>
      </c>
      <c r="K2518">
        <v>8</v>
      </c>
      <c r="L2518" s="2">
        <v>12.72</v>
      </c>
      <c r="M2518" s="3">
        <v>0.05</v>
      </c>
      <c r="N2518" s="2">
        <v>96.67</v>
      </c>
      <c r="O2518" s="2">
        <v>56.25</v>
      </c>
      <c r="P2518" s="2">
        <v>40.42</v>
      </c>
      <c r="Q2518" t="s">
        <v>57</v>
      </c>
    </row>
    <row r="2519" spans="1:17" x14ac:dyDescent="0.2">
      <c r="A2519" t="s">
        <v>2684</v>
      </c>
      <c r="B2519" s="1">
        <v>45968</v>
      </c>
      <c r="C2519" t="s">
        <v>77</v>
      </c>
      <c r="D2519" t="s">
        <v>95</v>
      </c>
      <c r="E2519" t="s">
        <v>96</v>
      </c>
      <c r="F2519" t="s">
        <v>138</v>
      </c>
      <c r="G2519" t="s">
        <v>22</v>
      </c>
      <c r="H2519" t="s">
        <v>23</v>
      </c>
      <c r="I2519" t="s">
        <v>83</v>
      </c>
      <c r="J2519" t="s">
        <v>120</v>
      </c>
      <c r="K2519">
        <v>8</v>
      </c>
      <c r="L2519" s="2">
        <v>15.53</v>
      </c>
      <c r="M2519" s="3">
        <v>0.15</v>
      </c>
      <c r="N2519" s="2">
        <v>105.6</v>
      </c>
      <c r="O2519" s="2">
        <v>59.54</v>
      </c>
      <c r="P2519" s="2">
        <v>46.06</v>
      </c>
      <c r="Q2519" t="s">
        <v>26</v>
      </c>
    </row>
    <row r="2520" spans="1:17" x14ac:dyDescent="0.2">
      <c r="A2520" t="s">
        <v>2685</v>
      </c>
      <c r="B2520" s="1">
        <v>45968</v>
      </c>
      <c r="C2520" t="s">
        <v>77</v>
      </c>
      <c r="D2520" t="s">
        <v>78</v>
      </c>
      <c r="E2520" t="s">
        <v>52</v>
      </c>
      <c r="F2520" t="s">
        <v>60</v>
      </c>
      <c r="G2520" t="s">
        <v>75</v>
      </c>
      <c r="H2520" t="s">
        <v>23</v>
      </c>
      <c r="I2520" t="s">
        <v>55</v>
      </c>
      <c r="J2520" t="s">
        <v>102</v>
      </c>
      <c r="K2520">
        <v>10</v>
      </c>
      <c r="L2520" s="2">
        <v>22.38</v>
      </c>
      <c r="M2520" s="3">
        <v>0.15</v>
      </c>
      <c r="N2520" s="2">
        <v>190.23</v>
      </c>
      <c r="O2520" s="2">
        <v>149.21</v>
      </c>
      <c r="P2520" s="2">
        <v>41.02</v>
      </c>
      <c r="Q2520" t="s">
        <v>61</v>
      </c>
    </row>
    <row r="2521" spans="1:17" x14ac:dyDescent="0.2">
      <c r="A2521" t="s">
        <v>2686</v>
      </c>
      <c r="B2521" s="1">
        <v>45968</v>
      </c>
      <c r="C2521" t="s">
        <v>77</v>
      </c>
      <c r="D2521" t="s">
        <v>106</v>
      </c>
      <c r="E2521" t="s">
        <v>107</v>
      </c>
      <c r="F2521" t="s">
        <v>60</v>
      </c>
      <c r="G2521" t="s">
        <v>22</v>
      </c>
      <c r="H2521" t="s">
        <v>23</v>
      </c>
      <c r="I2521" t="s">
        <v>83</v>
      </c>
      <c r="J2521" t="s">
        <v>84</v>
      </c>
      <c r="K2521">
        <v>9</v>
      </c>
      <c r="L2521" s="2">
        <v>13.71</v>
      </c>
      <c r="M2521" s="3">
        <v>0.1</v>
      </c>
      <c r="N2521" s="2">
        <v>111.05</v>
      </c>
      <c r="O2521" s="2">
        <v>62.37</v>
      </c>
      <c r="P2521" s="2">
        <v>48.68</v>
      </c>
      <c r="Q2521" t="s">
        <v>34</v>
      </c>
    </row>
    <row r="2522" spans="1:17" x14ac:dyDescent="0.2">
      <c r="A2522" t="s">
        <v>2687</v>
      </c>
      <c r="B2522" s="1">
        <v>45968</v>
      </c>
      <c r="C2522" t="s">
        <v>36</v>
      </c>
      <c r="D2522" t="s">
        <v>67</v>
      </c>
      <c r="E2522" t="s">
        <v>68</v>
      </c>
      <c r="F2522" t="s">
        <v>46</v>
      </c>
      <c r="G2522" t="s">
        <v>54</v>
      </c>
      <c r="H2522" t="s">
        <v>23</v>
      </c>
      <c r="I2522" t="s">
        <v>79</v>
      </c>
      <c r="J2522" t="s">
        <v>80</v>
      </c>
      <c r="K2522">
        <v>10</v>
      </c>
      <c r="L2522" s="2">
        <v>362.34</v>
      </c>
      <c r="M2522" s="3">
        <v>0.15</v>
      </c>
      <c r="N2522" s="2">
        <v>3079.89</v>
      </c>
      <c r="O2522" s="2">
        <v>1973.6</v>
      </c>
      <c r="P2522" s="2">
        <v>1106.29</v>
      </c>
      <c r="Q2522" t="s">
        <v>26</v>
      </c>
    </row>
    <row r="2523" spans="1:17" x14ac:dyDescent="0.2">
      <c r="A2523" t="s">
        <v>2688</v>
      </c>
      <c r="B2523" s="1">
        <v>45968</v>
      </c>
      <c r="C2523" t="s">
        <v>18</v>
      </c>
      <c r="D2523" t="s">
        <v>28</v>
      </c>
      <c r="E2523" t="s">
        <v>157</v>
      </c>
      <c r="F2523" t="s">
        <v>46</v>
      </c>
      <c r="G2523" t="s">
        <v>22</v>
      </c>
      <c r="H2523" t="s">
        <v>23</v>
      </c>
      <c r="I2523" t="s">
        <v>79</v>
      </c>
      <c r="J2523" t="s">
        <v>179</v>
      </c>
      <c r="K2523">
        <v>8</v>
      </c>
      <c r="L2523" s="2">
        <v>499.47</v>
      </c>
      <c r="M2523" s="3">
        <v>0</v>
      </c>
      <c r="N2523" s="2">
        <v>3995.76</v>
      </c>
      <c r="O2523" s="2">
        <v>3020.84</v>
      </c>
      <c r="P2523" s="2">
        <v>974.92</v>
      </c>
      <c r="Q2523" t="s">
        <v>57</v>
      </c>
    </row>
    <row r="2524" spans="1:17" x14ac:dyDescent="0.2">
      <c r="A2524" t="s">
        <v>2689</v>
      </c>
      <c r="B2524" s="1">
        <v>45968</v>
      </c>
      <c r="C2524" t="s">
        <v>77</v>
      </c>
      <c r="D2524" t="s">
        <v>128</v>
      </c>
      <c r="E2524" t="s">
        <v>155</v>
      </c>
      <c r="F2524" t="s">
        <v>53</v>
      </c>
      <c r="G2524" t="s">
        <v>22</v>
      </c>
      <c r="H2524" t="s">
        <v>31</v>
      </c>
      <c r="I2524" t="s">
        <v>40</v>
      </c>
      <c r="J2524" t="s">
        <v>41</v>
      </c>
      <c r="K2524">
        <v>8</v>
      </c>
      <c r="L2524" s="2">
        <v>207.41</v>
      </c>
      <c r="M2524" s="3">
        <v>0.1</v>
      </c>
      <c r="N2524" s="2">
        <v>1493.35</v>
      </c>
      <c r="O2524" s="2">
        <v>847.37</v>
      </c>
      <c r="P2524" s="2">
        <v>645.98</v>
      </c>
      <c r="Q2524" t="s">
        <v>61</v>
      </c>
    </row>
    <row r="2525" spans="1:17" x14ac:dyDescent="0.2">
      <c r="A2525" t="s">
        <v>2690</v>
      </c>
      <c r="B2525" s="1">
        <v>45968</v>
      </c>
      <c r="C2525" t="s">
        <v>18</v>
      </c>
      <c r="D2525" t="s">
        <v>152</v>
      </c>
      <c r="E2525" t="s">
        <v>153</v>
      </c>
      <c r="F2525" t="s">
        <v>130</v>
      </c>
      <c r="G2525" t="s">
        <v>75</v>
      </c>
      <c r="H2525" t="s">
        <v>31</v>
      </c>
      <c r="I2525" t="s">
        <v>32</v>
      </c>
      <c r="J2525" t="s">
        <v>104</v>
      </c>
      <c r="K2525">
        <v>9</v>
      </c>
      <c r="L2525" s="2">
        <v>1247.03</v>
      </c>
      <c r="M2525" s="3">
        <v>0</v>
      </c>
      <c r="N2525" s="2">
        <v>11223.27</v>
      </c>
      <c r="O2525" s="2">
        <v>7968.05</v>
      </c>
      <c r="P2525" s="2">
        <v>3255.22</v>
      </c>
      <c r="Q2525" t="s">
        <v>26</v>
      </c>
    </row>
    <row r="2526" spans="1:17" x14ac:dyDescent="0.2">
      <c r="A2526" t="s">
        <v>2691</v>
      </c>
      <c r="B2526" s="1">
        <v>45969</v>
      </c>
      <c r="C2526" t="s">
        <v>43</v>
      </c>
      <c r="D2526" t="s">
        <v>208</v>
      </c>
      <c r="E2526" t="s">
        <v>230</v>
      </c>
      <c r="F2526" t="s">
        <v>39</v>
      </c>
      <c r="G2526" t="s">
        <v>75</v>
      </c>
      <c r="H2526" t="s">
        <v>23</v>
      </c>
      <c r="I2526" t="s">
        <v>83</v>
      </c>
      <c r="J2526" t="s">
        <v>131</v>
      </c>
      <c r="K2526">
        <v>4</v>
      </c>
      <c r="L2526" s="2">
        <v>11.94</v>
      </c>
      <c r="M2526" s="3">
        <v>0</v>
      </c>
      <c r="N2526" s="2">
        <v>47.76</v>
      </c>
      <c r="O2526" s="2">
        <v>35.86</v>
      </c>
      <c r="P2526" s="2">
        <v>11.9</v>
      </c>
      <c r="Q2526" t="s">
        <v>57</v>
      </c>
    </row>
    <row r="2527" spans="1:17" x14ac:dyDescent="0.2">
      <c r="A2527" t="s">
        <v>2692</v>
      </c>
      <c r="B2527" s="1">
        <v>45969</v>
      </c>
      <c r="C2527" t="s">
        <v>43</v>
      </c>
      <c r="D2527" t="s">
        <v>51</v>
      </c>
      <c r="E2527" t="s">
        <v>63</v>
      </c>
      <c r="F2527" t="s">
        <v>60</v>
      </c>
      <c r="G2527" t="s">
        <v>54</v>
      </c>
      <c r="H2527" t="s">
        <v>23</v>
      </c>
      <c r="I2527" t="s">
        <v>55</v>
      </c>
      <c r="J2527" t="s">
        <v>173</v>
      </c>
      <c r="K2527">
        <v>3</v>
      </c>
      <c r="L2527" s="2">
        <v>7.32</v>
      </c>
      <c r="M2527" s="3">
        <v>0</v>
      </c>
      <c r="N2527" s="2">
        <v>21.96</v>
      </c>
      <c r="O2527" s="2">
        <v>15.23</v>
      </c>
      <c r="P2527" s="2">
        <v>6.73</v>
      </c>
      <c r="Q2527" t="s">
        <v>57</v>
      </c>
    </row>
    <row r="2528" spans="1:17" x14ac:dyDescent="0.2">
      <c r="A2528" t="s">
        <v>2693</v>
      </c>
      <c r="B2528" s="1">
        <v>45969</v>
      </c>
      <c r="C2528" t="s">
        <v>18</v>
      </c>
      <c r="D2528" t="s">
        <v>86</v>
      </c>
      <c r="E2528" t="s">
        <v>87</v>
      </c>
      <c r="F2528" t="s">
        <v>30</v>
      </c>
      <c r="G2528" t="s">
        <v>75</v>
      </c>
      <c r="H2528" t="s">
        <v>23</v>
      </c>
      <c r="I2528" t="s">
        <v>83</v>
      </c>
      <c r="J2528" t="s">
        <v>120</v>
      </c>
      <c r="K2528">
        <v>6</v>
      </c>
      <c r="L2528" s="2">
        <v>31.47</v>
      </c>
      <c r="M2528" s="3">
        <v>0.2</v>
      </c>
      <c r="N2528" s="2">
        <v>151.06</v>
      </c>
      <c r="O2528" s="2">
        <v>99.9</v>
      </c>
      <c r="P2528" s="2">
        <v>51.16</v>
      </c>
      <c r="Q2528" t="s">
        <v>57</v>
      </c>
    </row>
    <row r="2529" spans="1:17" x14ac:dyDescent="0.2">
      <c r="A2529" t="s">
        <v>2694</v>
      </c>
      <c r="B2529" s="1">
        <v>45969</v>
      </c>
      <c r="C2529" t="s">
        <v>43</v>
      </c>
      <c r="D2529" t="s">
        <v>208</v>
      </c>
      <c r="E2529" t="s">
        <v>209</v>
      </c>
      <c r="F2529" t="s">
        <v>53</v>
      </c>
      <c r="G2529" t="s">
        <v>22</v>
      </c>
      <c r="H2529" t="s">
        <v>47</v>
      </c>
      <c r="I2529" t="s">
        <v>97</v>
      </c>
      <c r="J2529" t="s">
        <v>116</v>
      </c>
      <c r="K2529">
        <v>8</v>
      </c>
      <c r="L2529" s="2">
        <v>201.37</v>
      </c>
      <c r="M2529" s="3">
        <v>0</v>
      </c>
      <c r="N2529" s="2">
        <v>1610.96</v>
      </c>
      <c r="O2529" s="2">
        <v>1219.8599999999999</v>
      </c>
      <c r="P2529" s="2">
        <v>391.1</v>
      </c>
      <c r="Q2529" t="s">
        <v>57</v>
      </c>
    </row>
    <row r="2530" spans="1:17" x14ac:dyDescent="0.2">
      <c r="A2530" t="s">
        <v>2695</v>
      </c>
      <c r="B2530" s="1">
        <v>45969</v>
      </c>
      <c r="C2530" t="s">
        <v>43</v>
      </c>
      <c r="D2530" t="s">
        <v>161</v>
      </c>
      <c r="E2530" t="s">
        <v>418</v>
      </c>
      <c r="F2530" t="s">
        <v>46</v>
      </c>
      <c r="G2530" t="s">
        <v>22</v>
      </c>
      <c r="H2530" t="s">
        <v>47</v>
      </c>
      <c r="I2530" t="s">
        <v>97</v>
      </c>
      <c r="J2530" t="s">
        <v>168</v>
      </c>
      <c r="K2530">
        <v>6</v>
      </c>
      <c r="L2530" s="2">
        <v>286.14999999999998</v>
      </c>
      <c r="M2530" s="3">
        <v>0.1</v>
      </c>
      <c r="N2530" s="2">
        <v>1545.21</v>
      </c>
      <c r="O2530" s="2">
        <v>1168.33</v>
      </c>
      <c r="P2530" s="2">
        <v>376.88</v>
      </c>
      <c r="Q2530" t="s">
        <v>61</v>
      </c>
    </row>
    <row r="2531" spans="1:17" x14ac:dyDescent="0.2">
      <c r="A2531" t="s">
        <v>2696</v>
      </c>
      <c r="B2531" s="1">
        <v>45969</v>
      </c>
      <c r="C2531" t="s">
        <v>43</v>
      </c>
      <c r="D2531" t="s">
        <v>51</v>
      </c>
      <c r="E2531" t="s">
        <v>63</v>
      </c>
      <c r="F2531" t="s">
        <v>53</v>
      </c>
      <c r="G2531" t="s">
        <v>22</v>
      </c>
      <c r="H2531" t="s">
        <v>47</v>
      </c>
      <c r="I2531" t="s">
        <v>97</v>
      </c>
      <c r="J2531" t="s">
        <v>116</v>
      </c>
      <c r="K2531">
        <v>10</v>
      </c>
      <c r="L2531" s="2">
        <v>369.47</v>
      </c>
      <c r="M2531" s="3">
        <v>0.05</v>
      </c>
      <c r="N2531" s="2">
        <v>3509.96</v>
      </c>
      <c r="O2531" s="2">
        <v>2016.38</v>
      </c>
      <c r="P2531" s="2">
        <v>1493.58</v>
      </c>
      <c r="Q2531" t="s">
        <v>57</v>
      </c>
    </row>
    <row r="2532" spans="1:17" x14ac:dyDescent="0.2">
      <c r="A2532" t="s">
        <v>2697</v>
      </c>
      <c r="B2532" s="1">
        <v>45969</v>
      </c>
      <c r="C2532" t="s">
        <v>43</v>
      </c>
      <c r="D2532" t="s">
        <v>244</v>
      </c>
      <c r="E2532" t="s">
        <v>300</v>
      </c>
      <c r="F2532" t="s">
        <v>60</v>
      </c>
      <c r="G2532" t="s">
        <v>75</v>
      </c>
      <c r="H2532" t="s">
        <v>23</v>
      </c>
      <c r="I2532" t="s">
        <v>24</v>
      </c>
      <c r="J2532" t="s">
        <v>220</v>
      </c>
      <c r="K2532">
        <v>1</v>
      </c>
      <c r="L2532" s="2">
        <v>12.25</v>
      </c>
      <c r="M2532" s="3">
        <v>0.05</v>
      </c>
      <c r="N2532" s="2">
        <v>11.64</v>
      </c>
      <c r="O2532" s="2">
        <v>7.53</v>
      </c>
      <c r="P2532" s="2">
        <v>4.1100000000000003</v>
      </c>
      <c r="Q2532" t="s">
        <v>34</v>
      </c>
    </row>
    <row r="2533" spans="1:17" x14ac:dyDescent="0.2">
      <c r="A2533" t="s">
        <v>2698</v>
      </c>
      <c r="B2533" s="1">
        <v>45969</v>
      </c>
      <c r="C2533" t="s">
        <v>77</v>
      </c>
      <c r="D2533" t="s">
        <v>128</v>
      </c>
      <c r="E2533" t="s">
        <v>159</v>
      </c>
      <c r="F2533" t="s">
        <v>138</v>
      </c>
      <c r="G2533" t="s">
        <v>75</v>
      </c>
      <c r="H2533" t="s">
        <v>31</v>
      </c>
      <c r="I2533" t="s">
        <v>32</v>
      </c>
      <c r="J2533" t="s">
        <v>33</v>
      </c>
      <c r="K2533">
        <v>7</v>
      </c>
      <c r="L2533" s="2">
        <v>819.75</v>
      </c>
      <c r="M2533" s="3">
        <v>0.2</v>
      </c>
      <c r="N2533" s="2">
        <v>4590.6000000000004</v>
      </c>
      <c r="O2533" s="2">
        <v>3562.02</v>
      </c>
      <c r="P2533" s="2">
        <v>1028.58</v>
      </c>
      <c r="Q2533" t="s">
        <v>26</v>
      </c>
    </row>
    <row r="2534" spans="1:17" x14ac:dyDescent="0.2">
      <c r="A2534" t="s">
        <v>2699</v>
      </c>
      <c r="B2534" s="1">
        <v>45969</v>
      </c>
      <c r="C2534" t="s">
        <v>77</v>
      </c>
      <c r="D2534" t="s">
        <v>95</v>
      </c>
      <c r="E2534" t="s">
        <v>300</v>
      </c>
      <c r="F2534" t="s">
        <v>60</v>
      </c>
      <c r="G2534" t="s">
        <v>54</v>
      </c>
      <c r="H2534" t="s">
        <v>47</v>
      </c>
      <c r="I2534" t="s">
        <v>48</v>
      </c>
      <c r="J2534" t="s">
        <v>164</v>
      </c>
      <c r="K2534">
        <v>4</v>
      </c>
      <c r="L2534" s="2">
        <v>318</v>
      </c>
      <c r="M2534" s="3">
        <v>0.05</v>
      </c>
      <c r="N2534" s="2">
        <v>1208.4000000000001</v>
      </c>
      <c r="O2534" s="2">
        <v>865.15</v>
      </c>
      <c r="P2534" s="2">
        <v>343.25</v>
      </c>
      <c r="Q2534" t="s">
        <v>61</v>
      </c>
    </row>
    <row r="2535" spans="1:17" x14ac:dyDescent="0.2">
      <c r="A2535" t="s">
        <v>2700</v>
      </c>
      <c r="B2535" s="1">
        <v>45969</v>
      </c>
      <c r="C2535" t="s">
        <v>36</v>
      </c>
      <c r="D2535" t="s">
        <v>110</v>
      </c>
      <c r="E2535" t="s">
        <v>111</v>
      </c>
      <c r="F2535" t="s">
        <v>69</v>
      </c>
      <c r="G2535" t="s">
        <v>75</v>
      </c>
      <c r="H2535" t="s">
        <v>31</v>
      </c>
      <c r="I2535" t="s">
        <v>112</v>
      </c>
      <c r="J2535" t="s">
        <v>136</v>
      </c>
      <c r="K2535">
        <v>10</v>
      </c>
      <c r="L2535" s="2">
        <v>651.62</v>
      </c>
      <c r="M2535" s="3">
        <v>0</v>
      </c>
      <c r="N2535" s="2">
        <v>6516.2</v>
      </c>
      <c r="O2535" s="2">
        <v>4758.9399999999996</v>
      </c>
      <c r="P2535" s="2">
        <v>1757.26</v>
      </c>
      <c r="Q2535" t="s">
        <v>61</v>
      </c>
    </row>
    <row r="2536" spans="1:17" x14ac:dyDescent="0.2">
      <c r="A2536" t="s">
        <v>2701</v>
      </c>
      <c r="B2536" s="1">
        <v>45969</v>
      </c>
      <c r="C2536" t="s">
        <v>18</v>
      </c>
      <c r="D2536" t="s">
        <v>19</v>
      </c>
      <c r="E2536" t="s">
        <v>100</v>
      </c>
      <c r="F2536" t="s">
        <v>138</v>
      </c>
      <c r="G2536" t="s">
        <v>22</v>
      </c>
      <c r="H2536" t="s">
        <v>47</v>
      </c>
      <c r="I2536" t="s">
        <v>97</v>
      </c>
      <c r="J2536" t="s">
        <v>168</v>
      </c>
      <c r="K2536">
        <v>2</v>
      </c>
      <c r="L2536" s="2">
        <v>233.54</v>
      </c>
      <c r="M2536" s="3">
        <v>0</v>
      </c>
      <c r="N2536" s="2">
        <v>467.08</v>
      </c>
      <c r="O2536" s="2">
        <v>258.07</v>
      </c>
      <c r="P2536" s="2">
        <v>209.01</v>
      </c>
      <c r="Q2536" t="s">
        <v>57</v>
      </c>
    </row>
    <row r="2537" spans="1:17" x14ac:dyDescent="0.2">
      <c r="A2537" t="s">
        <v>2702</v>
      </c>
      <c r="B2537" s="1">
        <v>45969</v>
      </c>
      <c r="C2537" t="s">
        <v>43</v>
      </c>
      <c r="D2537" t="s">
        <v>51</v>
      </c>
      <c r="E2537" t="s">
        <v>52</v>
      </c>
      <c r="F2537" t="s">
        <v>130</v>
      </c>
      <c r="G2537" t="s">
        <v>22</v>
      </c>
      <c r="H2537" t="s">
        <v>23</v>
      </c>
      <c r="I2537" t="s">
        <v>24</v>
      </c>
      <c r="J2537" t="s">
        <v>25</v>
      </c>
      <c r="K2537">
        <v>6</v>
      </c>
      <c r="L2537" s="2">
        <v>10.71</v>
      </c>
      <c r="M2537" s="3">
        <v>0.1</v>
      </c>
      <c r="N2537" s="2">
        <v>57.83</v>
      </c>
      <c r="O2537" s="2">
        <v>35.86</v>
      </c>
      <c r="P2537" s="2">
        <v>21.97</v>
      </c>
      <c r="Q2537" t="s">
        <v>34</v>
      </c>
    </row>
    <row r="2538" spans="1:17" x14ac:dyDescent="0.2">
      <c r="A2538" t="s">
        <v>2703</v>
      </c>
      <c r="B2538" s="1">
        <v>45969</v>
      </c>
      <c r="C2538" t="s">
        <v>36</v>
      </c>
      <c r="D2538" t="s">
        <v>110</v>
      </c>
      <c r="E2538" t="s">
        <v>115</v>
      </c>
      <c r="F2538" t="s">
        <v>138</v>
      </c>
      <c r="G2538" t="s">
        <v>22</v>
      </c>
      <c r="H2538" t="s">
        <v>47</v>
      </c>
      <c r="I2538" t="s">
        <v>97</v>
      </c>
      <c r="J2538" t="s">
        <v>116</v>
      </c>
      <c r="K2538">
        <v>10</v>
      </c>
      <c r="L2538" s="2">
        <v>327.54000000000002</v>
      </c>
      <c r="M2538" s="3">
        <v>0.05</v>
      </c>
      <c r="N2538" s="2">
        <v>3111.63</v>
      </c>
      <c r="O2538" s="2">
        <v>2123.5500000000002</v>
      </c>
      <c r="P2538" s="2">
        <v>988.08</v>
      </c>
      <c r="Q2538" t="s">
        <v>57</v>
      </c>
    </row>
    <row r="2539" spans="1:17" x14ac:dyDescent="0.2">
      <c r="A2539" t="s">
        <v>2704</v>
      </c>
      <c r="B2539" s="1">
        <v>45969</v>
      </c>
      <c r="C2539" t="s">
        <v>77</v>
      </c>
      <c r="D2539" t="s">
        <v>95</v>
      </c>
      <c r="E2539" t="s">
        <v>96</v>
      </c>
      <c r="F2539" t="s">
        <v>60</v>
      </c>
      <c r="G2539" t="s">
        <v>22</v>
      </c>
      <c r="H2539" t="s">
        <v>47</v>
      </c>
      <c r="I2539" t="s">
        <v>48</v>
      </c>
      <c r="J2539" t="s">
        <v>164</v>
      </c>
      <c r="K2539">
        <v>2</v>
      </c>
      <c r="L2539" s="2">
        <v>893.17</v>
      </c>
      <c r="M2539" s="3">
        <v>0.05</v>
      </c>
      <c r="N2539" s="2">
        <v>1697.02</v>
      </c>
      <c r="O2539" s="2">
        <v>1267.8499999999999</v>
      </c>
      <c r="P2539" s="2">
        <v>429.17</v>
      </c>
      <c r="Q2539" t="s">
        <v>26</v>
      </c>
    </row>
    <row r="2540" spans="1:17" x14ac:dyDescent="0.2">
      <c r="A2540" t="s">
        <v>2705</v>
      </c>
      <c r="B2540" s="1">
        <v>45969</v>
      </c>
      <c r="C2540" t="s">
        <v>77</v>
      </c>
      <c r="D2540" t="s">
        <v>95</v>
      </c>
      <c r="E2540" t="s">
        <v>300</v>
      </c>
      <c r="F2540" t="s">
        <v>39</v>
      </c>
      <c r="G2540" t="s">
        <v>54</v>
      </c>
      <c r="H2540" t="s">
        <v>47</v>
      </c>
      <c r="I2540" t="s">
        <v>141</v>
      </c>
      <c r="J2540" t="s">
        <v>201</v>
      </c>
      <c r="K2540">
        <v>6</v>
      </c>
      <c r="L2540" s="2">
        <v>154.54</v>
      </c>
      <c r="M2540" s="3">
        <v>0.1</v>
      </c>
      <c r="N2540" s="2">
        <v>834.52</v>
      </c>
      <c r="O2540" s="2">
        <v>536.14</v>
      </c>
      <c r="P2540" s="2">
        <v>298.38</v>
      </c>
      <c r="Q2540" t="s">
        <v>26</v>
      </c>
    </row>
    <row r="2541" spans="1:17" x14ac:dyDescent="0.2">
      <c r="A2541" t="s">
        <v>2706</v>
      </c>
      <c r="B2541" s="1">
        <v>45969</v>
      </c>
      <c r="C2541" t="s">
        <v>77</v>
      </c>
      <c r="D2541" t="s">
        <v>128</v>
      </c>
      <c r="E2541" t="s">
        <v>129</v>
      </c>
      <c r="F2541" t="s">
        <v>46</v>
      </c>
      <c r="G2541" t="s">
        <v>75</v>
      </c>
      <c r="H2541" t="s">
        <v>47</v>
      </c>
      <c r="I2541" t="s">
        <v>97</v>
      </c>
      <c r="J2541" t="s">
        <v>168</v>
      </c>
      <c r="K2541">
        <v>3</v>
      </c>
      <c r="L2541" s="2">
        <v>127.88</v>
      </c>
      <c r="M2541" s="3">
        <v>0.15</v>
      </c>
      <c r="N2541" s="2">
        <v>326.08999999999997</v>
      </c>
      <c r="O2541" s="2">
        <v>223.36</v>
      </c>
      <c r="P2541" s="2">
        <v>102.73</v>
      </c>
      <c r="Q2541" t="s">
        <v>61</v>
      </c>
    </row>
    <row r="2542" spans="1:17" x14ac:dyDescent="0.2">
      <c r="A2542" t="s">
        <v>2707</v>
      </c>
      <c r="B2542" s="1">
        <v>45970</v>
      </c>
      <c r="C2542" t="s">
        <v>36</v>
      </c>
      <c r="D2542" t="s">
        <v>144</v>
      </c>
      <c r="E2542" t="s">
        <v>214</v>
      </c>
      <c r="F2542" t="s">
        <v>39</v>
      </c>
      <c r="G2542" t="s">
        <v>22</v>
      </c>
      <c r="H2542" t="s">
        <v>31</v>
      </c>
      <c r="I2542" t="s">
        <v>32</v>
      </c>
      <c r="J2542" t="s">
        <v>104</v>
      </c>
      <c r="K2542">
        <v>4</v>
      </c>
      <c r="L2542" s="2">
        <v>1378.47</v>
      </c>
      <c r="M2542" s="3">
        <v>0.05</v>
      </c>
      <c r="N2542" s="2">
        <v>5238.1899999999996</v>
      </c>
      <c r="O2542" s="2">
        <v>3065.75</v>
      </c>
      <c r="P2542" s="2">
        <v>2172.44</v>
      </c>
      <c r="Q2542" t="s">
        <v>61</v>
      </c>
    </row>
    <row r="2543" spans="1:17" x14ac:dyDescent="0.2">
      <c r="A2543" t="s">
        <v>2708</v>
      </c>
      <c r="B2543" s="1">
        <v>45970</v>
      </c>
      <c r="C2543" t="s">
        <v>36</v>
      </c>
      <c r="D2543" t="s">
        <v>37</v>
      </c>
      <c r="E2543" t="s">
        <v>187</v>
      </c>
      <c r="F2543" t="s">
        <v>30</v>
      </c>
      <c r="G2543" t="s">
        <v>22</v>
      </c>
      <c r="H2543" t="s">
        <v>23</v>
      </c>
      <c r="I2543" t="s">
        <v>79</v>
      </c>
      <c r="J2543" t="s">
        <v>179</v>
      </c>
      <c r="K2543">
        <v>8</v>
      </c>
      <c r="L2543" s="2">
        <v>529.13</v>
      </c>
      <c r="M2543" s="3">
        <v>0.05</v>
      </c>
      <c r="N2543" s="2">
        <v>4021.39</v>
      </c>
      <c r="O2543" s="2">
        <v>3120.4</v>
      </c>
      <c r="P2543" s="2">
        <v>900.99</v>
      </c>
      <c r="Q2543" t="s">
        <v>34</v>
      </c>
    </row>
    <row r="2544" spans="1:17" x14ac:dyDescent="0.2">
      <c r="A2544" t="s">
        <v>2709</v>
      </c>
      <c r="B2544" s="1">
        <v>45970</v>
      </c>
      <c r="C2544" t="s">
        <v>43</v>
      </c>
      <c r="D2544" t="s">
        <v>161</v>
      </c>
      <c r="E2544" t="s">
        <v>418</v>
      </c>
      <c r="F2544" t="s">
        <v>130</v>
      </c>
      <c r="G2544" t="s">
        <v>22</v>
      </c>
      <c r="H2544" t="s">
        <v>31</v>
      </c>
      <c r="I2544" t="s">
        <v>32</v>
      </c>
      <c r="J2544" t="s">
        <v>104</v>
      </c>
      <c r="K2544">
        <v>3</v>
      </c>
      <c r="L2544" s="2">
        <v>1167.81</v>
      </c>
      <c r="M2544" s="3">
        <v>0.15</v>
      </c>
      <c r="N2544" s="2">
        <v>2977.92</v>
      </c>
      <c r="O2544" s="2">
        <v>2050.61</v>
      </c>
      <c r="P2544" s="2">
        <v>927.31</v>
      </c>
      <c r="Q2544" t="s">
        <v>34</v>
      </c>
    </row>
    <row r="2545" spans="1:17" x14ac:dyDescent="0.2">
      <c r="A2545" t="s">
        <v>2710</v>
      </c>
      <c r="B2545" s="1">
        <v>45970</v>
      </c>
      <c r="C2545" t="s">
        <v>77</v>
      </c>
      <c r="D2545" t="s">
        <v>149</v>
      </c>
      <c r="E2545" t="s">
        <v>150</v>
      </c>
      <c r="F2545" t="s">
        <v>30</v>
      </c>
      <c r="G2545" t="s">
        <v>22</v>
      </c>
      <c r="H2545" t="s">
        <v>47</v>
      </c>
      <c r="I2545" t="s">
        <v>89</v>
      </c>
      <c r="J2545" t="s">
        <v>240</v>
      </c>
      <c r="K2545">
        <v>8</v>
      </c>
      <c r="L2545" s="2">
        <v>255.06</v>
      </c>
      <c r="M2545" s="3">
        <v>0.05</v>
      </c>
      <c r="N2545" s="2">
        <v>1938.46</v>
      </c>
      <c r="O2545" s="2">
        <v>1507.54</v>
      </c>
      <c r="P2545" s="2">
        <v>430.92</v>
      </c>
      <c r="Q2545" t="s">
        <v>34</v>
      </c>
    </row>
    <row r="2546" spans="1:17" x14ac:dyDescent="0.2">
      <c r="A2546" t="s">
        <v>2711</v>
      </c>
      <c r="B2546" s="1">
        <v>45970</v>
      </c>
      <c r="C2546" t="s">
        <v>77</v>
      </c>
      <c r="D2546" t="s">
        <v>128</v>
      </c>
      <c r="E2546" t="s">
        <v>159</v>
      </c>
      <c r="F2546" t="s">
        <v>71</v>
      </c>
      <c r="G2546" t="s">
        <v>22</v>
      </c>
      <c r="H2546" t="s">
        <v>23</v>
      </c>
      <c r="I2546" t="s">
        <v>55</v>
      </c>
      <c r="J2546" t="s">
        <v>173</v>
      </c>
      <c r="K2546">
        <v>2</v>
      </c>
      <c r="L2546" s="2">
        <v>6.81</v>
      </c>
      <c r="M2546" s="3">
        <v>0.05</v>
      </c>
      <c r="N2546" s="2">
        <v>12.94</v>
      </c>
      <c r="O2546" s="2">
        <v>8.9600000000000009</v>
      </c>
      <c r="P2546" s="2">
        <v>3.98</v>
      </c>
      <c r="Q2546" t="s">
        <v>61</v>
      </c>
    </row>
    <row r="2547" spans="1:17" x14ac:dyDescent="0.2">
      <c r="A2547" t="s">
        <v>2712</v>
      </c>
      <c r="B2547" s="1">
        <v>45970</v>
      </c>
      <c r="C2547" t="s">
        <v>18</v>
      </c>
      <c r="D2547" t="s">
        <v>19</v>
      </c>
      <c r="E2547" t="s">
        <v>100</v>
      </c>
      <c r="F2547" t="s">
        <v>30</v>
      </c>
      <c r="G2547" t="s">
        <v>22</v>
      </c>
      <c r="H2547" t="s">
        <v>23</v>
      </c>
      <c r="I2547" t="s">
        <v>55</v>
      </c>
      <c r="J2547" t="s">
        <v>102</v>
      </c>
      <c r="K2547">
        <v>8</v>
      </c>
      <c r="L2547" s="2">
        <v>6.76</v>
      </c>
      <c r="M2547" s="3">
        <v>0</v>
      </c>
      <c r="N2547" s="2">
        <v>54.08</v>
      </c>
      <c r="O2547" s="2">
        <v>42.68</v>
      </c>
      <c r="P2547" s="2">
        <v>11.4</v>
      </c>
      <c r="Q2547" t="s">
        <v>26</v>
      </c>
    </row>
    <row r="2548" spans="1:17" x14ac:dyDescent="0.2">
      <c r="A2548" t="s">
        <v>2713</v>
      </c>
      <c r="B2548" s="1">
        <v>45971</v>
      </c>
      <c r="C2548" t="s">
        <v>36</v>
      </c>
      <c r="D2548" t="s">
        <v>73</v>
      </c>
      <c r="E2548" t="s">
        <v>247</v>
      </c>
      <c r="F2548" t="s">
        <v>46</v>
      </c>
      <c r="G2548" t="s">
        <v>54</v>
      </c>
      <c r="H2548" t="s">
        <v>31</v>
      </c>
      <c r="I2548" t="s">
        <v>40</v>
      </c>
      <c r="J2548" t="s">
        <v>216</v>
      </c>
      <c r="K2548">
        <v>4</v>
      </c>
      <c r="L2548" s="2">
        <v>135.44999999999999</v>
      </c>
      <c r="M2548" s="3">
        <v>0.15</v>
      </c>
      <c r="N2548" s="2">
        <v>460.53</v>
      </c>
      <c r="O2548" s="2">
        <v>302.89</v>
      </c>
      <c r="P2548" s="2">
        <v>157.63999999999999</v>
      </c>
      <c r="Q2548" t="s">
        <v>26</v>
      </c>
    </row>
    <row r="2549" spans="1:17" x14ac:dyDescent="0.2">
      <c r="A2549" t="s">
        <v>2714</v>
      </c>
      <c r="B2549" s="1">
        <v>45971</v>
      </c>
      <c r="C2549" t="s">
        <v>36</v>
      </c>
      <c r="D2549" t="s">
        <v>73</v>
      </c>
      <c r="E2549" t="s">
        <v>247</v>
      </c>
      <c r="F2549" t="s">
        <v>60</v>
      </c>
      <c r="G2549" t="s">
        <v>22</v>
      </c>
      <c r="H2549" t="s">
        <v>47</v>
      </c>
      <c r="I2549" t="s">
        <v>89</v>
      </c>
      <c r="J2549" t="s">
        <v>240</v>
      </c>
      <c r="K2549">
        <v>5</v>
      </c>
      <c r="L2549" s="2">
        <v>315.52</v>
      </c>
      <c r="M2549" s="3">
        <v>0</v>
      </c>
      <c r="N2549" s="2">
        <v>1577.6</v>
      </c>
      <c r="O2549" s="2">
        <v>932.54</v>
      </c>
      <c r="P2549" s="2">
        <v>645.05999999999995</v>
      </c>
      <c r="Q2549" t="s">
        <v>26</v>
      </c>
    </row>
    <row r="2550" spans="1:17" x14ac:dyDescent="0.2">
      <c r="A2550" t="s">
        <v>2715</v>
      </c>
      <c r="B2550" s="1">
        <v>45971</v>
      </c>
      <c r="C2550" t="s">
        <v>36</v>
      </c>
      <c r="D2550" t="s">
        <v>73</v>
      </c>
      <c r="E2550" t="s">
        <v>212</v>
      </c>
      <c r="F2550" t="s">
        <v>71</v>
      </c>
      <c r="G2550" t="s">
        <v>75</v>
      </c>
      <c r="H2550" t="s">
        <v>23</v>
      </c>
      <c r="I2550" t="s">
        <v>24</v>
      </c>
      <c r="J2550" t="s">
        <v>108</v>
      </c>
      <c r="K2550">
        <v>4</v>
      </c>
      <c r="L2550" s="2">
        <v>19.690000000000001</v>
      </c>
      <c r="M2550" s="3">
        <v>0.2</v>
      </c>
      <c r="N2550" s="2">
        <v>63.01</v>
      </c>
      <c r="O2550" s="2">
        <v>44.01</v>
      </c>
      <c r="P2550" s="2">
        <v>19</v>
      </c>
      <c r="Q2550" t="s">
        <v>61</v>
      </c>
    </row>
    <row r="2551" spans="1:17" x14ac:dyDescent="0.2">
      <c r="A2551" t="s">
        <v>2716</v>
      </c>
      <c r="B2551" s="1">
        <v>45971</v>
      </c>
      <c r="C2551" t="s">
        <v>43</v>
      </c>
      <c r="D2551" t="s">
        <v>208</v>
      </c>
      <c r="E2551" t="s">
        <v>287</v>
      </c>
      <c r="F2551" t="s">
        <v>69</v>
      </c>
      <c r="G2551" t="s">
        <v>22</v>
      </c>
      <c r="H2551" t="s">
        <v>31</v>
      </c>
      <c r="I2551" t="s">
        <v>64</v>
      </c>
      <c r="J2551" t="s">
        <v>126</v>
      </c>
      <c r="K2551">
        <v>9</v>
      </c>
      <c r="L2551" s="2">
        <v>145.84</v>
      </c>
      <c r="M2551" s="3">
        <v>0</v>
      </c>
      <c r="N2551" s="2">
        <v>1312.56</v>
      </c>
      <c r="O2551" s="2">
        <v>982.07</v>
      </c>
      <c r="P2551" s="2">
        <v>330.49</v>
      </c>
      <c r="Q2551" t="s">
        <v>57</v>
      </c>
    </row>
    <row r="2552" spans="1:17" x14ac:dyDescent="0.2">
      <c r="A2552" t="s">
        <v>2717</v>
      </c>
      <c r="B2552" s="1">
        <v>45971</v>
      </c>
      <c r="C2552" t="s">
        <v>43</v>
      </c>
      <c r="D2552" t="s">
        <v>44</v>
      </c>
      <c r="E2552" t="s">
        <v>147</v>
      </c>
      <c r="F2552" t="s">
        <v>60</v>
      </c>
      <c r="G2552" t="s">
        <v>54</v>
      </c>
      <c r="H2552" t="s">
        <v>31</v>
      </c>
      <c r="I2552" t="s">
        <v>112</v>
      </c>
      <c r="J2552" t="s">
        <v>176</v>
      </c>
      <c r="K2552">
        <v>9</v>
      </c>
      <c r="L2552" s="2">
        <v>548.59</v>
      </c>
      <c r="M2552" s="3">
        <v>0</v>
      </c>
      <c r="N2552" s="2">
        <v>4937.3100000000004</v>
      </c>
      <c r="O2552" s="2">
        <v>3680</v>
      </c>
      <c r="P2552" s="2">
        <v>1257.31</v>
      </c>
      <c r="Q2552" t="s">
        <v>26</v>
      </c>
    </row>
    <row r="2553" spans="1:17" x14ac:dyDescent="0.2">
      <c r="A2553" t="s">
        <v>2718</v>
      </c>
      <c r="B2553" s="1">
        <v>45971</v>
      </c>
      <c r="C2553" t="s">
        <v>18</v>
      </c>
      <c r="D2553" t="s">
        <v>28</v>
      </c>
      <c r="E2553" t="s">
        <v>157</v>
      </c>
      <c r="F2553" t="s">
        <v>130</v>
      </c>
      <c r="G2553" t="s">
        <v>75</v>
      </c>
      <c r="H2553" t="s">
        <v>31</v>
      </c>
      <c r="I2553" t="s">
        <v>112</v>
      </c>
      <c r="J2553" t="s">
        <v>136</v>
      </c>
      <c r="K2553">
        <v>6</v>
      </c>
      <c r="L2553" s="2">
        <v>550.82000000000005</v>
      </c>
      <c r="M2553" s="3">
        <v>0.05</v>
      </c>
      <c r="N2553" s="2">
        <v>3139.67</v>
      </c>
      <c r="O2553" s="2">
        <v>2554.59</v>
      </c>
      <c r="P2553" s="2">
        <v>585.08000000000004</v>
      </c>
      <c r="Q2553" t="s">
        <v>26</v>
      </c>
    </row>
    <row r="2554" spans="1:17" x14ac:dyDescent="0.2">
      <c r="A2554" t="s">
        <v>2719</v>
      </c>
      <c r="B2554" s="1">
        <v>45971</v>
      </c>
      <c r="C2554" t="s">
        <v>36</v>
      </c>
      <c r="D2554" t="s">
        <v>110</v>
      </c>
      <c r="E2554" t="s">
        <v>203</v>
      </c>
      <c r="F2554" t="s">
        <v>39</v>
      </c>
      <c r="G2554" t="s">
        <v>75</v>
      </c>
      <c r="H2554" t="s">
        <v>31</v>
      </c>
      <c r="I2554" t="s">
        <v>112</v>
      </c>
      <c r="J2554" t="s">
        <v>176</v>
      </c>
      <c r="K2554">
        <v>1</v>
      </c>
      <c r="L2554" s="2">
        <v>520.98</v>
      </c>
      <c r="M2554" s="3">
        <v>0.05</v>
      </c>
      <c r="N2554" s="2">
        <v>494.93</v>
      </c>
      <c r="O2554" s="2">
        <v>385.07</v>
      </c>
      <c r="P2554" s="2">
        <v>109.86</v>
      </c>
      <c r="Q2554" t="s">
        <v>61</v>
      </c>
    </row>
    <row r="2555" spans="1:17" x14ac:dyDescent="0.2">
      <c r="A2555" t="s">
        <v>2720</v>
      </c>
      <c r="B2555" s="1">
        <v>45971</v>
      </c>
      <c r="C2555" t="s">
        <v>18</v>
      </c>
      <c r="D2555" t="s">
        <v>133</v>
      </c>
      <c r="E2555" t="s">
        <v>197</v>
      </c>
      <c r="F2555" t="s">
        <v>60</v>
      </c>
      <c r="G2555" t="s">
        <v>22</v>
      </c>
      <c r="H2555" t="s">
        <v>47</v>
      </c>
      <c r="I2555" t="s">
        <v>141</v>
      </c>
      <c r="J2555" t="s">
        <v>201</v>
      </c>
      <c r="K2555">
        <v>3</v>
      </c>
      <c r="L2555" s="2">
        <v>157.38999999999999</v>
      </c>
      <c r="M2555" s="3">
        <v>0.05</v>
      </c>
      <c r="N2555" s="2">
        <v>448.56</v>
      </c>
      <c r="O2555" s="2">
        <v>247.55</v>
      </c>
      <c r="P2555" s="2">
        <v>201.01</v>
      </c>
      <c r="Q2555" t="s">
        <v>26</v>
      </c>
    </row>
    <row r="2556" spans="1:17" x14ac:dyDescent="0.2">
      <c r="A2556" t="s">
        <v>2721</v>
      </c>
      <c r="B2556" s="1">
        <v>45972</v>
      </c>
      <c r="C2556" t="s">
        <v>18</v>
      </c>
      <c r="D2556" t="s">
        <v>86</v>
      </c>
      <c r="E2556" t="s">
        <v>92</v>
      </c>
      <c r="F2556" t="s">
        <v>130</v>
      </c>
      <c r="G2556" t="s">
        <v>54</v>
      </c>
      <c r="H2556" t="s">
        <v>31</v>
      </c>
      <c r="I2556" t="s">
        <v>40</v>
      </c>
      <c r="J2556" t="s">
        <v>122</v>
      </c>
      <c r="K2556">
        <v>6</v>
      </c>
      <c r="L2556" s="2">
        <v>224.14</v>
      </c>
      <c r="M2556" s="3">
        <v>0.1</v>
      </c>
      <c r="N2556" s="2">
        <v>1210.3599999999999</v>
      </c>
      <c r="O2556" s="2">
        <v>917.02</v>
      </c>
      <c r="P2556" s="2">
        <v>293.33999999999997</v>
      </c>
      <c r="Q2556" t="s">
        <v>57</v>
      </c>
    </row>
    <row r="2557" spans="1:17" x14ac:dyDescent="0.2">
      <c r="A2557" t="s">
        <v>2722</v>
      </c>
      <c r="B2557" s="1">
        <v>45972</v>
      </c>
      <c r="C2557" t="s">
        <v>77</v>
      </c>
      <c r="D2557" t="s">
        <v>106</v>
      </c>
      <c r="E2557" t="s">
        <v>236</v>
      </c>
      <c r="F2557" t="s">
        <v>130</v>
      </c>
      <c r="G2557" t="s">
        <v>54</v>
      </c>
      <c r="H2557" t="s">
        <v>23</v>
      </c>
      <c r="I2557" t="s">
        <v>79</v>
      </c>
      <c r="J2557" t="s">
        <v>233</v>
      </c>
      <c r="K2557">
        <v>10</v>
      </c>
      <c r="L2557" s="2">
        <v>411.73</v>
      </c>
      <c r="M2557" s="3">
        <v>0.05</v>
      </c>
      <c r="N2557" s="2">
        <v>3911.44</v>
      </c>
      <c r="O2557" s="2">
        <v>2704.51</v>
      </c>
      <c r="P2557" s="2">
        <v>1206.93</v>
      </c>
      <c r="Q2557" t="s">
        <v>34</v>
      </c>
    </row>
    <row r="2558" spans="1:17" x14ac:dyDescent="0.2">
      <c r="A2558" t="s">
        <v>2723</v>
      </c>
      <c r="B2558" s="1">
        <v>45972</v>
      </c>
      <c r="C2558" t="s">
        <v>43</v>
      </c>
      <c r="D2558" t="s">
        <v>51</v>
      </c>
      <c r="E2558" t="s">
        <v>52</v>
      </c>
      <c r="F2558" t="s">
        <v>69</v>
      </c>
      <c r="G2558" t="s">
        <v>54</v>
      </c>
      <c r="H2558" t="s">
        <v>23</v>
      </c>
      <c r="I2558" t="s">
        <v>79</v>
      </c>
      <c r="J2558" t="s">
        <v>233</v>
      </c>
      <c r="K2558">
        <v>4</v>
      </c>
      <c r="L2558" s="2">
        <v>213.12</v>
      </c>
      <c r="M2558" s="3">
        <v>0.05</v>
      </c>
      <c r="N2558" s="2">
        <v>809.86</v>
      </c>
      <c r="O2558" s="2">
        <v>611.11</v>
      </c>
      <c r="P2558" s="2">
        <v>198.75</v>
      </c>
      <c r="Q2558" t="s">
        <v>34</v>
      </c>
    </row>
    <row r="2559" spans="1:17" x14ac:dyDescent="0.2">
      <c r="A2559" t="s">
        <v>2724</v>
      </c>
      <c r="B2559" s="1">
        <v>45972</v>
      </c>
      <c r="C2559" t="s">
        <v>77</v>
      </c>
      <c r="D2559" t="s">
        <v>78</v>
      </c>
      <c r="E2559" t="s">
        <v>295</v>
      </c>
      <c r="F2559" t="s">
        <v>69</v>
      </c>
      <c r="G2559" t="s">
        <v>54</v>
      </c>
      <c r="H2559" t="s">
        <v>31</v>
      </c>
      <c r="I2559" t="s">
        <v>112</v>
      </c>
      <c r="J2559" t="s">
        <v>176</v>
      </c>
      <c r="K2559">
        <v>2</v>
      </c>
      <c r="L2559" s="2">
        <v>549.91</v>
      </c>
      <c r="M2559" s="3">
        <v>0</v>
      </c>
      <c r="N2559" s="2">
        <v>1099.82</v>
      </c>
      <c r="O2559" s="2">
        <v>811.93</v>
      </c>
      <c r="P2559" s="2">
        <v>287.89</v>
      </c>
      <c r="Q2559" t="s">
        <v>61</v>
      </c>
    </row>
    <row r="2560" spans="1:17" x14ac:dyDescent="0.2">
      <c r="A2560" t="s">
        <v>2725</v>
      </c>
      <c r="B2560" s="1">
        <v>45972</v>
      </c>
      <c r="C2560" t="s">
        <v>36</v>
      </c>
      <c r="D2560" t="s">
        <v>67</v>
      </c>
      <c r="E2560" t="s">
        <v>68</v>
      </c>
      <c r="F2560" t="s">
        <v>60</v>
      </c>
      <c r="G2560" t="s">
        <v>22</v>
      </c>
      <c r="H2560" t="s">
        <v>23</v>
      </c>
      <c r="I2560" t="s">
        <v>24</v>
      </c>
      <c r="J2560" t="s">
        <v>108</v>
      </c>
      <c r="K2560">
        <v>1</v>
      </c>
      <c r="L2560" s="2">
        <v>15.05</v>
      </c>
      <c r="M2560" s="3">
        <v>0.2</v>
      </c>
      <c r="N2560" s="2">
        <v>12.04</v>
      </c>
      <c r="O2560" s="2">
        <v>8.52</v>
      </c>
      <c r="P2560" s="2">
        <v>3.52</v>
      </c>
      <c r="Q2560" t="s">
        <v>61</v>
      </c>
    </row>
    <row r="2561" spans="1:17" x14ac:dyDescent="0.2">
      <c r="A2561" t="s">
        <v>2726</v>
      </c>
      <c r="B2561" s="1">
        <v>45972</v>
      </c>
      <c r="C2561" t="s">
        <v>18</v>
      </c>
      <c r="D2561" t="s">
        <v>28</v>
      </c>
      <c r="E2561" t="s">
        <v>29</v>
      </c>
      <c r="F2561" t="s">
        <v>60</v>
      </c>
      <c r="G2561" t="s">
        <v>54</v>
      </c>
      <c r="H2561" t="s">
        <v>23</v>
      </c>
      <c r="I2561" t="s">
        <v>79</v>
      </c>
      <c r="J2561" t="s">
        <v>179</v>
      </c>
      <c r="K2561">
        <v>9</v>
      </c>
      <c r="L2561" s="2">
        <v>445.86</v>
      </c>
      <c r="M2561" s="3">
        <v>0.1</v>
      </c>
      <c r="N2561" s="2">
        <v>3611.47</v>
      </c>
      <c r="O2561" s="2">
        <v>2485.7399999999998</v>
      </c>
      <c r="P2561" s="2">
        <v>1125.73</v>
      </c>
      <c r="Q2561" t="s">
        <v>26</v>
      </c>
    </row>
    <row r="2562" spans="1:17" x14ac:dyDescent="0.2">
      <c r="A2562" t="s">
        <v>2727</v>
      </c>
      <c r="B2562" s="1">
        <v>45972</v>
      </c>
      <c r="C2562" t="s">
        <v>18</v>
      </c>
      <c r="D2562" t="s">
        <v>86</v>
      </c>
      <c r="E2562" t="s">
        <v>87</v>
      </c>
      <c r="F2562" t="s">
        <v>21</v>
      </c>
      <c r="G2562" t="s">
        <v>75</v>
      </c>
      <c r="H2562" t="s">
        <v>31</v>
      </c>
      <c r="I2562" t="s">
        <v>32</v>
      </c>
      <c r="J2562" t="s">
        <v>104</v>
      </c>
      <c r="K2562">
        <v>8</v>
      </c>
      <c r="L2562" s="2">
        <v>1742.82</v>
      </c>
      <c r="M2562" s="3">
        <v>0.1</v>
      </c>
      <c r="N2562" s="2">
        <v>12548.3</v>
      </c>
      <c r="O2562" s="2">
        <v>9779.8799999999992</v>
      </c>
      <c r="P2562" s="2">
        <v>2768.42</v>
      </c>
      <c r="Q2562" t="s">
        <v>26</v>
      </c>
    </row>
    <row r="2563" spans="1:17" x14ac:dyDescent="0.2">
      <c r="A2563" t="s">
        <v>2728</v>
      </c>
      <c r="B2563" s="1">
        <v>45973</v>
      </c>
      <c r="C2563" t="s">
        <v>36</v>
      </c>
      <c r="D2563" t="s">
        <v>144</v>
      </c>
      <c r="E2563" t="s">
        <v>214</v>
      </c>
      <c r="F2563" t="s">
        <v>21</v>
      </c>
      <c r="G2563" t="s">
        <v>75</v>
      </c>
      <c r="H2563" t="s">
        <v>47</v>
      </c>
      <c r="I2563" t="s">
        <v>97</v>
      </c>
      <c r="J2563" t="s">
        <v>98</v>
      </c>
      <c r="K2563">
        <v>3</v>
      </c>
      <c r="L2563" s="2">
        <v>135.63999999999999</v>
      </c>
      <c r="M2563" s="3">
        <v>0.1</v>
      </c>
      <c r="N2563" s="2">
        <v>366.23</v>
      </c>
      <c r="O2563" s="2">
        <v>278.70999999999998</v>
      </c>
      <c r="P2563" s="2">
        <v>87.52</v>
      </c>
      <c r="Q2563" t="s">
        <v>57</v>
      </c>
    </row>
    <row r="2564" spans="1:17" x14ac:dyDescent="0.2">
      <c r="A2564" t="s">
        <v>2729</v>
      </c>
      <c r="B2564" s="1">
        <v>45973</v>
      </c>
      <c r="C2564" t="s">
        <v>36</v>
      </c>
      <c r="D2564" t="s">
        <v>144</v>
      </c>
      <c r="E2564" t="s">
        <v>145</v>
      </c>
      <c r="F2564" t="s">
        <v>71</v>
      </c>
      <c r="G2564" t="s">
        <v>22</v>
      </c>
      <c r="H2564" t="s">
        <v>23</v>
      </c>
      <c r="I2564" t="s">
        <v>83</v>
      </c>
      <c r="J2564" t="s">
        <v>84</v>
      </c>
      <c r="K2564">
        <v>7</v>
      </c>
      <c r="L2564" s="2">
        <v>22.32</v>
      </c>
      <c r="M2564" s="3">
        <v>0.1</v>
      </c>
      <c r="N2564" s="2">
        <v>140.62</v>
      </c>
      <c r="O2564" s="2">
        <v>86.16</v>
      </c>
      <c r="P2564" s="2">
        <v>54.46</v>
      </c>
      <c r="Q2564" t="s">
        <v>57</v>
      </c>
    </row>
    <row r="2565" spans="1:17" x14ac:dyDescent="0.2">
      <c r="A2565" t="s">
        <v>2730</v>
      </c>
      <c r="B2565" s="1">
        <v>45973</v>
      </c>
      <c r="C2565" t="s">
        <v>77</v>
      </c>
      <c r="D2565" t="s">
        <v>95</v>
      </c>
      <c r="E2565" t="s">
        <v>367</v>
      </c>
      <c r="F2565" t="s">
        <v>69</v>
      </c>
      <c r="G2565" t="s">
        <v>22</v>
      </c>
      <c r="H2565" t="s">
        <v>23</v>
      </c>
      <c r="I2565" t="s">
        <v>24</v>
      </c>
      <c r="J2565" t="s">
        <v>220</v>
      </c>
      <c r="K2565">
        <v>9</v>
      </c>
      <c r="L2565" s="2">
        <v>24.8</v>
      </c>
      <c r="M2565" s="3">
        <v>0</v>
      </c>
      <c r="N2565" s="2">
        <v>223.2</v>
      </c>
      <c r="O2565" s="2">
        <v>178.94</v>
      </c>
      <c r="P2565" s="2">
        <v>44.26</v>
      </c>
      <c r="Q2565" t="s">
        <v>57</v>
      </c>
    </row>
    <row r="2566" spans="1:17" x14ac:dyDescent="0.2">
      <c r="A2566" t="s">
        <v>2731</v>
      </c>
      <c r="B2566" s="1">
        <v>45973</v>
      </c>
      <c r="C2566" t="s">
        <v>18</v>
      </c>
      <c r="D2566" t="s">
        <v>28</v>
      </c>
      <c r="E2566" t="s">
        <v>29</v>
      </c>
      <c r="F2566" t="s">
        <v>39</v>
      </c>
      <c r="G2566" t="s">
        <v>75</v>
      </c>
      <c r="H2566" t="s">
        <v>23</v>
      </c>
      <c r="I2566" t="s">
        <v>83</v>
      </c>
      <c r="J2566" t="s">
        <v>84</v>
      </c>
      <c r="K2566">
        <v>10</v>
      </c>
      <c r="L2566" s="2">
        <v>11.92</v>
      </c>
      <c r="M2566" s="3">
        <v>0.1</v>
      </c>
      <c r="N2566" s="2">
        <v>107.28</v>
      </c>
      <c r="O2566" s="2">
        <v>76.91</v>
      </c>
      <c r="P2566" s="2">
        <v>30.37</v>
      </c>
      <c r="Q2566" t="s">
        <v>57</v>
      </c>
    </row>
    <row r="2567" spans="1:17" x14ac:dyDescent="0.2">
      <c r="A2567" t="s">
        <v>2732</v>
      </c>
      <c r="B2567" s="1">
        <v>45973</v>
      </c>
      <c r="C2567" t="s">
        <v>36</v>
      </c>
      <c r="D2567" t="s">
        <v>110</v>
      </c>
      <c r="E2567" t="s">
        <v>203</v>
      </c>
      <c r="F2567" t="s">
        <v>71</v>
      </c>
      <c r="G2567" t="s">
        <v>22</v>
      </c>
      <c r="H2567" t="s">
        <v>31</v>
      </c>
      <c r="I2567" t="s">
        <v>40</v>
      </c>
      <c r="J2567" t="s">
        <v>41</v>
      </c>
      <c r="K2567">
        <v>3</v>
      </c>
      <c r="L2567" s="2">
        <v>70.13</v>
      </c>
      <c r="M2567" s="3">
        <v>0.15</v>
      </c>
      <c r="N2567" s="2">
        <v>178.83</v>
      </c>
      <c r="O2567" s="2">
        <v>141.74</v>
      </c>
      <c r="P2567" s="2">
        <v>37.090000000000003</v>
      </c>
      <c r="Q2567" t="s">
        <v>34</v>
      </c>
    </row>
    <row r="2568" spans="1:17" x14ac:dyDescent="0.2">
      <c r="A2568" t="s">
        <v>2733</v>
      </c>
      <c r="B2568" s="1">
        <v>45973</v>
      </c>
      <c r="C2568" t="s">
        <v>77</v>
      </c>
      <c r="D2568" t="s">
        <v>95</v>
      </c>
      <c r="E2568" t="s">
        <v>96</v>
      </c>
      <c r="F2568" t="s">
        <v>130</v>
      </c>
      <c r="G2568" t="s">
        <v>75</v>
      </c>
      <c r="H2568" t="s">
        <v>23</v>
      </c>
      <c r="I2568" t="s">
        <v>55</v>
      </c>
      <c r="J2568" t="s">
        <v>173</v>
      </c>
      <c r="K2568">
        <v>7</v>
      </c>
      <c r="L2568" s="2">
        <v>12.18</v>
      </c>
      <c r="M2568" s="3">
        <v>0</v>
      </c>
      <c r="N2568" s="2">
        <v>85.26</v>
      </c>
      <c r="O2568" s="2">
        <v>65.680000000000007</v>
      </c>
      <c r="P2568" s="2">
        <v>19.579999999999998</v>
      </c>
      <c r="Q2568" t="s">
        <v>34</v>
      </c>
    </row>
    <row r="2569" spans="1:17" x14ac:dyDescent="0.2">
      <c r="A2569" t="s">
        <v>2734</v>
      </c>
      <c r="B2569" s="1">
        <v>45973</v>
      </c>
      <c r="C2569" t="s">
        <v>43</v>
      </c>
      <c r="D2569" t="s">
        <v>44</v>
      </c>
      <c r="E2569" t="s">
        <v>82</v>
      </c>
      <c r="F2569" t="s">
        <v>39</v>
      </c>
      <c r="G2569" t="s">
        <v>54</v>
      </c>
      <c r="H2569" t="s">
        <v>23</v>
      </c>
      <c r="I2569" t="s">
        <v>79</v>
      </c>
      <c r="J2569" t="s">
        <v>179</v>
      </c>
      <c r="K2569">
        <v>9</v>
      </c>
      <c r="L2569" s="2">
        <v>309.95999999999998</v>
      </c>
      <c r="M2569" s="3">
        <v>0.05</v>
      </c>
      <c r="N2569" s="2">
        <v>2650.16</v>
      </c>
      <c r="O2569" s="2">
        <v>1959.7</v>
      </c>
      <c r="P2569" s="2">
        <v>690.46</v>
      </c>
      <c r="Q2569" t="s">
        <v>57</v>
      </c>
    </row>
    <row r="2570" spans="1:17" x14ac:dyDescent="0.2">
      <c r="A2570" t="s">
        <v>2735</v>
      </c>
      <c r="B2570" s="1">
        <v>45974</v>
      </c>
      <c r="C2570" t="s">
        <v>43</v>
      </c>
      <c r="D2570" t="s">
        <v>161</v>
      </c>
      <c r="E2570" t="s">
        <v>162</v>
      </c>
      <c r="F2570" t="s">
        <v>30</v>
      </c>
      <c r="G2570" t="s">
        <v>75</v>
      </c>
      <c r="H2570" t="s">
        <v>23</v>
      </c>
      <c r="I2570" t="s">
        <v>79</v>
      </c>
      <c r="J2570" t="s">
        <v>233</v>
      </c>
      <c r="K2570">
        <v>4</v>
      </c>
      <c r="L2570" s="2">
        <v>389.5</v>
      </c>
      <c r="M2570" s="3">
        <v>0.05</v>
      </c>
      <c r="N2570" s="2">
        <v>1480.1</v>
      </c>
      <c r="O2570" s="2">
        <v>950.02</v>
      </c>
      <c r="P2570" s="2">
        <v>530.08000000000004</v>
      </c>
      <c r="Q2570" t="s">
        <v>26</v>
      </c>
    </row>
    <row r="2571" spans="1:17" x14ac:dyDescent="0.2">
      <c r="A2571" t="s">
        <v>2736</v>
      </c>
      <c r="B2571" s="1">
        <v>45974</v>
      </c>
      <c r="C2571" t="s">
        <v>77</v>
      </c>
      <c r="D2571" t="s">
        <v>128</v>
      </c>
      <c r="E2571" t="s">
        <v>159</v>
      </c>
      <c r="F2571" t="s">
        <v>138</v>
      </c>
      <c r="G2571" t="s">
        <v>22</v>
      </c>
      <c r="H2571" t="s">
        <v>23</v>
      </c>
      <c r="I2571" t="s">
        <v>79</v>
      </c>
      <c r="J2571" t="s">
        <v>80</v>
      </c>
      <c r="K2571">
        <v>4</v>
      </c>
      <c r="L2571" s="2">
        <v>400.96</v>
      </c>
      <c r="M2571" s="3">
        <v>0.2</v>
      </c>
      <c r="N2571" s="2">
        <v>1283.07</v>
      </c>
      <c r="O2571" s="2">
        <v>959.67</v>
      </c>
      <c r="P2571" s="2">
        <v>323.39999999999998</v>
      </c>
      <c r="Q2571" t="s">
        <v>57</v>
      </c>
    </row>
    <row r="2572" spans="1:17" x14ac:dyDescent="0.2">
      <c r="A2572" t="s">
        <v>2737</v>
      </c>
      <c r="B2572" s="1">
        <v>45974</v>
      </c>
      <c r="C2572" t="s">
        <v>36</v>
      </c>
      <c r="D2572" t="s">
        <v>110</v>
      </c>
      <c r="E2572" t="s">
        <v>111</v>
      </c>
      <c r="F2572" t="s">
        <v>21</v>
      </c>
      <c r="G2572" t="s">
        <v>75</v>
      </c>
      <c r="H2572" t="s">
        <v>31</v>
      </c>
      <c r="I2572" t="s">
        <v>112</v>
      </c>
      <c r="J2572" t="s">
        <v>176</v>
      </c>
      <c r="K2572">
        <v>3</v>
      </c>
      <c r="L2572" s="2">
        <v>336.18</v>
      </c>
      <c r="M2572" s="3">
        <v>0.2</v>
      </c>
      <c r="N2572" s="2">
        <v>806.83</v>
      </c>
      <c r="O2572" s="2">
        <v>485.01</v>
      </c>
      <c r="P2572" s="2">
        <v>321.82</v>
      </c>
      <c r="Q2572" t="s">
        <v>26</v>
      </c>
    </row>
    <row r="2573" spans="1:17" x14ac:dyDescent="0.2">
      <c r="A2573" t="s">
        <v>2738</v>
      </c>
      <c r="B2573" s="1">
        <v>45974</v>
      </c>
      <c r="C2573" t="s">
        <v>77</v>
      </c>
      <c r="D2573" t="s">
        <v>106</v>
      </c>
      <c r="E2573" t="s">
        <v>303</v>
      </c>
      <c r="F2573" t="s">
        <v>138</v>
      </c>
      <c r="G2573" t="s">
        <v>75</v>
      </c>
      <c r="H2573" t="s">
        <v>31</v>
      </c>
      <c r="I2573" t="s">
        <v>40</v>
      </c>
      <c r="J2573" t="s">
        <v>216</v>
      </c>
      <c r="K2573">
        <v>6</v>
      </c>
      <c r="L2573" s="2">
        <v>248.76</v>
      </c>
      <c r="M2573" s="3">
        <v>0.05</v>
      </c>
      <c r="N2573" s="2">
        <v>1417.93</v>
      </c>
      <c r="O2573" s="2">
        <v>796.18</v>
      </c>
      <c r="P2573" s="2">
        <v>621.75</v>
      </c>
      <c r="Q2573" t="s">
        <v>61</v>
      </c>
    </row>
    <row r="2574" spans="1:17" x14ac:dyDescent="0.2">
      <c r="A2574" t="s">
        <v>2739</v>
      </c>
      <c r="B2574" s="1">
        <v>45974</v>
      </c>
      <c r="C2574" t="s">
        <v>77</v>
      </c>
      <c r="D2574" t="s">
        <v>149</v>
      </c>
      <c r="E2574" t="s">
        <v>309</v>
      </c>
      <c r="F2574" t="s">
        <v>69</v>
      </c>
      <c r="G2574" t="s">
        <v>54</v>
      </c>
      <c r="H2574" t="s">
        <v>47</v>
      </c>
      <c r="I2574" t="s">
        <v>97</v>
      </c>
      <c r="J2574" t="s">
        <v>116</v>
      </c>
      <c r="K2574">
        <v>4</v>
      </c>
      <c r="L2574" s="2">
        <v>293.12</v>
      </c>
      <c r="M2574" s="3">
        <v>0.2</v>
      </c>
      <c r="N2574" s="2">
        <v>937.98</v>
      </c>
      <c r="O2574" s="2">
        <v>678.94</v>
      </c>
      <c r="P2574" s="2">
        <v>259.04000000000002</v>
      </c>
      <c r="Q2574" t="s">
        <v>26</v>
      </c>
    </row>
    <row r="2575" spans="1:17" x14ac:dyDescent="0.2">
      <c r="A2575" t="s">
        <v>2740</v>
      </c>
      <c r="B2575" s="1">
        <v>45974</v>
      </c>
      <c r="C2575" t="s">
        <v>77</v>
      </c>
      <c r="D2575" t="s">
        <v>149</v>
      </c>
      <c r="E2575" t="s">
        <v>309</v>
      </c>
      <c r="F2575" t="s">
        <v>69</v>
      </c>
      <c r="G2575" t="s">
        <v>22</v>
      </c>
      <c r="H2575" t="s">
        <v>31</v>
      </c>
      <c r="I2575" t="s">
        <v>112</v>
      </c>
      <c r="J2575" t="s">
        <v>113</v>
      </c>
      <c r="K2575">
        <v>7</v>
      </c>
      <c r="L2575" s="2">
        <v>550.14</v>
      </c>
      <c r="M2575" s="3">
        <v>0.1</v>
      </c>
      <c r="N2575" s="2">
        <v>3465.88</v>
      </c>
      <c r="O2575" s="2">
        <v>1931.83</v>
      </c>
      <c r="P2575" s="2">
        <v>1534.05</v>
      </c>
      <c r="Q2575" t="s">
        <v>61</v>
      </c>
    </row>
    <row r="2576" spans="1:17" x14ac:dyDescent="0.2">
      <c r="A2576" t="s">
        <v>2741</v>
      </c>
      <c r="B2576" s="1">
        <v>45974</v>
      </c>
      <c r="C2576" t="s">
        <v>18</v>
      </c>
      <c r="D2576" t="s">
        <v>86</v>
      </c>
      <c r="E2576" t="s">
        <v>92</v>
      </c>
      <c r="F2576" t="s">
        <v>46</v>
      </c>
      <c r="G2576" t="s">
        <v>22</v>
      </c>
      <c r="H2576" t="s">
        <v>23</v>
      </c>
      <c r="I2576" t="s">
        <v>83</v>
      </c>
      <c r="J2576" t="s">
        <v>84</v>
      </c>
      <c r="K2576">
        <v>8</v>
      </c>
      <c r="L2576" s="2">
        <v>25.41</v>
      </c>
      <c r="M2576" s="3">
        <v>0</v>
      </c>
      <c r="N2576" s="2">
        <v>203.28</v>
      </c>
      <c r="O2576" s="2">
        <v>159</v>
      </c>
      <c r="P2576" s="2">
        <v>44.28</v>
      </c>
      <c r="Q2576" t="s">
        <v>34</v>
      </c>
    </row>
    <row r="2577" spans="1:17" x14ac:dyDescent="0.2">
      <c r="A2577" t="s">
        <v>2742</v>
      </c>
      <c r="B2577" s="1">
        <v>45974</v>
      </c>
      <c r="C2577" t="s">
        <v>36</v>
      </c>
      <c r="D2577" t="s">
        <v>110</v>
      </c>
      <c r="E2577" t="s">
        <v>203</v>
      </c>
      <c r="F2577" t="s">
        <v>60</v>
      </c>
      <c r="G2577" t="s">
        <v>22</v>
      </c>
      <c r="H2577" t="s">
        <v>23</v>
      </c>
      <c r="I2577" t="s">
        <v>24</v>
      </c>
      <c r="J2577" t="s">
        <v>220</v>
      </c>
      <c r="K2577">
        <v>4</v>
      </c>
      <c r="L2577" s="2">
        <v>16.05</v>
      </c>
      <c r="M2577" s="3">
        <v>0.15</v>
      </c>
      <c r="N2577" s="2">
        <v>54.57</v>
      </c>
      <c r="O2577" s="2">
        <v>35.549999999999997</v>
      </c>
      <c r="P2577" s="2">
        <v>19.02</v>
      </c>
      <c r="Q2577" t="s">
        <v>26</v>
      </c>
    </row>
    <row r="2578" spans="1:17" x14ac:dyDescent="0.2">
      <c r="A2578" t="s">
        <v>2743</v>
      </c>
      <c r="B2578" s="1">
        <v>45974</v>
      </c>
      <c r="C2578" t="s">
        <v>36</v>
      </c>
      <c r="D2578" t="s">
        <v>67</v>
      </c>
      <c r="E2578" t="s">
        <v>323</v>
      </c>
      <c r="F2578" t="s">
        <v>21</v>
      </c>
      <c r="G2578" t="s">
        <v>22</v>
      </c>
      <c r="H2578" t="s">
        <v>23</v>
      </c>
      <c r="I2578" t="s">
        <v>83</v>
      </c>
      <c r="J2578" t="s">
        <v>120</v>
      </c>
      <c r="K2578">
        <v>2</v>
      </c>
      <c r="L2578" s="2">
        <v>31.76</v>
      </c>
      <c r="M2578" s="3">
        <v>0</v>
      </c>
      <c r="N2578" s="2">
        <v>63.52</v>
      </c>
      <c r="O2578" s="2">
        <v>35.619999999999997</v>
      </c>
      <c r="P2578" s="2">
        <v>27.9</v>
      </c>
      <c r="Q2578" t="s">
        <v>57</v>
      </c>
    </row>
    <row r="2579" spans="1:17" x14ac:dyDescent="0.2">
      <c r="A2579" t="s">
        <v>2744</v>
      </c>
      <c r="B2579" s="1">
        <v>45974</v>
      </c>
      <c r="C2579" t="s">
        <v>18</v>
      </c>
      <c r="D2579" t="s">
        <v>152</v>
      </c>
      <c r="E2579" t="s">
        <v>185</v>
      </c>
      <c r="F2579" t="s">
        <v>60</v>
      </c>
      <c r="G2579" t="s">
        <v>22</v>
      </c>
      <c r="H2579" t="s">
        <v>47</v>
      </c>
      <c r="I2579" t="s">
        <v>48</v>
      </c>
      <c r="J2579" t="s">
        <v>49</v>
      </c>
      <c r="K2579">
        <v>6</v>
      </c>
      <c r="L2579" s="2">
        <v>671.93</v>
      </c>
      <c r="M2579" s="3">
        <v>0</v>
      </c>
      <c r="N2579" s="2">
        <v>4031.58</v>
      </c>
      <c r="O2579" s="2">
        <v>2727.95</v>
      </c>
      <c r="P2579" s="2">
        <v>1303.6300000000001</v>
      </c>
      <c r="Q2579" t="s">
        <v>57</v>
      </c>
    </row>
    <row r="2580" spans="1:17" x14ac:dyDescent="0.2">
      <c r="A2580" t="s">
        <v>2745</v>
      </c>
      <c r="B2580" s="1">
        <v>45975</v>
      </c>
      <c r="C2580" t="s">
        <v>43</v>
      </c>
      <c r="D2580" t="s">
        <v>244</v>
      </c>
      <c r="E2580" t="s">
        <v>326</v>
      </c>
      <c r="F2580" t="s">
        <v>46</v>
      </c>
      <c r="G2580" t="s">
        <v>22</v>
      </c>
      <c r="H2580" t="s">
        <v>23</v>
      </c>
      <c r="I2580" t="s">
        <v>83</v>
      </c>
      <c r="J2580" t="s">
        <v>120</v>
      </c>
      <c r="K2580">
        <v>2</v>
      </c>
      <c r="L2580" s="2">
        <v>34.29</v>
      </c>
      <c r="M2580" s="3">
        <v>0.1</v>
      </c>
      <c r="N2580" s="2">
        <v>61.72</v>
      </c>
      <c r="O2580" s="2">
        <v>37.299999999999997</v>
      </c>
      <c r="P2580" s="2">
        <v>24.42</v>
      </c>
      <c r="Q2580" t="s">
        <v>61</v>
      </c>
    </row>
    <row r="2581" spans="1:17" x14ac:dyDescent="0.2">
      <c r="A2581" t="s">
        <v>2746</v>
      </c>
      <c r="B2581" s="1">
        <v>45975</v>
      </c>
      <c r="C2581" t="s">
        <v>43</v>
      </c>
      <c r="D2581" t="s">
        <v>44</v>
      </c>
      <c r="E2581" t="s">
        <v>82</v>
      </c>
      <c r="F2581" t="s">
        <v>60</v>
      </c>
      <c r="G2581" t="s">
        <v>75</v>
      </c>
      <c r="H2581" t="s">
        <v>47</v>
      </c>
      <c r="I2581" t="s">
        <v>89</v>
      </c>
      <c r="J2581" t="s">
        <v>240</v>
      </c>
      <c r="K2581">
        <v>8</v>
      </c>
      <c r="L2581" s="2">
        <v>182.61</v>
      </c>
      <c r="M2581" s="3">
        <v>0</v>
      </c>
      <c r="N2581" s="2">
        <v>1460.88</v>
      </c>
      <c r="O2581" s="2">
        <v>837.99</v>
      </c>
      <c r="P2581" s="2">
        <v>622.89</v>
      </c>
      <c r="Q2581" t="s">
        <v>26</v>
      </c>
    </row>
    <row r="2582" spans="1:17" x14ac:dyDescent="0.2">
      <c r="A2582" t="s">
        <v>2747</v>
      </c>
      <c r="B2582" s="1">
        <v>45975</v>
      </c>
      <c r="C2582" t="s">
        <v>77</v>
      </c>
      <c r="D2582" t="s">
        <v>95</v>
      </c>
      <c r="E2582" t="s">
        <v>300</v>
      </c>
      <c r="F2582" t="s">
        <v>21</v>
      </c>
      <c r="G2582" t="s">
        <v>22</v>
      </c>
      <c r="H2582" t="s">
        <v>31</v>
      </c>
      <c r="I2582" t="s">
        <v>40</v>
      </c>
      <c r="J2582" t="s">
        <v>41</v>
      </c>
      <c r="K2582">
        <v>1</v>
      </c>
      <c r="L2582" s="2">
        <v>195.28</v>
      </c>
      <c r="M2582" s="3">
        <v>0.15</v>
      </c>
      <c r="N2582" s="2">
        <v>165.99</v>
      </c>
      <c r="O2582" s="2">
        <v>102.26</v>
      </c>
      <c r="P2582" s="2">
        <v>63.73</v>
      </c>
      <c r="Q2582" t="s">
        <v>26</v>
      </c>
    </row>
    <row r="2583" spans="1:17" x14ac:dyDescent="0.2">
      <c r="A2583" t="s">
        <v>2748</v>
      </c>
      <c r="B2583" s="1">
        <v>45975</v>
      </c>
      <c r="C2583" t="s">
        <v>18</v>
      </c>
      <c r="D2583" t="s">
        <v>86</v>
      </c>
      <c r="E2583" t="s">
        <v>87</v>
      </c>
      <c r="F2583" t="s">
        <v>21</v>
      </c>
      <c r="G2583" t="s">
        <v>54</v>
      </c>
      <c r="H2583" t="s">
        <v>23</v>
      </c>
      <c r="I2583" t="s">
        <v>55</v>
      </c>
      <c r="J2583" t="s">
        <v>56</v>
      </c>
      <c r="K2583">
        <v>1</v>
      </c>
      <c r="L2583" s="2">
        <v>22.68</v>
      </c>
      <c r="M2583" s="3">
        <v>0</v>
      </c>
      <c r="N2583" s="2">
        <v>22.68</v>
      </c>
      <c r="O2583" s="2">
        <v>18.27</v>
      </c>
      <c r="P2583" s="2">
        <v>4.41</v>
      </c>
      <c r="Q2583" t="s">
        <v>26</v>
      </c>
    </row>
    <row r="2584" spans="1:17" x14ac:dyDescent="0.2">
      <c r="A2584" t="s">
        <v>2749</v>
      </c>
      <c r="B2584" s="1">
        <v>45975</v>
      </c>
      <c r="C2584" t="s">
        <v>18</v>
      </c>
      <c r="D2584" t="s">
        <v>152</v>
      </c>
      <c r="E2584" t="s">
        <v>166</v>
      </c>
      <c r="F2584" t="s">
        <v>30</v>
      </c>
      <c r="G2584" t="s">
        <v>75</v>
      </c>
      <c r="H2584" t="s">
        <v>31</v>
      </c>
      <c r="I2584" t="s">
        <v>112</v>
      </c>
      <c r="J2584" t="s">
        <v>113</v>
      </c>
      <c r="K2584">
        <v>9</v>
      </c>
      <c r="L2584" s="2">
        <v>392.54</v>
      </c>
      <c r="M2584" s="3">
        <v>0</v>
      </c>
      <c r="N2584" s="2">
        <v>3532.86</v>
      </c>
      <c r="O2584" s="2">
        <v>2303.39</v>
      </c>
      <c r="P2584" s="2">
        <v>1229.47</v>
      </c>
      <c r="Q2584" t="s">
        <v>34</v>
      </c>
    </row>
    <row r="2585" spans="1:17" x14ac:dyDescent="0.2">
      <c r="A2585" t="s">
        <v>2750</v>
      </c>
      <c r="B2585" s="1">
        <v>45975</v>
      </c>
      <c r="C2585" t="s">
        <v>43</v>
      </c>
      <c r="D2585" t="s">
        <v>51</v>
      </c>
      <c r="E2585" t="s">
        <v>52</v>
      </c>
      <c r="F2585" t="s">
        <v>30</v>
      </c>
      <c r="G2585" t="s">
        <v>22</v>
      </c>
      <c r="H2585" t="s">
        <v>23</v>
      </c>
      <c r="I2585" t="s">
        <v>24</v>
      </c>
      <c r="J2585" t="s">
        <v>25</v>
      </c>
      <c r="K2585">
        <v>5</v>
      </c>
      <c r="L2585" s="2">
        <v>11.73</v>
      </c>
      <c r="M2585" s="3">
        <v>0.05</v>
      </c>
      <c r="N2585" s="2">
        <v>55.72</v>
      </c>
      <c r="O2585" s="2">
        <v>40.270000000000003</v>
      </c>
      <c r="P2585" s="2">
        <v>15.45</v>
      </c>
      <c r="Q2585" t="s">
        <v>34</v>
      </c>
    </row>
    <row r="2586" spans="1:17" x14ac:dyDescent="0.2">
      <c r="A2586" t="s">
        <v>2751</v>
      </c>
      <c r="B2586" s="1">
        <v>45975</v>
      </c>
      <c r="C2586" t="s">
        <v>18</v>
      </c>
      <c r="D2586" t="s">
        <v>152</v>
      </c>
      <c r="E2586" t="s">
        <v>153</v>
      </c>
      <c r="F2586" t="s">
        <v>71</v>
      </c>
      <c r="G2586" t="s">
        <v>22</v>
      </c>
      <c r="H2586" t="s">
        <v>31</v>
      </c>
      <c r="I2586" t="s">
        <v>32</v>
      </c>
      <c r="J2586" t="s">
        <v>33</v>
      </c>
      <c r="K2586">
        <v>2</v>
      </c>
      <c r="L2586" s="2">
        <v>1704.54</v>
      </c>
      <c r="M2586" s="3">
        <v>0</v>
      </c>
      <c r="N2586" s="2">
        <v>3409.08</v>
      </c>
      <c r="O2586" s="2">
        <v>2763.02</v>
      </c>
      <c r="P2586" s="2">
        <v>646.05999999999995</v>
      </c>
      <c r="Q2586" t="s">
        <v>26</v>
      </c>
    </row>
    <row r="2587" spans="1:17" x14ac:dyDescent="0.2">
      <c r="A2587" t="s">
        <v>2752</v>
      </c>
      <c r="B2587" s="1">
        <v>45975</v>
      </c>
      <c r="C2587" t="s">
        <v>36</v>
      </c>
      <c r="D2587" t="s">
        <v>73</v>
      </c>
      <c r="E2587" t="s">
        <v>212</v>
      </c>
      <c r="F2587" t="s">
        <v>39</v>
      </c>
      <c r="G2587" t="s">
        <v>54</v>
      </c>
      <c r="H2587" t="s">
        <v>23</v>
      </c>
      <c r="I2587" t="s">
        <v>79</v>
      </c>
      <c r="J2587" t="s">
        <v>179</v>
      </c>
      <c r="K2587">
        <v>5</v>
      </c>
      <c r="L2587" s="2">
        <v>140.37</v>
      </c>
      <c r="M2587" s="3">
        <v>0.15</v>
      </c>
      <c r="N2587" s="2">
        <v>596.57000000000005</v>
      </c>
      <c r="O2587" s="2">
        <v>375.92</v>
      </c>
      <c r="P2587" s="2">
        <v>220.65</v>
      </c>
      <c r="Q2587" t="s">
        <v>26</v>
      </c>
    </row>
    <row r="2588" spans="1:17" x14ac:dyDescent="0.2">
      <c r="A2588" t="s">
        <v>2753</v>
      </c>
      <c r="B2588" s="1">
        <v>45975</v>
      </c>
      <c r="C2588" t="s">
        <v>18</v>
      </c>
      <c r="D2588" t="s">
        <v>86</v>
      </c>
      <c r="E2588" t="s">
        <v>140</v>
      </c>
      <c r="F2588" t="s">
        <v>71</v>
      </c>
      <c r="G2588" t="s">
        <v>22</v>
      </c>
      <c r="H2588" t="s">
        <v>31</v>
      </c>
      <c r="I2588" t="s">
        <v>64</v>
      </c>
      <c r="J2588" t="s">
        <v>252</v>
      </c>
      <c r="K2588">
        <v>3</v>
      </c>
      <c r="L2588" s="2">
        <v>59.36</v>
      </c>
      <c r="M2588" s="3">
        <v>0</v>
      </c>
      <c r="N2588" s="2">
        <v>178.08</v>
      </c>
      <c r="O2588" s="2">
        <v>109.56</v>
      </c>
      <c r="P2588" s="2">
        <v>68.52</v>
      </c>
      <c r="Q2588" t="s">
        <v>61</v>
      </c>
    </row>
    <row r="2589" spans="1:17" x14ac:dyDescent="0.2">
      <c r="A2589" t="s">
        <v>2754</v>
      </c>
      <c r="B2589" s="1">
        <v>45976</v>
      </c>
      <c r="C2589" t="s">
        <v>77</v>
      </c>
      <c r="D2589" t="s">
        <v>78</v>
      </c>
      <c r="E2589" t="s">
        <v>261</v>
      </c>
      <c r="F2589" t="s">
        <v>60</v>
      </c>
      <c r="G2589" t="s">
        <v>22</v>
      </c>
      <c r="H2589" t="s">
        <v>31</v>
      </c>
      <c r="I2589" t="s">
        <v>40</v>
      </c>
      <c r="J2589" t="s">
        <v>41</v>
      </c>
      <c r="K2589">
        <v>1</v>
      </c>
      <c r="L2589" s="2">
        <v>223.88</v>
      </c>
      <c r="M2589" s="3">
        <v>0.05</v>
      </c>
      <c r="N2589" s="2">
        <v>212.69</v>
      </c>
      <c r="O2589" s="2">
        <v>117.54</v>
      </c>
      <c r="P2589" s="2">
        <v>95.15</v>
      </c>
      <c r="Q2589" t="s">
        <v>34</v>
      </c>
    </row>
    <row r="2590" spans="1:17" x14ac:dyDescent="0.2">
      <c r="A2590" t="s">
        <v>2755</v>
      </c>
      <c r="B2590" s="1">
        <v>45976</v>
      </c>
      <c r="C2590" t="s">
        <v>18</v>
      </c>
      <c r="D2590" t="s">
        <v>19</v>
      </c>
      <c r="E2590" t="s">
        <v>20</v>
      </c>
      <c r="F2590" t="s">
        <v>46</v>
      </c>
      <c r="G2590" t="s">
        <v>75</v>
      </c>
      <c r="H2590" t="s">
        <v>23</v>
      </c>
      <c r="I2590" t="s">
        <v>79</v>
      </c>
      <c r="J2590" t="s">
        <v>179</v>
      </c>
      <c r="K2590">
        <v>3</v>
      </c>
      <c r="L2590" s="2">
        <v>492.27</v>
      </c>
      <c r="M2590" s="3">
        <v>0.15</v>
      </c>
      <c r="N2590" s="2">
        <v>1255.29</v>
      </c>
      <c r="O2590" s="2">
        <v>899.65</v>
      </c>
      <c r="P2590" s="2">
        <v>355.64</v>
      </c>
      <c r="Q2590" t="s">
        <v>61</v>
      </c>
    </row>
    <row r="2591" spans="1:17" x14ac:dyDescent="0.2">
      <c r="A2591" t="s">
        <v>2756</v>
      </c>
      <c r="B2591" s="1">
        <v>45976</v>
      </c>
      <c r="C2591" t="s">
        <v>77</v>
      </c>
      <c r="D2591" t="s">
        <v>128</v>
      </c>
      <c r="E2591" t="s">
        <v>129</v>
      </c>
      <c r="F2591" t="s">
        <v>30</v>
      </c>
      <c r="G2591" t="s">
        <v>22</v>
      </c>
      <c r="H2591" t="s">
        <v>47</v>
      </c>
      <c r="I2591" t="s">
        <v>48</v>
      </c>
      <c r="J2591" t="s">
        <v>49</v>
      </c>
      <c r="K2591">
        <v>6</v>
      </c>
      <c r="L2591" s="2">
        <v>639.77</v>
      </c>
      <c r="M2591" s="3">
        <v>0.1</v>
      </c>
      <c r="N2591" s="2">
        <v>3454.76</v>
      </c>
      <c r="O2591" s="2">
        <v>2396.84</v>
      </c>
      <c r="P2591" s="2">
        <v>1057.92</v>
      </c>
      <c r="Q2591" t="s">
        <v>61</v>
      </c>
    </row>
    <row r="2592" spans="1:17" x14ac:dyDescent="0.2">
      <c r="A2592" t="s">
        <v>2757</v>
      </c>
      <c r="B2592" s="1">
        <v>45976</v>
      </c>
      <c r="C2592" t="s">
        <v>43</v>
      </c>
      <c r="D2592" t="s">
        <v>51</v>
      </c>
      <c r="E2592" t="s">
        <v>59</v>
      </c>
      <c r="F2592" t="s">
        <v>71</v>
      </c>
      <c r="G2592" t="s">
        <v>22</v>
      </c>
      <c r="H2592" t="s">
        <v>31</v>
      </c>
      <c r="I2592" t="s">
        <v>64</v>
      </c>
      <c r="J2592" t="s">
        <v>126</v>
      </c>
      <c r="K2592">
        <v>3</v>
      </c>
      <c r="L2592" s="2">
        <v>170.87</v>
      </c>
      <c r="M2592" s="3">
        <v>0</v>
      </c>
      <c r="N2592" s="2">
        <v>512.61</v>
      </c>
      <c r="O2592" s="2">
        <v>324.7</v>
      </c>
      <c r="P2592" s="2">
        <v>187.91</v>
      </c>
      <c r="Q2592" t="s">
        <v>57</v>
      </c>
    </row>
    <row r="2593" spans="1:17" x14ac:dyDescent="0.2">
      <c r="A2593" t="s">
        <v>2758</v>
      </c>
      <c r="B2593" s="1">
        <v>45976</v>
      </c>
      <c r="C2593" t="s">
        <v>77</v>
      </c>
      <c r="D2593" t="s">
        <v>78</v>
      </c>
      <c r="E2593" t="s">
        <v>295</v>
      </c>
      <c r="F2593" t="s">
        <v>130</v>
      </c>
      <c r="G2593" t="s">
        <v>75</v>
      </c>
      <c r="H2593" t="s">
        <v>23</v>
      </c>
      <c r="I2593" t="s">
        <v>24</v>
      </c>
      <c r="J2593" t="s">
        <v>220</v>
      </c>
      <c r="K2593">
        <v>10</v>
      </c>
      <c r="L2593" s="2">
        <v>21.06</v>
      </c>
      <c r="M2593" s="3">
        <v>0.05</v>
      </c>
      <c r="N2593" s="2">
        <v>200.07</v>
      </c>
      <c r="O2593" s="2">
        <v>154.38999999999999</v>
      </c>
      <c r="P2593" s="2">
        <v>45.68</v>
      </c>
      <c r="Q2593" t="s">
        <v>61</v>
      </c>
    </row>
    <row r="2594" spans="1:17" x14ac:dyDescent="0.2">
      <c r="A2594" t="s">
        <v>2759</v>
      </c>
      <c r="B2594" s="1">
        <v>45976</v>
      </c>
      <c r="C2594" t="s">
        <v>43</v>
      </c>
      <c r="D2594" t="s">
        <v>51</v>
      </c>
      <c r="E2594" t="s">
        <v>59</v>
      </c>
      <c r="F2594" t="s">
        <v>30</v>
      </c>
      <c r="G2594" t="s">
        <v>75</v>
      </c>
      <c r="H2594" t="s">
        <v>23</v>
      </c>
      <c r="I2594" t="s">
        <v>79</v>
      </c>
      <c r="J2594" t="s">
        <v>80</v>
      </c>
      <c r="K2594">
        <v>5</v>
      </c>
      <c r="L2594" s="2">
        <v>484.05</v>
      </c>
      <c r="M2594" s="3">
        <v>0</v>
      </c>
      <c r="N2594" s="2">
        <v>2420.25</v>
      </c>
      <c r="O2594" s="2">
        <v>1344.27</v>
      </c>
      <c r="P2594" s="2">
        <v>1075.98</v>
      </c>
      <c r="Q2594" t="s">
        <v>57</v>
      </c>
    </row>
    <row r="2595" spans="1:17" x14ac:dyDescent="0.2">
      <c r="A2595" t="s">
        <v>2760</v>
      </c>
      <c r="B2595" s="1">
        <v>45976</v>
      </c>
      <c r="C2595" t="s">
        <v>36</v>
      </c>
      <c r="D2595" t="s">
        <v>67</v>
      </c>
      <c r="E2595" t="s">
        <v>270</v>
      </c>
      <c r="F2595" t="s">
        <v>60</v>
      </c>
      <c r="G2595" t="s">
        <v>22</v>
      </c>
      <c r="H2595" t="s">
        <v>31</v>
      </c>
      <c r="I2595" t="s">
        <v>112</v>
      </c>
      <c r="J2595" t="s">
        <v>176</v>
      </c>
      <c r="K2595">
        <v>3</v>
      </c>
      <c r="L2595" s="2">
        <v>211.3</v>
      </c>
      <c r="M2595" s="3">
        <v>0</v>
      </c>
      <c r="N2595" s="2">
        <v>633.9</v>
      </c>
      <c r="O2595" s="2">
        <v>429.47</v>
      </c>
      <c r="P2595" s="2">
        <v>204.43</v>
      </c>
      <c r="Q2595" t="s">
        <v>61</v>
      </c>
    </row>
    <row r="2596" spans="1:17" x14ac:dyDescent="0.2">
      <c r="A2596" t="s">
        <v>2761</v>
      </c>
      <c r="B2596" s="1">
        <v>45976</v>
      </c>
      <c r="C2596" t="s">
        <v>18</v>
      </c>
      <c r="D2596" t="s">
        <v>28</v>
      </c>
      <c r="E2596" t="s">
        <v>157</v>
      </c>
      <c r="F2596" t="s">
        <v>21</v>
      </c>
      <c r="G2596" t="s">
        <v>75</v>
      </c>
      <c r="H2596" t="s">
        <v>23</v>
      </c>
      <c r="I2596" t="s">
        <v>79</v>
      </c>
      <c r="J2596" t="s">
        <v>233</v>
      </c>
      <c r="K2596">
        <v>5</v>
      </c>
      <c r="L2596" s="2">
        <v>328.51</v>
      </c>
      <c r="M2596" s="3">
        <v>0.2</v>
      </c>
      <c r="N2596" s="2">
        <v>1314.04</v>
      </c>
      <c r="O2596" s="2">
        <v>793.24</v>
      </c>
      <c r="P2596" s="2">
        <v>520.79999999999995</v>
      </c>
      <c r="Q2596" t="s">
        <v>34</v>
      </c>
    </row>
    <row r="2597" spans="1:17" x14ac:dyDescent="0.2">
      <c r="A2597" t="s">
        <v>2762</v>
      </c>
      <c r="B2597" s="1">
        <v>45976</v>
      </c>
      <c r="C2597" t="s">
        <v>43</v>
      </c>
      <c r="D2597" t="s">
        <v>44</v>
      </c>
      <c r="E2597" t="s">
        <v>82</v>
      </c>
      <c r="F2597" t="s">
        <v>71</v>
      </c>
      <c r="G2597" t="s">
        <v>54</v>
      </c>
      <c r="H2597" t="s">
        <v>31</v>
      </c>
      <c r="I2597" t="s">
        <v>32</v>
      </c>
      <c r="J2597" t="s">
        <v>258</v>
      </c>
      <c r="K2597">
        <v>10</v>
      </c>
      <c r="L2597" s="2">
        <v>1372.64</v>
      </c>
      <c r="M2597" s="3">
        <v>0.1</v>
      </c>
      <c r="N2597" s="2">
        <v>12353.76</v>
      </c>
      <c r="O2597" s="2">
        <v>8409.4599999999991</v>
      </c>
      <c r="P2597" s="2">
        <v>3944.3</v>
      </c>
      <c r="Q2597" t="s">
        <v>34</v>
      </c>
    </row>
    <row r="2598" spans="1:17" x14ac:dyDescent="0.2">
      <c r="A2598" t="s">
        <v>2763</v>
      </c>
      <c r="B2598" s="1">
        <v>45976</v>
      </c>
      <c r="C2598" t="s">
        <v>36</v>
      </c>
      <c r="D2598" t="s">
        <v>67</v>
      </c>
      <c r="E2598" t="s">
        <v>323</v>
      </c>
      <c r="F2598" t="s">
        <v>69</v>
      </c>
      <c r="G2598" t="s">
        <v>75</v>
      </c>
      <c r="H2598" t="s">
        <v>31</v>
      </c>
      <c r="I2598" t="s">
        <v>112</v>
      </c>
      <c r="J2598" t="s">
        <v>136</v>
      </c>
      <c r="K2598">
        <v>10</v>
      </c>
      <c r="L2598" s="2">
        <v>588.1</v>
      </c>
      <c r="M2598" s="3">
        <v>0.05</v>
      </c>
      <c r="N2598" s="2">
        <v>5586.95</v>
      </c>
      <c r="O2598" s="2">
        <v>4313.24</v>
      </c>
      <c r="P2598" s="2">
        <v>1273.71</v>
      </c>
      <c r="Q2598" t="s">
        <v>57</v>
      </c>
    </row>
    <row r="2599" spans="1:17" x14ac:dyDescent="0.2">
      <c r="A2599" t="s">
        <v>2764</v>
      </c>
      <c r="B2599" s="1">
        <v>45976</v>
      </c>
      <c r="C2599" t="s">
        <v>18</v>
      </c>
      <c r="D2599" t="s">
        <v>86</v>
      </c>
      <c r="E2599" t="s">
        <v>92</v>
      </c>
      <c r="F2599" t="s">
        <v>138</v>
      </c>
      <c r="G2599" t="s">
        <v>54</v>
      </c>
      <c r="H2599" t="s">
        <v>47</v>
      </c>
      <c r="I2599" t="s">
        <v>89</v>
      </c>
      <c r="J2599" t="s">
        <v>90</v>
      </c>
      <c r="K2599">
        <v>7</v>
      </c>
      <c r="L2599" s="2">
        <v>180.18</v>
      </c>
      <c r="M2599" s="3">
        <v>0.1</v>
      </c>
      <c r="N2599" s="2">
        <v>1135.1300000000001</v>
      </c>
      <c r="O2599" s="2">
        <v>654.16999999999996</v>
      </c>
      <c r="P2599" s="2">
        <v>480.96</v>
      </c>
      <c r="Q2599" t="s">
        <v>26</v>
      </c>
    </row>
    <row r="2600" spans="1:17" x14ac:dyDescent="0.2">
      <c r="A2600" t="s">
        <v>2765</v>
      </c>
      <c r="B2600" s="1">
        <v>45976</v>
      </c>
      <c r="C2600" t="s">
        <v>77</v>
      </c>
      <c r="D2600" t="s">
        <v>149</v>
      </c>
      <c r="E2600" t="s">
        <v>150</v>
      </c>
      <c r="F2600" t="s">
        <v>53</v>
      </c>
      <c r="G2600" t="s">
        <v>22</v>
      </c>
      <c r="H2600" t="s">
        <v>31</v>
      </c>
      <c r="I2600" t="s">
        <v>64</v>
      </c>
      <c r="J2600" t="s">
        <v>126</v>
      </c>
      <c r="K2600">
        <v>3</v>
      </c>
      <c r="L2600" s="2">
        <v>177.05</v>
      </c>
      <c r="M2600" s="3">
        <v>0.1</v>
      </c>
      <c r="N2600" s="2">
        <v>478.04</v>
      </c>
      <c r="O2600" s="2">
        <v>292.74</v>
      </c>
      <c r="P2600" s="2">
        <v>185.3</v>
      </c>
      <c r="Q2600" t="s">
        <v>26</v>
      </c>
    </row>
    <row r="2601" spans="1:17" x14ac:dyDescent="0.2">
      <c r="A2601" t="s">
        <v>2766</v>
      </c>
      <c r="B2601" s="1">
        <v>45977</v>
      </c>
      <c r="C2601" t="s">
        <v>77</v>
      </c>
      <c r="D2601" t="s">
        <v>128</v>
      </c>
      <c r="E2601" t="s">
        <v>155</v>
      </c>
      <c r="F2601" t="s">
        <v>69</v>
      </c>
      <c r="G2601" t="s">
        <v>75</v>
      </c>
      <c r="H2601" t="s">
        <v>23</v>
      </c>
      <c r="I2601" t="s">
        <v>24</v>
      </c>
      <c r="J2601" t="s">
        <v>25</v>
      </c>
      <c r="K2601">
        <v>8</v>
      </c>
      <c r="L2601" s="2">
        <v>28.89</v>
      </c>
      <c r="M2601" s="3">
        <v>0.15</v>
      </c>
      <c r="N2601" s="2">
        <v>196.45</v>
      </c>
      <c r="O2601" s="2">
        <v>135.19</v>
      </c>
      <c r="P2601" s="2">
        <v>61.26</v>
      </c>
      <c r="Q2601" t="s">
        <v>57</v>
      </c>
    </row>
    <row r="2602" spans="1:17" x14ac:dyDescent="0.2">
      <c r="A2602" t="s">
        <v>2767</v>
      </c>
      <c r="B2602" s="1">
        <v>45977</v>
      </c>
      <c r="C2602" t="s">
        <v>43</v>
      </c>
      <c r="D2602" t="s">
        <v>44</v>
      </c>
      <c r="E2602" t="s">
        <v>45</v>
      </c>
      <c r="F2602" t="s">
        <v>71</v>
      </c>
      <c r="G2602" t="s">
        <v>75</v>
      </c>
      <c r="H2602" t="s">
        <v>23</v>
      </c>
      <c r="I2602" t="s">
        <v>79</v>
      </c>
      <c r="J2602" t="s">
        <v>233</v>
      </c>
      <c r="K2602">
        <v>7</v>
      </c>
      <c r="L2602" s="2">
        <v>129.12</v>
      </c>
      <c r="M2602" s="3">
        <v>0.05</v>
      </c>
      <c r="N2602" s="2">
        <v>858.65</v>
      </c>
      <c r="O2602" s="2">
        <v>488.78</v>
      </c>
      <c r="P2602" s="2">
        <v>369.87</v>
      </c>
      <c r="Q2602" t="s">
        <v>57</v>
      </c>
    </row>
    <row r="2603" spans="1:17" x14ac:dyDescent="0.2">
      <c r="A2603" t="s">
        <v>2768</v>
      </c>
      <c r="B2603" s="1">
        <v>45977</v>
      </c>
      <c r="C2603" t="s">
        <v>18</v>
      </c>
      <c r="D2603" t="s">
        <v>133</v>
      </c>
      <c r="E2603" t="s">
        <v>134</v>
      </c>
      <c r="F2603" t="s">
        <v>130</v>
      </c>
      <c r="G2603" t="s">
        <v>22</v>
      </c>
      <c r="H2603" t="s">
        <v>31</v>
      </c>
      <c r="I2603" t="s">
        <v>112</v>
      </c>
      <c r="J2603" t="s">
        <v>113</v>
      </c>
      <c r="K2603">
        <v>10</v>
      </c>
      <c r="L2603" s="2">
        <v>362.98</v>
      </c>
      <c r="M2603" s="3">
        <v>0.15</v>
      </c>
      <c r="N2603" s="2">
        <v>3085.33</v>
      </c>
      <c r="O2603" s="2">
        <v>2378.6</v>
      </c>
      <c r="P2603" s="2">
        <v>706.73</v>
      </c>
      <c r="Q2603" t="s">
        <v>34</v>
      </c>
    </row>
    <row r="2604" spans="1:17" x14ac:dyDescent="0.2">
      <c r="A2604" t="s">
        <v>2769</v>
      </c>
      <c r="B2604" s="1">
        <v>45977</v>
      </c>
      <c r="C2604" t="s">
        <v>43</v>
      </c>
      <c r="D2604" t="s">
        <v>161</v>
      </c>
      <c r="E2604" t="s">
        <v>162</v>
      </c>
      <c r="F2604" t="s">
        <v>130</v>
      </c>
      <c r="G2604" t="s">
        <v>22</v>
      </c>
      <c r="H2604" t="s">
        <v>23</v>
      </c>
      <c r="I2604" t="s">
        <v>24</v>
      </c>
      <c r="J2604" t="s">
        <v>220</v>
      </c>
      <c r="K2604">
        <v>4</v>
      </c>
      <c r="L2604" s="2">
        <v>19.38</v>
      </c>
      <c r="M2604" s="3">
        <v>0.05</v>
      </c>
      <c r="N2604" s="2">
        <v>73.64</v>
      </c>
      <c r="O2604" s="2">
        <v>43.97</v>
      </c>
      <c r="P2604" s="2">
        <v>29.67</v>
      </c>
      <c r="Q2604" t="s">
        <v>34</v>
      </c>
    </row>
    <row r="2605" spans="1:17" x14ac:dyDescent="0.2">
      <c r="A2605" t="s">
        <v>2770</v>
      </c>
      <c r="B2605" s="1">
        <v>45977</v>
      </c>
      <c r="C2605" t="s">
        <v>36</v>
      </c>
      <c r="D2605" t="s">
        <v>110</v>
      </c>
      <c r="E2605" t="s">
        <v>203</v>
      </c>
      <c r="F2605" t="s">
        <v>21</v>
      </c>
      <c r="G2605" t="s">
        <v>22</v>
      </c>
      <c r="H2605" t="s">
        <v>31</v>
      </c>
      <c r="I2605" t="s">
        <v>40</v>
      </c>
      <c r="J2605" t="s">
        <v>122</v>
      </c>
      <c r="K2605">
        <v>3</v>
      </c>
      <c r="L2605" s="2">
        <v>183.89</v>
      </c>
      <c r="M2605" s="3">
        <v>0.05</v>
      </c>
      <c r="N2605" s="2">
        <v>524.09</v>
      </c>
      <c r="O2605" s="2">
        <v>387.85</v>
      </c>
      <c r="P2605" s="2">
        <v>136.24</v>
      </c>
      <c r="Q2605" t="s">
        <v>61</v>
      </c>
    </row>
    <row r="2606" spans="1:17" x14ac:dyDescent="0.2">
      <c r="A2606" t="s">
        <v>2771</v>
      </c>
      <c r="B2606" s="1">
        <v>45977</v>
      </c>
      <c r="C2606" t="s">
        <v>18</v>
      </c>
      <c r="D2606" t="s">
        <v>133</v>
      </c>
      <c r="E2606" t="s">
        <v>226</v>
      </c>
      <c r="F2606" t="s">
        <v>60</v>
      </c>
      <c r="G2606" t="s">
        <v>22</v>
      </c>
      <c r="H2606" t="s">
        <v>31</v>
      </c>
      <c r="I2606" t="s">
        <v>32</v>
      </c>
      <c r="J2606" t="s">
        <v>33</v>
      </c>
      <c r="K2606">
        <v>7</v>
      </c>
      <c r="L2606" s="2">
        <v>777.77</v>
      </c>
      <c r="M2606" s="3">
        <v>0.05</v>
      </c>
      <c r="N2606" s="2">
        <v>5172.17</v>
      </c>
      <c r="O2606" s="2">
        <v>3856.58</v>
      </c>
      <c r="P2606" s="2">
        <v>1315.59</v>
      </c>
      <c r="Q2606" t="s">
        <v>57</v>
      </c>
    </row>
    <row r="2607" spans="1:17" x14ac:dyDescent="0.2">
      <c r="A2607" t="s">
        <v>2772</v>
      </c>
      <c r="B2607" s="1">
        <v>45977</v>
      </c>
      <c r="C2607" t="s">
        <v>36</v>
      </c>
      <c r="D2607" t="s">
        <v>73</v>
      </c>
      <c r="E2607" t="s">
        <v>212</v>
      </c>
      <c r="F2607" t="s">
        <v>138</v>
      </c>
      <c r="G2607" t="s">
        <v>22</v>
      </c>
      <c r="H2607" t="s">
        <v>47</v>
      </c>
      <c r="I2607" t="s">
        <v>97</v>
      </c>
      <c r="J2607" t="s">
        <v>116</v>
      </c>
      <c r="K2607">
        <v>2</v>
      </c>
      <c r="L2607" s="2">
        <v>389.5</v>
      </c>
      <c r="M2607" s="3">
        <v>0.2</v>
      </c>
      <c r="N2607" s="2">
        <v>623.20000000000005</v>
      </c>
      <c r="O2607" s="2">
        <v>423.78</v>
      </c>
      <c r="P2607" s="2">
        <v>199.42</v>
      </c>
      <c r="Q2607" t="s">
        <v>61</v>
      </c>
    </row>
    <row r="2608" spans="1:17" x14ac:dyDescent="0.2">
      <c r="A2608" t="s">
        <v>2773</v>
      </c>
      <c r="B2608" s="1">
        <v>45977</v>
      </c>
      <c r="C2608" t="s">
        <v>43</v>
      </c>
      <c r="D2608" t="s">
        <v>161</v>
      </c>
      <c r="E2608" t="s">
        <v>418</v>
      </c>
      <c r="F2608" t="s">
        <v>130</v>
      </c>
      <c r="G2608" t="s">
        <v>54</v>
      </c>
      <c r="H2608" t="s">
        <v>31</v>
      </c>
      <c r="I2608" t="s">
        <v>40</v>
      </c>
      <c r="J2608" t="s">
        <v>216</v>
      </c>
      <c r="K2608">
        <v>5</v>
      </c>
      <c r="L2608" s="2">
        <v>196.83</v>
      </c>
      <c r="M2608" s="3">
        <v>0.05</v>
      </c>
      <c r="N2608" s="2">
        <v>934.94</v>
      </c>
      <c r="O2608" s="2">
        <v>766.44</v>
      </c>
      <c r="P2608" s="2">
        <v>168.5</v>
      </c>
      <c r="Q2608" t="s">
        <v>61</v>
      </c>
    </row>
    <row r="2609" spans="1:17" x14ac:dyDescent="0.2">
      <c r="A2609" t="s">
        <v>2774</v>
      </c>
      <c r="B2609" s="1">
        <v>45978</v>
      </c>
      <c r="C2609" t="s">
        <v>36</v>
      </c>
      <c r="D2609" t="s">
        <v>67</v>
      </c>
      <c r="E2609" t="s">
        <v>270</v>
      </c>
      <c r="F2609" t="s">
        <v>71</v>
      </c>
      <c r="G2609" t="s">
        <v>75</v>
      </c>
      <c r="H2609" t="s">
        <v>31</v>
      </c>
      <c r="I2609" t="s">
        <v>40</v>
      </c>
      <c r="J2609" t="s">
        <v>216</v>
      </c>
      <c r="K2609">
        <v>5</v>
      </c>
      <c r="L2609" s="2">
        <v>149.9</v>
      </c>
      <c r="M2609" s="3">
        <v>0</v>
      </c>
      <c r="N2609" s="2">
        <v>749.5</v>
      </c>
      <c r="O2609" s="2">
        <v>514.29999999999995</v>
      </c>
      <c r="P2609" s="2">
        <v>235.2</v>
      </c>
      <c r="Q2609" t="s">
        <v>26</v>
      </c>
    </row>
    <row r="2610" spans="1:17" x14ac:dyDescent="0.2">
      <c r="A2610" t="s">
        <v>2775</v>
      </c>
      <c r="B2610" s="1">
        <v>45978</v>
      </c>
      <c r="C2610" t="s">
        <v>36</v>
      </c>
      <c r="D2610" t="s">
        <v>110</v>
      </c>
      <c r="E2610" t="s">
        <v>115</v>
      </c>
      <c r="F2610" t="s">
        <v>130</v>
      </c>
      <c r="G2610" t="s">
        <v>75</v>
      </c>
      <c r="H2610" t="s">
        <v>47</v>
      </c>
      <c r="I2610" t="s">
        <v>97</v>
      </c>
      <c r="J2610" t="s">
        <v>116</v>
      </c>
      <c r="K2610">
        <v>9</v>
      </c>
      <c r="L2610" s="2">
        <v>205.66</v>
      </c>
      <c r="M2610" s="3">
        <v>0</v>
      </c>
      <c r="N2610" s="2">
        <v>1850.94</v>
      </c>
      <c r="O2610" s="2">
        <v>1109.9000000000001</v>
      </c>
      <c r="P2610" s="2">
        <v>741.04</v>
      </c>
      <c r="Q2610" t="s">
        <v>61</v>
      </c>
    </row>
    <row r="2611" spans="1:17" x14ac:dyDescent="0.2">
      <c r="A2611" t="s">
        <v>2776</v>
      </c>
      <c r="B2611" s="1">
        <v>45978</v>
      </c>
      <c r="C2611" t="s">
        <v>36</v>
      </c>
      <c r="D2611" t="s">
        <v>73</v>
      </c>
      <c r="E2611" t="s">
        <v>212</v>
      </c>
      <c r="F2611" t="s">
        <v>46</v>
      </c>
      <c r="G2611" t="s">
        <v>75</v>
      </c>
      <c r="H2611" t="s">
        <v>23</v>
      </c>
      <c r="I2611" t="s">
        <v>55</v>
      </c>
      <c r="J2611" t="s">
        <v>173</v>
      </c>
      <c r="K2611">
        <v>6</v>
      </c>
      <c r="L2611" s="2">
        <v>19.02</v>
      </c>
      <c r="M2611" s="3">
        <v>0</v>
      </c>
      <c r="N2611" s="2">
        <v>114.12</v>
      </c>
      <c r="O2611" s="2">
        <v>88.87</v>
      </c>
      <c r="P2611" s="2">
        <v>25.25</v>
      </c>
      <c r="Q2611" t="s">
        <v>34</v>
      </c>
    </row>
    <row r="2612" spans="1:17" x14ac:dyDescent="0.2">
      <c r="A2612" t="s">
        <v>2777</v>
      </c>
      <c r="B2612" s="1">
        <v>45978</v>
      </c>
      <c r="C2612" t="s">
        <v>43</v>
      </c>
      <c r="D2612" t="s">
        <v>161</v>
      </c>
      <c r="E2612" t="s">
        <v>162</v>
      </c>
      <c r="F2612" t="s">
        <v>138</v>
      </c>
      <c r="G2612" t="s">
        <v>54</v>
      </c>
      <c r="H2612" t="s">
        <v>23</v>
      </c>
      <c r="I2612" t="s">
        <v>79</v>
      </c>
      <c r="J2612" t="s">
        <v>233</v>
      </c>
      <c r="K2612">
        <v>10</v>
      </c>
      <c r="L2612" s="2">
        <v>178.06</v>
      </c>
      <c r="M2612" s="3">
        <v>0.15</v>
      </c>
      <c r="N2612" s="2">
        <v>1513.51</v>
      </c>
      <c r="O2612" s="2">
        <v>1213.58</v>
      </c>
      <c r="P2612" s="2">
        <v>299.93</v>
      </c>
      <c r="Q2612" t="s">
        <v>57</v>
      </c>
    </row>
    <row r="2613" spans="1:17" x14ac:dyDescent="0.2">
      <c r="A2613" t="s">
        <v>2778</v>
      </c>
      <c r="B2613" s="1">
        <v>45979</v>
      </c>
      <c r="C2613" t="s">
        <v>18</v>
      </c>
      <c r="D2613" t="s">
        <v>19</v>
      </c>
      <c r="E2613" t="s">
        <v>118</v>
      </c>
      <c r="F2613" t="s">
        <v>69</v>
      </c>
      <c r="G2613" t="s">
        <v>75</v>
      </c>
      <c r="H2613" t="s">
        <v>31</v>
      </c>
      <c r="I2613" t="s">
        <v>112</v>
      </c>
      <c r="J2613" t="s">
        <v>176</v>
      </c>
      <c r="K2613">
        <v>3</v>
      </c>
      <c r="L2613" s="2">
        <v>647.53</v>
      </c>
      <c r="M2613" s="3">
        <v>0.05</v>
      </c>
      <c r="N2613" s="2">
        <v>1845.46</v>
      </c>
      <c r="O2613" s="2">
        <v>1220.1300000000001</v>
      </c>
      <c r="P2613" s="2">
        <v>625.33000000000004</v>
      </c>
      <c r="Q2613" t="s">
        <v>57</v>
      </c>
    </row>
    <row r="2614" spans="1:17" x14ac:dyDescent="0.2">
      <c r="A2614" t="s">
        <v>2779</v>
      </c>
      <c r="B2614" s="1">
        <v>45979</v>
      </c>
      <c r="C2614" t="s">
        <v>77</v>
      </c>
      <c r="D2614" t="s">
        <v>78</v>
      </c>
      <c r="E2614" t="s">
        <v>295</v>
      </c>
      <c r="F2614" t="s">
        <v>21</v>
      </c>
      <c r="G2614" t="s">
        <v>54</v>
      </c>
      <c r="H2614" t="s">
        <v>23</v>
      </c>
      <c r="I2614" t="s">
        <v>55</v>
      </c>
      <c r="J2614" t="s">
        <v>56</v>
      </c>
      <c r="K2614">
        <v>3</v>
      </c>
      <c r="L2614" s="2">
        <v>15.31</v>
      </c>
      <c r="M2614" s="3">
        <v>0</v>
      </c>
      <c r="N2614" s="2">
        <v>45.93</v>
      </c>
      <c r="O2614" s="2">
        <v>26.54</v>
      </c>
      <c r="P2614" s="2">
        <v>19.39</v>
      </c>
      <c r="Q2614" t="s">
        <v>34</v>
      </c>
    </row>
    <row r="2615" spans="1:17" x14ac:dyDescent="0.2">
      <c r="A2615" t="s">
        <v>2780</v>
      </c>
      <c r="B2615" s="1">
        <v>45979</v>
      </c>
      <c r="C2615" t="s">
        <v>77</v>
      </c>
      <c r="D2615" t="s">
        <v>149</v>
      </c>
      <c r="E2615" t="s">
        <v>206</v>
      </c>
      <c r="F2615" t="s">
        <v>53</v>
      </c>
      <c r="G2615" t="s">
        <v>22</v>
      </c>
      <c r="H2615" t="s">
        <v>23</v>
      </c>
      <c r="I2615" t="s">
        <v>79</v>
      </c>
      <c r="J2615" t="s">
        <v>233</v>
      </c>
      <c r="K2615">
        <v>6</v>
      </c>
      <c r="L2615" s="2">
        <v>537.65</v>
      </c>
      <c r="M2615" s="3">
        <v>0.05</v>
      </c>
      <c r="N2615" s="2">
        <v>3064.6</v>
      </c>
      <c r="O2615" s="2">
        <v>1743.33</v>
      </c>
      <c r="P2615" s="2">
        <v>1321.27</v>
      </c>
      <c r="Q2615" t="s">
        <v>34</v>
      </c>
    </row>
    <row r="2616" spans="1:17" x14ac:dyDescent="0.2">
      <c r="A2616" t="s">
        <v>2781</v>
      </c>
      <c r="B2616" s="1">
        <v>45979</v>
      </c>
      <c r="C2616" t="s">
        <v>18</v>
      </c>
      <c r="D2616" t="s">
        <v>133</v>
      </c>
      <c r="E2616" t="s">
        <v>226</v>
      </c>
      <c r="F2616" t="s">
        <v>130</v>
      </c>
      <c r="G2616" t="s">
        <v>22</v>
      </c>
      <c r="H2616" t="s">
        <v>31</v>
      </c>
      <c r="I2616" t="s">
        <v>40</v>
      </c>
      <c r="J2616" t="s">
        <v>122</v>
      </c>
      <c r="K2616">
        <v>5</v>
      </c>
      <c r="L2616" s="2">
        <v>149.88</v>
      </c>
      <c r="M2616" s="3">
        <v>0</v>
      </c>
      <c r="N2616" s="2">
        <v>749.4</v>
      </c>
      <c r="O2616" s="2">
        <v>437.11</v>
      </c>
      <c r="P2616" s="2">
        <v>312.29000000000002</v>
      </c>
      <c r="Q2616" t="s">
        <v>57</v>
      </c>
    </row>
    <row r="2617" spans="1:17" x14ac:dyDescent="0.2">
      <c r="A2617" t="s">
        <v>2782</v>
      </c>
      <c r="B2617" s="1">
        <v>45979</v>
      </c>
      <c r="C2617" t="s">
        <v>43</v>
      </c>
      <c r="D2617" t="s">
        <v>51</v>
      </c>
      <c r="E2617" t="s">
        <v>63</v>
      </c>
      <c r="F2617" t="s">
        <v>138</v>
      </c>
      <c r="G2617" t="s">
        <v>75</v>
      </c>
      <c r="H2617" t="s">
        <v>31</v>
      </c>
      <c r="I2617" t="s">
        <v>64</v>
      </c>
      <c r="J2617" t="s">
        <v>252</v>
      </c>
      <c r="K2617">
        <v>5</v>
      </c>
      <c r="L2617" s="2">
        <v>102.78</v>
      </c>
      <c r="M2617" s="3">
        <v>0.1</v>
      </c>
      <c r="N2617" s="2">
        <v>462.51</v>
      </c>
      <c r="O2617" s="2">
        <v>345.78</v>
      </c>
      <c r="P2617" s="2">
        <v>116.73</v>
      </c>
      <c r="Q2617" t="s">
        <v>34</v>
      </c>
    </row>
    <row r="2618" spans="1:17" x14ac:dyDescent="0.2">
      <c r="A2618" t="s">
        <v>2783</v>
      </c>
      <c r="B2618" s="1">
        <v>45979</v>
      </c>
      <c r="C2618" t="s">
        <v>43</v>
      </c>
      <c r="D2618" t="s">
        <v>244</v>
      </c>
      <c r="E2618" t="s">
        <v>326</v>
      </c>
      <c r="F2618" t="s">
        <v>21</v>
      </c>
      <c r="G2618" t="s">
        <v>75</v>
      </c>
      <c r="H2618" t="s">
        <v>23</v>
      </c>
      <c r="I2618" t="s">
        <v>55</v>
      </c>
      <c r="J2618" t="s">
        <v>102</v>
      </c>
      <c r="K2618">
        <v>2</v>
      </c>
      <c r="L2618" s="2">
        <v>19.170000000000002</v>
      </c>
      <c r="M2618" s="3">
        <v>0.1</v>
      </c>
      <c r="N2618" s="2">
        <v>34.51</v>
      </c>
      <c r="O2618" s="2">
        <v>25.15</v>
      </c>
      <c r="P2618" s="2">
        <v>9.36</v>
      </c>
      <c r="Q2618" t="s">
        <v>57</v>
      </c>
    </row>
    <row r="2619" spans="1:17" x14ac:dyDescent="0.2">
      <c r="A2619" t="s">
        <v>2784</v>
      </c>
      <c r="B2619" s="1">
        <v>45979</v>
      </c>
      <c r="C2619" t="s">
        <v>77</v>
      </c>
      <c r="D2619" t="s">
        <v>149</v>
      </c>
      <c r="E2619" t="s">
        <v>206</v>
      </c>
      <c r="F2619" t="s">
        <v>130</v>
      </c>
      <c r="G2619" t="s">
        <v>54</v>
      </c>
      <c r="H2619" t="s">
        <v>23</v>
      </c>
      <c r="I2619" t="s">
        <v>55</v>
      </c>
      <c r="J2619" t="s">
        <v>173</v>
      </c>
      <c r="K2619">
        <v>7</v>
      </c>
      <c r="L2619" s="2">
        <v>23.59</v>
      </c>
      <c r="M2619" s="3">
        <v>0.15</v>
      </c>
      <c r="N2619" s="2">
        <v>140.36000000000001</v>
      </c>
      <c r="O2619" s="2">
        <v>98.87</v>
      </c>
      <c r="P2619" s="2">
        <v>41.49</v>
      </c>
      <c r="Q2619" t="s">
        <v>26</v>
      </c>
    </row>
    <row r="2620" spans="1:17" x14ac:dyDescent="0.2">
      <c r="A2620" t="s">
        <v>2785</v>
      </c>
      <c r="B2620" s="1">
        <v>45979</v>
      </c>
      <c r="C2620" t="s">
        <v>18</v>
      </c>
      <c r="D2620" t="s">
        <v>28</v>
      </c>
      <c r="E2620" t="s">
        <v>170</v>
      </c>
      <c r="F2620" t="s">
        <v>21</v>
      </c>
      <c r="G2620" t="s">
        <v>75</v>
      </c>
      <c r="H2620" t="s">
        <v>23</v>
      </c>
      <c r="I2620" t="s">
        <v>83</v>
      </c>
      <c r="J2620" t="s">
        <v>131</v>
      </c>
      <c r="K2620">
        <v>3</v>
      </c>
      <c r="L2620" s="2">
        <v>22.12</v>
      </c>
      <c r="M2620" s="3">
        <v>0</v>
      </c>
      <c r="N2620" s="2">
        <v>66.36</v>
      </c>
      <c r="O2620" s="2">
        <v>36.700000000000003</v>
      </c>
      <c r="P2620" s="2">
        <v>29.66</v>
      </c>
      <c r="Q2620" t="s">
        <v>61</v>
      </c>
    </row>
    <row r="2621" spans="1:17" x14ac:dyDescent="0.2">
      <c r="A2621" t="s">
        <v>2786</v>
      </c>
      <c r="B2621" s="1">
        <v>45979</v>
      </c>
      <c r="C2621" t="s">
        <v>43</v>
      </c>
      <c r="D2621" t="s">
        <v>161</v>
      </c>
      <c r="E2621" t="s">
        <v>172</v>
      </c>
      <c r="F2621" t="s">
        <v>46</v>
      </c>
      <c r="G2621" t="s">
        <v>75</v>
      </c>
      <c r="H2621" t="s">
        <v>47</v>
      </c>
      <c r="I2621" t="s">
        <v>97</v>
      </c>
      <c r="J2621" t="s">
        <v>168</v>
      </c>
      <c r="K2621">
        <v>8</v>
      </c>
      <c r="L2621" s="2">
        <v>407.36</v>
      </c>
      <c r="M2621" s="3">
        <v>0.1</v>
      </c>
      <c r="N2621" s="2">
        <v>2932.99</v>
      </c>
      <c r="O2621" s="2">
        <v>2173.7399999999998</v>
      </c>
      <c r="P2621" s="2">
        <v>759.25</v>
      </c>
      <c r="Q2621" t="s">
        <v>34</v>
      </c>
    </row>
    <row r="2622" spans="1:17" x14ac:dyDescent="0.2">
      <c r="A2622" t="s">
        <v>2787</v>
      </c>
      <c r="B2622" s="1">
        <v>45979</v>
      </c>
      <c r="C2622" t="s">
        <v>18</v>
      </c>
      <c r="D2622" t="s">
        <v>152</v>
      </c>
      <c r="E2622" t="s">
        <v>185</v>
      </c>
      <c r="F2622" t="s">
        <v>130</v>
      </c>
      <c r="G2622" t="s">
        <v>75</v>
      </c>
      <c r="H2622" t="s">
        <v>31</v>
      </c>
      <c r="I2622" t="s">
        <v>40</v>
      </c>
      <c r="J2622" t="s">
        <v>41</v>
      </c>
      <c r="K2622">
        <v>5</v>
      </c>
      <c r="L2622" s="2">
        <v>103.42</v>
      </c>
      <c r="M2622" s="3">
        <v>0.15</v>
      </c>
      <c r="N2622" s="2">
        <v>439.54</v>
      </c>
      <c r="O2622" s="2">
        <v>346.45</v>
      </c>
      <c r="P2622" s="2">
        <v>93.09</v>
      </c>
      <c r="Q2622" t="s">
        <v>57</v>
      </c>
    </row>
    <row r="2623" spans="1:17" x14ac:dyDescent="0.2">
      <c r="A2623" t="s">
        <v>2788</v>
      </c>
      <c r="B2623" s="1">
        <v>45979</v>
      </c>
      <c r="C2623" t="s">
        <v>43</v>
      </c>
      <c r="D2623" t="s">
        <v>161</v>
      </c>
      <c r="E2623" t="s">
        <v>418</v>
      </c>
      <c r="F2623" t="s">
        <v>53</v>
      </c>
      <c r="G2623" t="s">
        <v>22</v>
      </c>
      <c r="H2623" t="s">
        <v>31</v>
      </c>
      <c r="I2623" t="s">
        <v>112</v>
      </c>
      <c r="J2623" t="s">
        <v>176</v>
      </c>
      <c r="K2623">
        <v>8</v>
      </c>
      <c r="L2623" s="2">
        <v>326.27</v>
      </c>
      <c r="M2623" s="3">
        <v>0.05</v>
      </c>
      <c r="N2623" s="2">
        <v>2479.65</v>
      </c>
      <c r="O2623" s="2">
        <v>1363.97</v>
      </c>
      <c r="P2623" s="2">
        <v>1115.68</v>
      </c>
      <c r="Q2623" t="s">
        <v>26</v>
      </c>
    </row>
    <row r="2624" spans="1:17" x14ac:dyDescent="0.2">
      <c r="A2624" t="s">
        <v>2789</v>
      </c>
      <c r="B2624" s="1">
        <v>45979</v>
      </c>
      <c r="C2624" t="s">
        <v>36</v>
      </c>
      <c r="D2624" t="s">
        <v>37</v>
      </c>
      <c r="E2624" t="s">
        <v>255</v>
      </c>
      <c r="F2624" t="s">
        <v>71</v>
      </c>
      <c r="G2624" t="s">
        <v>22</v>
      </c>
      <c r="H2624" t="s">
        <v>23</v>
      </c>
      <c r="I2624" t="s">
        <v>83</v>
      </c>
      <c r="J2624" t="s">
        <v>131</v>
      </c>
      <c r="K2624">
        <v>9</v>
      </c>
      <c r="L2624" s="2">
        <v>29.15</v>
      </c>
      <c r="M2624" s="3">
        <v>0.2</v>
      </c>
      <c r="N2624" s="2">
        <v>209.88</v>
      </c>
      <c r="O2624" s="2">
        <v>145.54</v>
      </c>
      <c r="P2624" s="2">
        <v>64.34</v>
      </c>
      <c r="Q2624" t="s">
        <v>61</v>
      </c>
    </row>
    <row r="2625" spans="1:17" x14ac:dyDescent="0.2">
      <c r="A2625" t="s">
        <v>2790</v>
      </c>
      <c r="B2625" s="1">
        <v>45979</v>
      </c>
      <c r="C2625" t="s">
        <v>36</v>
      </c>
      <c r="D2625" t="s">
        <v>110</v>
      </c>
      <c r="E2625" t="s">
        <v>115</v>
      </c>
      <c r="F2625" t="s">
        <v>60</v>
      </c>
      <c r="G2625" t="s">
        <v>22</v>
      </c>
      <c r="H2625" t="s">
        <v>47</v>
      </c>
      <c r="I2625" t="s">
        <v>141</v>
      </c>
      <c r="J2625" t="s">
        <v>201</v>
      </c>
      <c r="K2625">
        <v>8</v>
      </c>
      <c r="L2625" s="2">
        <v>234.61</v>
      </c>
      <c r="M2625" s="3">
        <v>0.05</v>
      </c>
      <c r="N2625" s="2">
        <v>1783.04</v>
      </c>
      <c r="O2625" s="2">
        <v>1352.5</v>
      </c>
      <c r="P2625" s="2">
        <v>430.54</v>
      </c>
      <c r="Q2625" t="s">
        <v>61</v>
      </c>
    </row>
    <row r="2626" spans="1:17" x14ac:dyDescent="0.2">
      <c r="A2626" t="s">
        <v>2791</v>
      </c>
      <c r="B2626" s="1">
        <v>45979</v>
      </c>
      <c r="C2626" t="s">
        <v>77</v>
      </c>
      <c r="D2626" t="s">
        <v>95</v>
      </c>
      <c r="E2626" t="s">
        <v>367</v>
      </c>
      <c r="F2626" t="s">
        <v>39</v>
      </c>
      <c r="G2626" t="s">
        <v>75</v>
      </c>
      <c r="H2626" t="s">
        <v>31</v>
      </c>
      <c r="I2626" t="s">
        <v>112</v>
      </c>
      <c r="J2626" t="s">
        <v>176</v>
      </c>
      <c r="K2626">
        <v>7</v>
      </c>
      <c r="L2626" s="2">
        <v>465.19</v>
      </c>
      <c r="M2626" s="3">
        <v>0.05</v>
      </c>
      <c r="N2626" s="2">
        <v>3093.51</v>
      </c>
      <c r="O2626" s="2">
        <v>2157.14</v>
      </c>
      <c r="P2626" s="2">
        <v>936.37</v>
      </c>
      <c r="Q2626" t="s">
        <v>34</v>
      </c>
    </row>
    <row r="2627" spans="1:17" x14ac:dyDescent="0.2">
      <c r="A2627" t="s">
        <v>2792</v>
      </c>
      <c r="B2627" s="1">
        <v>45980</v>
      </c>
      <c r="C2627" t="s">
        <v>18</v>
      </c>
      <c r="D2627" t="s">
        <v>133</v>
      </c>
      <c r="E2627" t="s">
        <v>134</v>
      </c>
      <c r="F2627" t="s">
        <v>71</v>
      </c>
      <c r="G2627" t="s">
        <v>75</v>
      </c>
      <c r="H2627" t="s">
        <v>47</v>
      </c>
      <c r="I2627" t="s">
        <v>141</v>
      </c>
      <c r="J2627" t="s">
        <v>142</v>
      </c>
      <c r="K2627">
        <v>6</v>
      </c>
      <c r="L2627" s="2">
        <v>302.68</v>
      </c>
      <c r="M2627" s="3">
        <v>0.1</v>
      </c>
      <c r="N2627" s="2">
        <v>1634.47</v>
      </c>
      <c r="O2627" s="2">
        <v>1006.53</v>
      </c>
      <c r="P2627" s="2">
        <v>627.94000000000005</v>
      </c>
      <c r="Q2627" t="s">
        <v>34</v>
      </c>
    </row>
    <row r="2628" spans="1:17" x14ac:dyDescent="0.2">
      <c r="A2628" t="s">
        <v>2793</v>
      </c>
      <c r="B2628" s="1">
        <v>45980</v>
      </c>
      <c r="C2628" t="s">
        <v>43</v>
      </c>
      <c r="D2628" t="s">
        <v>51</v>
      </c>
      <c r="E2628" t="s">
        <v>52</v>
      </c>
      <c r="F2628" t="s">
        <v>130</v>
      </c>
      <c r="G2628" t="s">
        <v>75</v>
      </c>
      <c r="H2628" t="s">
        <v>47</v>
      </c>
      <c r="I2628" t="s">
        <v>48</v>
      </c>
      <c r="J2628" t="s">
        <v>49</v>
      </c>
      <c r="K2628">
        <v>4</v>
      </c>
      <c r="L2628" s="2">
        <v>545.62</v>
      </c>
      <c r="M2628" s="3">
        <v>0</v>
      </c>
      <c r="N2628" s="2">
        <v>2182.48</v>
      </c>
      <c r="O2628" s="2">
        <v>1336.31</v>
      </c>
      <c r="P2628" s="2">
        <v>846.17</v>
      </c>
      <c r="Q2628" t="s">
        <v>34</v>
      </c>
    </row>
    <row r="2629" spans="1:17" x14ac:dyDescent="0.2">
      <c r="A2629" t="s">
        <v>2794</v>
      </c>
      <c r="B2629" s="1">
        <v>45980</v>
      </c>
      <c r="C2629" t="s">
        <v>36</v>
      </c>
      <c r="D2629" t="s">
        <v>110</v>
      </c>
      <c r="E2629" t="s">
        <v>111</v>
      </c>
      <c r="F2629" t="s">
        <v>53</v>
      </c>
      <c r="G2629" t="s">
        <v>54</v>
      </c>
      <c r="H2629" t="s">
        <v>23</v>
      </c>
      <c r="I2629" t="s">
        <v>79</v>
      </c>
      <c r="J2629" t="s">
        <v>233</v>
      </c>
      <c r="K2629">
        <v>2</v>
      </c>
      <c r="L2629" s="2">
        <v>301.43</v>
      </c>
      <c r="M2629" s="3">
        <v>0.1</v>
      </c>
      <c r="N2629" s="2">
        <v>542.57000000000005</v>
      </c>
      <c r="O2629" s="2">
        <v>349.19</v>
      </c>
      <c r="P2629" s="2">
        <v>193.38</v>
      </c>
      <c r="Q2629" t="s">
        <v>61</v>
      </c>
    </row>
    <row r="2630" spans="1:17" x14ac:dyDescent="0.2">
      <c r="A2630" t="s">
        <v>2795</v>
      </c>
      <c r="B2630" s="1">
        <v>45980</v>
      </c>
      <c r="C2630" t="s">
        <v>43</v>
      </c>
      <c r="D2630" t="s">
        <v>161</v>
      </c>
      <c r="E2630" t="s">
        <v>162</v>
      </c>
      <c r="F2630" t="s">
        <v>71</v>
      </c>
      <c r="G2630" t="s">
        <v>54</v>
      </c>
      <c r="H2630" t="s">
        <v>31</v>
      </c>
      <c r="I2630" t="s">
        <v>64</v>
      </c>
      <c r="J2630" t="s">
        <v>252</v>
      </c>
      <c r="K2630">
        <v>7</v>
      </c>
      <c r="L2630" s="2">
        <v>81.11</v>
      </c>
      <c r="M2630" s="3">
        <v>0.05</v>
      </c>
      <c r="N2630" s="2">
        <v>539.38</v>
      </c>
      <c r="O2630" s="2">
        <v>302.8</v>
      </c>
      <c r="P2630" s="2">
        <v>236.58</v>
      </c>
      <c r="Q2630" t="s">
        <v>57</v>
      </c>
    </row>
    <row r="2631" spans="1:17" x14ac:dyDescent="0.2">
      <c r="A2631" t="s">
        <v>2796</v>
      </c>
      <c r="B2631" s="1">
        <v>45980</v>
      </c>
      <c r="C2631" t="s">
        <v>18</v>
      </c>
      <c r="D2631" t="s">
        <v>133</v>
      </c>
      <c r="E2631" t="s">
        <v>226</v>
      </c>
      <c r="F2631" t="s">
        <v>53</v>
      </c>
      <c r="G2631" t="s">
        <v>54</v>
      </c>
      <c r="H2631" t="s">
        <v>31</v>
      </c>
      <c r="I2631" t="s">
        <v>32</v>
      </c>
      <c r="J2631" t="s">
        <v>258</v>
      </c>
      <c r="K2631">
        <v>9</v>
      </c>
      <c r="L2631" s="2">
        <v>1235.3599999999999</v>
      </c>
      <c r="M2631" s="3">
        <v>0.05</v>
      </c>
      <c r="N2631" s="2">
        <v>10562.33</v>
      </c>
      <c r="O2631" s="2">
        <v>5899.59</v>
      </c>
      <c r="P2631" s="2">
        <v>4662.74</v>
      </c>
      <c r="Q2631" t="s">
        <v>26</v>
      </c>
    </row>
    <row r="2632" spans="1:17" x14ac:dyDescent="0.2">
      <c r="A2632" t="s">
        <v>2797</v>
      </c>
      <c r="B2632" s="1">
        <v>45980</v>
      </c>
      <c r="C2632" t="s">
        <v>43</v>
      </c>
      <c r="D2632" t="s">
        <v>208</v>
      </c>
      <c r="E2632" t="s">
        <v>209</v>
      </c>
      <c r="F2632" t="s">
        <v>71</v>
      </c>
      <c r="G2632" t="s">
        <v>22</v>
      </c>
      <c r="H2632" t="s">
        <v>23</v>
      </c>
      <c r="I2632" t="s">
        <v>55</v>
      </c>
      <c r="J2632" t="s">
        <v>173</v>
      </c>
      <c r="K2632">
        <v>1</v>
      </c>
      <c r="L2632" s="2">
        <v>18.11</v>
      </c>
      <c r="M2632" s="3">
        <v>0.05</v>
      </c>
      <c r="N2632" s="2">
        <v>17.2</v>
      </c>
      <c r="O2632" s="2">
        <v>12.62</v>
      </c>
      <c r="P2632" s="2">
        <v>4.58</v>
      </c>
      <c r="Q2632" t="s">
        <v>57</v>
      </c>
    </row>
    <row r="2633" spans="1:17" x14ac:dyDescent="0.2">
      <c r="A2633" t="s">
        <v>2798</v>
      </c>
      <c r="B2633" s="1">
        <v>45980</v>
      </c>
      <c r="C2633" t="s">
        <v>36</v>
      </c>
      <c r="D2633" t="s">
        <v>67</v>
      </c>
      <c r="E2633" t="s">
        <v>270</v>
      </c>
      <c r="F2633" t="s">
        <v>71</v>
      </c>
      <c r="G2633" t="s">
        <v>75</v>
      </c>
      <c r="H2633" t="s">
        <v>47</v>
      </c>
      <c r="I2633" t="s">
        <v>97</v>
      </c>
      <c r="J2633" t="s">
        <v>116</v>
      </c>
      <c r="K2633">
        <v>9</v>
      </c>
      <c r="L2633" s="2">
        <v>374.48</v>
      </c>
      <c r="M2633" s="3">
        <v>0</v>
      </c>
      <c r="N2633" s="2">
        <v>3370.32</v>
      </c>
      <c r="O2633" s="2">
        <v>2384.7800000000002</v>
      </c>
      <c r="P2633" s="2">
        <v>985.54</v>
      </c>
      <c r="Q2633" t="s">
        <v>57</v>
      </c>
    </row>
    <row r="2634" spans="1:17" x14ac:dyDescent="0.2">
      <c r="A2634" t="s">
        <v>2799</v>
      </c>
      <c r="B2634" s="1">
        <v>45980</v>
      </c>
      <c r="C2634" t="s">
        <v>36</v>
      </c>
      <c r="D2634" t="s">
        <v>110</v>
      </c>
      <c r="E2634" t="s">
        <v>111</v>
      </c>
      <c r="F2634" t="s">
        <v>39</v>
      </c>
      <c r="G2634" t="s">
        <v>22</v>
      </c>
      <c r="H2634" t="s">
        <v>23</v>
      </c>
      <c r="I2634" t="s">
        <v>83</v>
      </c>
      <c r="J2634" t="s">
        <v>131</v>
      </c>
      <c r="K2634">
        <v>10</v>
      </c>
      <c r="L2634" s="2">
        <v>21.2</v>
      </c>
      <c r="M2634" s="3">
        <v>0.05</v>
      </c>
      <c r="N2634" s="2">
        <v>201.4</v>
      </c>
      <c r="O2634" s="2">
        <v>137.69</v>
      </c>
      <c r="P2634" s="2">
        <v>63.71</v>
      </c>
      <c r="Q2634" t="s">
        <v>57</v>
      </c>
    </row>
    <row r="2635" spans="1:17" x14ac:dyDescent="0.2">
      <c r="A2635" t="s">
        <v>2800</v>
      </c>
      <c r="B2635" s="1">
        <v>45981</v>
      </c>
      <c r="C2635" t="s">
        <v>36</v>
      </c>
      <c r="D2635" t="s">
        <v>144</v>
      </c>
      <c r="E2635" t="s">
        <v>232</v>
      </c>
      <c r="F2635" t="s">
        <v>53</v>
      </c>
      <c r="G2635" t="s">
        <v>54</v>
      </c>
      <c r="H2635" t="s">
        <v>23</v>
      </c>
      <c r="I2635" t="s">
        <v>24</v>
      </c>
      <c r="J2635" t="s">
        <v>108</v>
      </c>
      <c r="K2635">
        <v>9</v>
      </c>
      <c r="L2635" s="2">
        <v>13.36</v>
      </c>
      <c r="M2635" s="3">
        <v>0.05</v>
      </c>
      <c r="N2635" s="2">
        <v>114.23</v>
      </c>
      <c r="O2635" s="2">
        <v>70.88</v>
      </c>
      <c r="P2635" s="2">
        <v>43.35</v>
      </c>
      <c r="Q2635" t="s">
        <v>34</v>
      </c>
    </row>
    <row r="2636" spans="1:17" x14ac:dyDescent="0.2">
      <c r="A2636" t="s">
        <v>2801</v>
      </c>
      <c r="B2636" s="1">
        <v>45981</v>
      </c>
      <c r="C2636" t="s">
        <v>43</v>
      </c>
      <c r="D2636" t="s">
        <v>244</v>
      </c>
      <c r="E2636" t="s">
        <v>300</v>
      </c>
      <c r="F2636" t="s">
        <v>30</v>
      </c>
      <c r="G2636" t="s">
        <v>54</v>
      </c>
      <c r="H2636" t="s">
        <v>23</v>
      </c>
      <c r="I2636" t="s">
        <v>83</v>
      </c>
      <c r="J2636" t="s">
        <v>84</v>
      </c>
      <c r="K2636">
        <v>3</v>
      </c>
      <c r="L2636" s="2">
        <v>11.57</v>
      </c>
      <c r="M2636" s="3">
        <v>0</v>
      </c>
      <c r="N2636" s="2">
        <v>34.71</v>
      </c>
      <c r="O2636" s="2">
        <v>24.62</v>
      </c>
      <c r="P2636" s="2">
        <v>10.09</v>
      </c>
      <c r="Q2636" t="s">
        <v>26</v>
      </c>
    </row>
    <row r="2637" spans="1:17" x14ac:dyDescent="0.2">
      <c r="A2637" t="s">
        <v>2802</v>
      </c>
      <c r="B2637" s="1">
        <v>45981</v>
      </c>
      <c r="C2637" t="s">
        <v>77</v>
      </c>
      <c r="D2637" t="s">
        <v>128</v>
      </c>
      <c r="E2637" t="s">
        <v>129</v>
      </c>
      <c r="F2637" t="s">
        <v>130</v>
      </c>
      <c r="G2637" t="s">
        <v>22</v>
      </c>
      <c r="H2637" t="s">
        <v>23</v>
      </c>
      <c r="I2637" t="s">
        <v>83</v>
      </c>
      <c r="J2637" t="s">
        <v>84</v>
      </c>
      <c r="K2637">
        <v>7</v>
      </c>
      <c r="L2637" s="2">
        <v>31.07</v>
      </c>
      <c r="M2637" s="3">
        <v>0.15</v>
      </c>
      <c r="N2637" s="2">
        <v>184.87</v>
      </c>
      <c r="O2637" s="2">
        <v>117.38</v>
      </c>
      <c r="P2637" s="2">
        <v>67.489999999999995</v>
      </c>
      <c r="Q2637" t="s">
        <v>26</v>
      </c>
    </row>
    <row r="2638" spans="1:17" x14ac:dyDescent="0.2">
      <c r="A2638" t="s">
        <v>2803</v>
      </c>
      <c r="B2638" s="1">
        <v>45981</v>
      </c>
      <c r="C2638" t="s">
        <v>43</v>
      </c>
      <c r="D2638" t="s">
        <v>244</v>
      </c>
      <c r="E2638" t="s">
        <v>245</v>
      </c>
      <c r="F2638" t="s">
        <v>69</v>
      </c>
      <c r="G2638" t="s">
        <v>54</v>
      </c>
      <c r="H2638" t="s">
        <v>47</v>
      </c>
      <c r="I2638" t="s">
        <v>141</v>
      </c>
      <c r="J2638" t="s">
        <v>201</v>
      </c>
      <c r="K2638">
        <v>7</v>
      </c>
      <c r="L2638" s="2">
        <v>489.41</v>
      </c>
      <c r="M2638" s="3">
        <v>0.1</v>
      </c>
      <c r="N2638" s="2">
        <v>3083.28</v>
      </c>
      <c r="O2638" s="2">
        <v>2155.34</v>
      </c>
      <c r="P2638" s="2">
        <v>927.94</v>
      </c>
      <c r="Q2638" t="s">
        <v>26</v>
      </c>
    </row>
    <row r="2639" spans="1:17" x14ac:dyDescent="0.2">
      <c r="A2639" t="s">
        <v>2804</v>
      </c>
      <c r="B2639" s="1">
        <v>45981</v>
      </c>
      <c r="C2639" t="s">
        <v>43</v>
      </c>
      <c r="D2639" t="s">
        <v>51</v>
      </c>
      <c r="E2639" t="s">
        <v>63</v>
      </c>
      <c r="F2639" t="s">
        <v>130</v>
      </c>
      <c r="G2639" t="s">
        <v>75</v>
      </c>
      <c r="H2639" t="s">
        <v>23</v>
      </c>
      <c r="I2639" t="s">
        <v>83</v>
      </c>
      <c r="J2639" t="s">
        <v>131</v>
      </c>
      <c r="K2639">
        <v>3</v>
      </c>
      <c r="L2639" s="2">
        <v>10.65</v>
      </c>
      <c r="M2639" s="3">
        <v>0</v>
      </c>
      <c r="N2639" s="2">
        <v>31.95</v>
      </c>
      <c r="O2639" s="2">
        <v>25.38</v>
      </c>
      <c r="P2639" s="2">
        <v>6.57</v>
      </c>
      <c r="Q2639" t="s">
        <v>61</v>
      </c>
    </row>
    <row r="2640" spans="1:17" x14ac:dyDescent="0.2">
      <c r="A2640" t="s">
        <v>2805</v>
      </c>
      <c r="B2640" s="1">
        <v>45981</v>
      </c>
      <c r="C2640" t="s">
        <v>18</v>
      </c>
      <c r="D2640" t="s">
        <v>152</v>
      </c>
      <c r="E2640" t="s">
        <v>166</v>
      </c>
      <c r="F2640" t="s">
        <v>46</v>
      </c>
      <c r="G2640" t="s">
        <v>22</v>
      </c>
      <c r="H2640" t="s">
        <v>31</v>
      </c>
      <c r="I2640" t="s">
        <v>112</v>
      </c>
      <c r="J2640" t="s">
        <v>176</v>
      </c>
      <c r="K2640">
        <v>8</v>
      </c>
      <c r="L2640" s="2">
        <v>179.03</v>
      </c>
      <c r="M2640" s="3">
        <v>0.15</v>
      </c>
      <c r="N2640" s="2">
        <v>1217.4000000000001</v>
      </c>
      <c r="O2640" s="2">
        <v>961.45</v>
      </c>
      <c r="P2640" s="2">
        <v>255.95</v>
      </c>
      <c r="Q2640" t="s">
        <v>34</v>
      </c>
    </row>
    <row r="2641" spans="1:17" x14ac:dyDescent="0.2">
      <c r="A2641" t="s">
        <v>2806</v>
      </c>
      <c r="B2641" s="1">
        <v>45981</v>
      </c>
      <c r="C2641" t="s">
        <v>18</v>
      </c>
      <c r="D2641" t="s">
        <v>19</v>
      </c>
      <c r="E2641" t="s">
        <v>100</v>
      </c>
      <c r="F2641" t="s">
        <v>130</v>
      </c>
      <c r="G2641" t="s">
        <v>75</v>
      </c>
      <c r="H2641" t="s">
        <v>23</v>
      </c>
      <c r="I2641" t="s">
        <v>79</v>
      </c>
      <c r="J2641" t="s">
        <v>179</v>
      </c>
      <c r="K2641">
        <v>6</v>
      </c>
      <c r="L2641" s="2">
        <v>492.9</v>
      </c>
      <c r="M2641" s="3">
        <v>0</v>
      </c>
      <c r="N2641" s="2">
        <v>2957.4</v>
      </c>
      <c r="O2641" s="2">
        <v>1943.38</v>
      </c>
      <c r="P2641" s="2">
        <v>1014.02</v>
      </c>
      <c r="Q2641" t="s">
        <v>61</v>
      </c>
    </row>
    <row r="2642" spans="1:17" x14ac:dyDescent="0.2">
      <c r="A2642" t="s">
        <v>2807</v>
      </c>
      <c r="B2642" s="1">
        <v>45981</v>
      </c>
      <c r="C2642" t="s">
        <v>36</v>
      </c>
      <c r="D2642" t="s">
        <v>67</v>
      </c>
      <c r="E2642" t="s">
        <v>68</v>
      </c>
      <c r="F2642" t="s">
        <v>30</v>
      </c>
      <c r="G2642" t="s">
        <v>54</v>
      </c>
      <c r="H2642" t="s">
        <v>31</v>
      </c>
      <c r="I2642" t="s">
        <v>40</v>
      </c>
      <c r="J2642" t="s">
        <v>41</v>
      </c>
      <c r="K2642">
        <v>4</v>
      </c>
      <c r="L2642" s="2">
        <v>83.03</v>
      </c>
      <c r="M2642" s="3">
        <v>0.15</v>
      </c>
      <c r="N2642" s="2">
        <v>282.3</v>
      </c>
      <c r="O2642" s="2">
        <v>173.69</v>
      </c>
      <c r="P2642" s="2">
        <v>108.61</v>
      </c>
      <c r="Q2642" t="s">
        <v>26</v>
      </c>
    </row>
    <row r="2643" spans="1:17" x14ac:dyDescent="0.2">
      <c r="A2643" t="s">
        <v>2808</v>
      </c>
      <c r="B2643" s="1">
        <v>45982</v>
      </c>
      <c r="C2643" t="s">
        <v>77</v>
      </c>
      <c r="D2643" t="s">
        <v>149</v>
      </c>
      <c r="E2643" t="s">
        <v>206</v>
      </c>
      <c r="F2643" t="s">
        <v>130</v>
      </c>
      <c r="G2643" t="s">
        <v>22</v>
      </c>
      <c r="H2643" t="s">
        <v>31</v>
      </c>
      <c r="I2643" t="s">
        <v>32</v>
      </c>
      <c r="J2643" t="s">
        <v>33</v>
      </c>
      <c r="K2643">
        <v>8</v>
      </c>
      <c r="L2643" s="2">
        <v>1686.66</v>
      </c>
      <c r="M2643" s="3">
        <v>0</v>
      </c>
      <c r="N2643" s="2">
        <v>13493.28</v>
      </c>
      <c r="O2643" s="2">
        <v>10179.76</v>
      </c>
      <c r="P2643" s="2">
        <v>3313.52</v>
      </c>
      <c r="Q2643" t="s">
        <v>61</v>
      </c>
    </row>
    <row r="2644" spans="1:17" x14ac:dyDescent="0.2">
      <c r="A2644" t="s">
        <v>2809</v>
      </c>
      <c r="B2644" s="1">
        <v>45982</v>
      </c>
      <c r="C2644" t="s">
        <v>18</v>
      </c>
      <c r="D2644" t="s">
        <v>19</v>
      </c>
      <c r="E2644" t="s">
        <v>118</v>
      </c>
      <c r="F2644" t="s">
        <v>53</v>
      </c>
      <c r="G2644" t="s">
        <v>22</v>
      </c>
      <c r="H2644" t="s">
        <v>31</v>
      </c>
      <c r="I2644" t="s">
        <v>112</v>
      </c>
      <c r="J2644" t="s">
        <v>113</v>
      </c>
      <c r="K2644">
        <v>5</v>
      </c>
      <c r="L2644" s="2">
        <v>659.95</v>
      </c>
      <c r="M2644" s="3">
        <v>0</v>
      </c>
      <c r="N2644" s="2">
        <v>3299.75</v>
      </c>
      <c r="O2644" s="2">
        <v>2528.75</v>
      </c>
      <c r="P2644" s="2">
        <v>771</v>
      </c>
      <c r="Q2644" t="s">
        <v>34</v>
      </c>
    </row>
    <row r="2645" spans="1:17" x14ac:dyDescent="0.2">
      <c r="A2645" t="s">
        <v>2810</v>
      </c>
      <c r="B2645" s="1">
        <v>45982</v>
      </c>
      <c r="C2645" t="s">
        <v>77</v>
      </c>
      <c r="D2645" t="s">
        <v>95</v>
      </c>
      <c r="E2645" t="s">
        <v>300</v>
      </c>
      <c r="F2645" t="s">
        <v>30</v>
      </c>
      <c r="G2645" t="s">
        <v>22</v>
      </c>
      <c r="H2645" t="s">
        <v>23</v>
      </c>
      <c r="I2645" t="s">
        <v>83</v>
      </c>
      <c r="J2645" t="s">
        <v>131</v>
      </c>
      <c r="K2645">
        <v>5</v>
      </c>
      <c r="L2645" s="2">
        <v>25.11</v>
      </c>
      <c r="M2645" s="3">
        <v>0.05</v>
      </c>
      <c r="N2645" s="2">
        <v>119.27</v>
      </c>
      <c r="O2645" s="2">
        <v>83.55</v>
      </c>
      <c r="P2645" s="2">
        <v>35.72</v>
      </c>
      <c r="Q2645" t="s">
        <v>34</v>
      </c>
    </row>
    <row r="2646" spans="1:17" x14ac:dyDescent="0.2">
      <c r="A2646" t="s">
        <v>2811</v>
      </c>
      <c r="B2646" s="1">
        <v>45982</v>
      </c>
      <c r="C2646" t="s">
        <v>43</v>
      </c>
      <c r="D2646" t="s">
        <v>161</v>
      </c>
      <c r="E2646" t="s">
        <v>418</v>
      </c>
      <c r="F2646" t="s">
        <v>21</v>
      </c>
      <c r="G2646" t="s">
        <v>22</v>
      </c>
      <c r="H2646" t="s">
        <v>47</v>
      </c>
      <c r="I2646" t="s">
        <v>89</v>
      </c>
      <c r="J2646" t="s">
        <v>204</v>
      </c>
      <c r="K2646">
        <v>8</v>
      </c>
      <c r="L2646" s="2">
        <v>279.17</v>
      </c>
      <c r="M2646" s="3">
        <v>0.15</v>
      </c>
      <c r="N2646" s="2">
        <v>1898.36</v>
      </c>
      <c r="O2646" s="2">
        <v>1195.3800000000001</v>
      </c>
      <c r="P2646" s="2">
        <v>702.98</v>
      </c>
      <c r="Q2646" t="s">
        <v>61</v>
      </c>
    </row>
    <row r="2647" spans="1:17" x14ac:dyDescent="0.2">
      <c r="A2647" t="s">
        <v>2812</v>
      </c>
      <c r="B2647" s="1">
        <v>45982</v>
      </c>
      <c r="C2647" t="s">
        <v>43</v>
      </c>
      <c r="D2647" t="s">
        <v>161</v>
      </c>
      <c r="E2647" t="s">
        <v>162</v>
      </c>
      <c r="F2647" t="s">
        <v>21</v>
      </c>
      <c r="G2647" t="s">
        <v>75</v>
      </c>
      <c r="H2647" t="s">
        <v>31</v>
      </c>
      <c r="I2647" t="s">
        <v>112</v>
      </c>
      <c r="J2647" t="s">
        <v>136</v>
      </c>
      <c r="K2647">
        <v>7</v>
      </c>
      <c r="L2647" s="2">
        <v>205.97</v>
      </c>
      <c r="M2647" s="3">
        <v>0</v>
      </c>
      <c r="N2647" s="2">
        <v>1441.79</v>
      </c>
      <c r="O2647" s="2">
        <v>1096.02</v>
      </c>
      <c r="P2647" s="2">
        <v>345.77</v>
      </c>
      <c r="Q2647" t="s">
        <v>34</v>
      </c>
    </row>
    <row r="2648" spans="1:17" x14ac:dyDescent="0.2">
      <c r="A2648" t="s">
        <v>2813</v>
      </c>
      <c r="B2648" s="1">
        <v>45982</v>
      </c>
      <c r="C2648" t="s">
        <v>18</v>
      </c>
      <c r="D2648" t="s">
        <v>152</v>
      </c>
      <c r="E2648" t="s">
        <v>153</v>
      </c>
      <c r="F2648" t="s">
        <v>46</v>
      </c>
      <c r="G2648" t="s">
        <v>22</v>
      </c>
      <c r="H2648" t="s">
        <v>23</v>
      </c>
      <c r="I2648" t="s">
        <v>83</v>
      </c>
      <c r="J2648" t="s">
        <v>84</v>
      </c>
      <c r="K2648">
        <v>8</v>
      </c>
      <c r="L2648" s="2">
        <v>28.28</v>
      </c>
      <c r="M2648" s="3">
        <v>0.15</v>
      </c>
      <c r="N2648" s="2">
        <v>192.3</v>
      </c>
      <c r="O2648" s="2">
        <v>118.38</v>
      </c>
      <c r="P2648" s="2">
        <v>73.92</v>
      </c>
      <c r="Q2648" t="s">
        <v>61</v>
      </c>
    </row>
    <row r="2649" spans="1:17" x14ac:dyDescent="0.2">
      <c r="A2649" t="s">
        <v>2814</v>
      </c>
      <c r="B2649" s="1">
        <v>45983</v>
      </c>
      <c r="C2649" t="s">
        <v>77</v>
      </c>
      <c r="D2649" t="s">
        <v>106</v>
      </c>
      <c r="E2649" t="s">
        <v>236</v>
      </c>
      <c r="F2649" t="s">
        <v>138</v>
      </c>
      <c r="G2649" t="s">
        <v>75</v>
      </c>
      <c r="H2649" t="s">
        <v>31</v>
      </c>
      <c r="I2649" t="s">
        <v>64</v>
      </c>
      <c r="J2649" t="s">
        <v>65</v>
      </c>
      <c r="K2649">
        <v>7</v>
      </c>
      <c r="L2649" s="2">
        <v>94.66</v>
      </c>
      <c r="M2649" s="3">
        <v>0</v>
      </c>
      <c r="N2649" s="2">
        <v>662.62</v>
      </c>
      <c r="O2649" s="2">
        <v>456.18</v>
      </c>
      <c r="P2649" s="2">
        <v>206.44</v>
      </c>
      <c r="Q2649" t="s">
        <v>61</v>
      </c>
    </row>
    <row r="2650" spans="1:17" x14ac:dyDescent="0.2">
      <c r="A2650" t="s">
        <v>2815</v>
      </c>
      <c r="B2650" s="1">
        <v>45983</v>
      </c>
      <c r="C2650" t="s">
        <v>18</v>
      </c>
      <c r="D2650" t="s">
        <v>28</v>
      </c>
      <c r="E2650" t="s">
        <v>157</v>
      </c>
      <c r="F2650" t="s">
        <v>39</v>
      </c>
      <c r="G2650" t="s">
        <v>22</v>
      </c>
      <c r="H2650" t="s">
        <v>23</v>
      </c>
      <c r="I2650" t="s">
        <v>79</v>
      </c>
      <c r="J2650" t="s">
        <v>179</v>
      </c>
      <c r="K2650">
        <v>4</v>
      </c>
      <c r="L2650" s="2">
        <v>448.6</v>
      </c>
      <c r="M2650" s="3">
        <v>0.1</v>
      </c>
      <c r="N2650" s="2">
        <v>1614.96</v>
      </c>
      <c r="O2650" s="2">
        <v>1292.08</v>
      </c>
      <c r="P2650" s="2">
        <v>322.88</v>
      </c>
      <c r="Q2650" t="s">
        <v>61</v>
      </c>
    </row>
    <row r="2651" spans="1:17" x14ac:dyDescent="0.2">
      <c r="A2651" t="s">
        <v>2816</v>
      </c>
      <c r="B2651" s="1">
        <v>45983</v>
      </c>
      <c r="C2651" t="s">
        <v>77</v>
      </c>
      <c r="D2651" t="s">
        <v>106</v>
      </c>
      <c r="E2651" t="s">
        <v>236</v>
      </c>
      <c r="F2651" t="s">
        <v>53</v>
      </c>
      <c r="G2651" t="s">
        <v>75</v>
      </c>
      <c r="H2651" t="s">
        <v>31</v>
      </c>
      <c r="I2651" t="s">
        <v>32</v>
      </c>
      <c r="J2651" t="s">
        <v>258</v>
      </c>
      <c r="K2651">
        <v>7</v>
      </c>
      <c r="L2651" s="2">
        <v>1738.9</v>
      </c>
      <c r="M2651" s="3">
        <v>0.1</v>
      </c>
      <c r="N2651" s="2">
        <v>10955.07</v>
      </c>
      <c r="O2651" s="2">
        <v>7741.58</v>
      </c>
      <c r="P2651" s="2">
        <v>3213.49</v>
      </c>
      <c r="Q2651" t="s">
        <v>61</v>
      </c>
    </row>
    <row r="2652" spans="1:17" x14ac:dyDescent="0.2">
      <c r="A2652" t="s">
        <v>2817</v>
      </c>
      <c r="B2652" s="1">
        <v>45983</v>
      </c>
      <c r="C2652" t="s">
        <v>18</v>
      </c>
      <c r="D2652" t="s">
        <v>28</v>
      </c>
      <c r="E2652" t="s">
        <v>29</v>
      </c>
      <c r="F2652" t="s">
        <v>71</v>
      </c>
      <c r="G2652" t="s">
        <v>54</v>
      </c>
      <c r="H2652" t="s">
        <v>23</v>
      </c>
      <c r="I2652" t="s">
        <v>24</v>
      </c>
      <c r="J2652" t="s">
        <v>220</v>
      </c>
      <c r="K2652">
        <v>10</v>
      </c>
      <c r="L2652" s="2">
        <v>7.23</v>
      </c>
      <c r="M2652" s="3">
        <v>0</v>
      </c>
      <c r="N2652" s="2">
        <v>72.3</v>
      </c>
      <c r="O2652" s="2">
        <v>50.27</v>
      </c>
      <c r="P2652" s="2">
        <v>22.03</v>
      </c>
      <c r="Q2652" t="s">
        <v>61</v>
      </c>
    </row>
    <row r="2653" spans="1:17" x14ac:dyDescent="0.2">
      <c r="A2653" t="s">
        <v>2818</v>
      </c>
      <c r="B2653" s="1">
        <v>45983</v>
      </c>
      <c r="C2653" t="s">
        <v>36</v>
      </c>
      <c r="D2653" t="s">
        <v>73</v>
      </c>
      <c r="E2653" t="s">
        <v>212</v>
      </c>
      <c r="F2653" t="s">
        <v>130</v>
      </c>
      <c r="G2653" t="s">
        <v>22</v>
      </c>
      <c r="H2653" t="s">
        <v>31</v>
      </c>
      <c r="I2653" t="s">
        <v>32</v>
      </c>
      <c r="J2653" t="s">
        <v>33</v>
      </c>
      <c r="K2653">
        <v>8</v>
      </c>
      <c r="L2653" s="2">
        <v>1559.74</v>
      </c>
      <c r="M2653" s="3">
        <v>0</v>
      </c>
      <c r="N2653" s="2">
        <v>12477.92</v>
      </c>
      <c r="O2653" s="2">
        <v>8036.53</v>
      </c>
      <c r="P2653" s="2">
        <v>4441.3900000000003</v>
      </c>
      <c r="Q2653" t="s">
        <v>34</v>
      </c>
    </row>
    <row r="2654" spans="1:17" x14ac:dyDescent="0.2">
      <c r="A2654" t="s">
        <v>2819</v>
      </c>
      <c r="B2654" s="1">
        <v>45983</v>
      </c>
      <c r="C2654" t="s">
        <v>43</v>
      </c>
      <c r="D2654" t="s">
        <v>51</v>
      </c>
      <c r="E2654" t="s">
        <v>63</v>
      </c>
      <c r="F2654" t="s">
        <v>69</v>
      </c>
      <c r="G2654" t="s">
        <v>75</v>
      </c>
      <c r="H2654" t="s">
        <v>47</v>
      </c>
      <c r="I2654" t="s">
        <v>141</v>
      </c>
      <c r="J2654" t="s">
        <v>372</v>
      </c>
      <c r="K2654">
        <v>5</v>
      </c>
      <c r="L2654" s="2">
        <v>500.36</v>
      </c>
      <c r="M2654" s="3">
        <v>0</v>
      </c>
      <c r="N2654" s="2">
        <v>2501.8000000000002</v>
      </c>
      <c r="O2654" s="2">
        <v>1521.79</v>
      </c>
      <c r="P2654" s="2">
        <v>980.01</v>
      </c>
      <c r="Q2654" t="s">
        <v>34</v>
      </c>
    </row>
    <row r="2655" spans="1:17" x14ac:dyDescent="0.2">
      <c r="A2655" t="s">
        <v>2820</v>
      </c>
      <c r="B2655" s="1">
        <v>45984</v>
      </c>
      <c r="C2655" t="s">
        <v>77</v>
      </c>
      <c r="D2655" t="s">
        <v>128</v>
      </c>
      <c r="E2655" t="s">
        <v>129</v>
      </c>
      <c r="F2655" t="s">
        <v>138</v>
      </c>
      <c r="G2655" t="s">
        <v>22</v>
      </c>
      <c r="H2655" t="s">
        <v>23</v>
      </c>
      <c r="I2655" t="s">
        <v>55</v>
      </c>
      <c r="J2655" t="s">
        <v>173</v>
      </c>
      <c r="K2655">
        <v>1</v>
      </c>
      <c r="L2655" s="2">
        <v>24.94</v>
      </c>
      <c r="M2655" s="3">
        <v>0.15</v>
      </c>
      <c r="N2655" s="2">
        <v>21.2</v>
      </c>
      <c r="O2655" s="2">
        <v>16.829999999999998</v>
      </c>
      <c r="P2655" s="2">
        <v>4.37</v>
      </c>
      <c r="Q2655" t="s">
        <v>34</v>
      </c>
    </row>
    <row r="2656" spans="1:17" x14ac:dyDescent="0.2">
      <c r="A2656" t="s">
        <v>2821</v>
      </c>
      <c r="B2656" s="1">
        <v>45984</v>
      </c>
      <c r="C2656" t="s">
        <v>36</v>
      </c>
      <c r="D2656" t="s">
        <v>144</v>
      </c>
      <c r="E2656" t="s">
        <v>214</v>
      </c>
      <c r="F2656" t="s">
        <v>21</v>
      </c>
      <c r="G2656" t="s">
        <v>22</v>
      </c>
      <c r="H2656" t="s">
        <v>31</v>
      </c>
      <c r="I2656" t="s">
        <v>32</v>
      </c>
      <c r="J2656" t="s">
        <v>258</v>
      </c>
      <c r="K2656">
        <v>3</v>
      </c>
      <c r="L2656" s="2">
        <v>1520.16</v>
      </c>
      <c r="M2656" s="3">
        <v>0.1</v>
      </c>
      <c r="N2656" s="2">
        <v>4104.43</v>
      </c>
      <c r="O2656" s="2">
        <v>3067.44</v>
      </c>
      <c r="P2656" s="2">
        <v>1036.99</v>
      </c>
      <c r="Q2656" t="s">
        <v>57</v>
      </c>
    </row>
    <row r="2657" spans="1:17" x14ac:dyDescent="0.2">
      <c r="A2657" t="s">
        <v>2822</v>
      </c>
      <c r="B2657" s="1">
        <v>45984</v>
      </c>
      <c r="C2657" t="s">
        <v>43</v>
      </c>
      <c r="D2657" t="s">
        <v>51</v>
      </c>
      <c r="E2657" t="s">
        <v>59</v>
      </c>
      <c r="F2657" t="s">
        <v>71</v>
      </c>
      <c r="G2657" t="s">
        <v>22</v>
      </c>
      <c r="H2657" t="s">
        <v>31</v>
      </c>
      <c r="I2657" t="s">
        <v>112</v>
      </c>
      <c r="J2657" t="s">
        <v>176</v>
      </c>
      <c r="K2657">
        <v>6</v>
      </c>
      <c r="L2657" s="2">
        <v>601.35</v>
      </c>
      <c r="M2657" s="3">
        <v>0.1</v>
      </c>
      <c r="N2657" s="2">
        <v>3247.29</v>
      </c>
      <c r="O2657" s="2">
        <v>2047.7</v>
      </c>
      <c r="P2657" s="2">
        <v>1199.5899999999999</v>
      </c>
      <c r="Q2657" t="s">
        <v>61</v>
      </c>
    </row>
    <row r="2658" spans="1:17" x14ac:dyDescent="0.2">
      <c r="A2658" t="s">
        <v>2823</v>
      </c>
      <c r="B2658" s="1">
        <v>45984</v>
      </c>
      <c r="C2658" t="s">
        <v>18</v>
      </c>
      <c r="D2658" t="s">
        <v>86</v>
      </c>
      <c r="E2658" t="s">
        <v>87</v>
      </c>
      <c r="F2658" t="s">
        <v>130</v>
      </c>
      <c r="G2658" t="s">
        <v>54</v>
      </c>
      <c r="H2658" t="s">
        <v>23</v>
      </c>
      <c r="I2658" t="s">
        <v>79</v>
      </c>
      <c r="J2658" t="s">
        <v>233</v>
      </c>
      <c r="K2658">
        <v>6</v>
      </c>
      <c r="L2658" s="2">
        <v>485.14</v>
      </c>
      <c r="M2658" s="3">
        <v>0</v>
      </c>
      <c r="N2658" s="2">
        <v>2910.84</v>
      </c>
      <c r="O2658" s="2">
        <v>1930.41</v>
      </c>
      <c r="P2658" s="2">
        <v>980.43</v>
      </c>
      <c r="Q2658" t="s">
        <v>61</v>
      </c>
    </row>
    <row r="2659" spans="1:17" x14ac:dyDescent="0.2">
      <c r="A2659" t="s">
        <v>2824</v>
      </c>
      <c r="B2659" s="1">
        <v>45984</v>
      </c>
      <c r="C2659" t="s">
        <v>18</v>
      </c>
      <c r="D2659" t="s">
        <v>28</v>
      </c>
      <c r="E2659" t="s">
        <v>157</v>
      </c>
      <c r="F2659" t="s">
        <v>130</v>
      </c>
      <c r="G2659" t="s">
        <v>75</v>
      </c>
      <c r="H2659" t="s">
        <v>47</v>
      </c>
      <c r="I2659" t="s">
        <v>89</v>
      </c>
      <c r="J2659" t="s">
        <v>90</v>
      </c>
      <c r="K2659">
        <v>2</v>
      </c>
      <c r="L2659" s="2">
        <v>248.7</v>
      </c>
      <c r="M2659" s="3">
        <v>0.2</v>
      </c>
      <c r="N2659" s="2">
        <v>397.92</v>
      </c>
      <c r="O2659" s="2">
        <v>308.77999999999997</v>
      </c>
      <c r="P2659" s="2">
        <v>89.14</v>
      </c>
      <c r="Q2659" t="s">
        <v>26</v>
      </c>
    </row>
    <row r="2660" spans="1:17" x14ac:dyDescent="0.2">
      <c r="A2660" t="s">
        <v>2825</v>
      </c>
      <c r="B2660" s="1">
        <v>45984</v>
      </c>
      <c r="C2660" t="s">
        <v>36</v>
      </c>
      <c r="D2660" t="s">
        <v>110</v>
      </c>
      <c r="E2660" t="s">
        <v>111</v>
      </c>
      <c r="F2660" t="s">
        <v>39</v>
      </c>
      <c r="G2660" t="s">
        <v>22</v>
      </c>
      <c r="H2660" t="s">
        <v>23</v>
      </c>
      <c r="I2660" t="s">
        <v>83</v>
      </c>
      <c r="J2660" t="s">
        <v>131</v>
      </c>
      <c r="K2660">
        <v>9</v>
      </c>
      <c r="L2660" s="2">
        <v>18.7</v>
      </c>
      <c r="M2660" s="3">
        <v>0.05</v>
      </c>
      <c r="N2660" s="2">
        <v>159.88</v>
      </c>
      <c r="O2660" s="2">
        <v>124.29</v>
      </c>
      <c r="P2660" s="2">
        <v>35.590000000000003</v>
      </c>
      <c r="Q2660" t="s">
        <v>34</v>
      </c>
    </row>
    <row r="2661" spans="1:17" x14ac:dyDescent="0.2">
      <c r="A2661" t="s">
        <v>2826</v>
      </c>
      <c r="B2661" s="1">
        <v>45984</v>
      </c>
      <c r="C2661" t="s">
        <v>36</v>
      </c>
      <c r="D2661" t="s">
        <v>110</v>
      </c>
      <c r="E2661" t="s">
        <v>111</v>
      </c>
      <c r="F2661" t="s">
        <v>69</v>
      </c>
      <c r="G2661" t="s">
        <v>22</v>
      </c>
      <c r="H2661" t="s">
        <v>23</v>
      </c>
      <c r="I2661" t="s">
        <v>79</v>
      </c>
      <c r="J2661" t="s">
        <v>80</v>
      </c>
      <c r="K2661">
        <v>10</v>
      </c>
      <c r="L2661" s="2">
        <v>124.17</v>
      </c>
      <c r="M2661" s="3">
        <v>0.05</v>
      </c>
      <c r="N2661" s="2">
        <v>1179.6199999999999</v>
      </c>
      <c r="O2661" s="2">
        <v>700.15</v>
      </c>
      <c r="P2661" s="2">
        <v>479.47</v>
      </c>
      <c r="Q2661" t="s">
        <v>26</v>
      </c>
    </row>
    <row r="2662" spans="1:17" x14ac:dyDescent="0.2">
      <c r="A2662" t="s">
        <v>2827</v>
      </c>
      <c r="B2662" s="1">
        <v>45984</v>
      </c>
      <c r="C2662" t="s">
        <v>36</v>
      </c>
      <c r="D2662" t="s">
        <v>67</v>
      </c>
      <c r="E2662" t="s">
        <v>68</v>
      </c>
      <c r="F2662" t="s">
        <v>130</v>
      </c>
      <c r="G2662" t="s">
        <v>22</v>
      </c>
      <c r="H2662" t="s">
        <v>23</v>
      </c>
      <c r="I2662" t="s">
        <v>55</v>
      </c>
      <c r="J2662" t="s">
        <v>173</v>
      </c>
      <c r="K2662">
        <v>6</v>
      </c>
      <c r="L2662" s="2">
        <v>8.5399999999999991</v>
      </c>
      <c r="M2662" s="3">
        <v>0.1</v>
      </c>
      <c r="N2662" s="2">
        <v>46.12</v>
      </c>
      <c r="O2662" s="2">
        <v>29.31</v>
      </c>
      <c r="P2662" s="2">
        <v>16.809999999999999</v>
      </c>
      <c r="Q2662" t="s">
        <v>61</v>
      </c>
    </row>
    <row r="2663" spans="1:17" x14ac:dyDescent="0.2">
      <c r="A2663" t="s">
        <v>2828</v>
      </c>
      <c r="B2663" s="1">
        <v>45984</v>
      </c>
      <c r="C2663" t="s">
        <v>18</v>
      </c>
      <c r="D2663" t="s">
        <v>152</v>
      </c>
      <c r="E2663" t="s">
        <v>153</v>
      </c>
      <c r="F2663" t="s">
        <v>71</v>
      </c>
      <c r="G2663" t="s">
        <v>22</v>
      </c>
      <c r="H2663" t="s">
        <v>23</v>
      </c>
      <c r="I2663" t="s">
        <v>55</v>
      </c>
      <c r="J2663" t="s">
        <v>173</v>
      </c>
      <c r="K2663">
        <v>9</v>
      </c>
      <c r="L2663" s="2">
        <v>24.28</v>
      </c>
      <c r="M2663" s="3">
        <v>0.1</v>
      </c>
      <c r="N2663" s="2">
        <v>196.67</v>
      </c>
      <c r="O2663" s="2">
        <v>110.19</v>
      </c>
      <c r="P2663" s="2">
        <v>86.48</v>
      </c>
      <c r="Q2663" t="s">
        <v>34</v>
      </c>
    </row>
    <row r="2664" spans="1:17" x14ac:dyDescent="0.2">
      <c r="A2664" t="s">
        <v>2829</v>
      </c>
      <c r="B2664" s="1">
        <v>45984</v>
      </c>
      <c r="C2664" t="s">
        <v>18</v>
      </c>
      <c r="D2664" t="s">
        <v>152</v>
      </c>
      <c r="E2664" t="s">
        <v>153</v>
      </c>
      <c r="F2664" t="s">
        <v>71</v>
      </c>
      <c r="G2664" t="s">
        <v>75</v>
      </c>
      <c r="H2664" t="s">
        <v>31</v>
      </c>
      <c r="I2664" t="s">
        <v>64</v>
      </c>
      <c r="J2664" t="s">
        <v>126</v>
      </c>
      <c r="K2664">
        <v>5</v>
      </c>
      <c r="L2664" s="2">
        <v>175.83</v>
      </c>
      <c r="M2664" s="3">
        <v>0</v>
      </c>
      <c r="N2664" s="2">
        <v>879.15</v>
      </c>
      <c r="O2664" s="2">
        <v>496.38</v>
      </c>
      <c r="P2664" s="2">
        <v>382.77</v>
      </c>
      <c r="Q2664" t="s">
        <v>61</v>
      </c>
    </row>
    <row r="2665" spans="1:17" x14ac:dyDescent="0.2">
      <c r="A2665" t="s">
        <v>2830</v>
      </c>
      <c r="B2665" s="1">
        <v>45984</v>
      </c>
      <c r="C2665" t="s">
        <v>77</v>
      </c>
      <c r="D2665" t="s">
        <v>95</v>
      </c>
      <c r="E2665" t="s">
        <v>96</v>
      </c>
      <c r="F2665" t="s">
        <v>71</v>
      </c>
      <c r="G2665" t="s">
        <v>75</v>
      </c>
      <c r="H2665" t="s">
        <v>31</v>
      </c>
      <c r="I2665" t="s">
        <v>40</v>
      </c>
      <c r="J2665" t="s">
        <v>41</v>
      </c>
      <c r="K2665">
        <v>7</v>
      </c>
      <c r="L2665" s="2">
        <v>40.97</v>
      </c>
      <c r="M2665" s="3">
        <v>0.1</v>
      </c>
      <c r="N2665" s="2">
        <v>258.11</v>
      </c>
      <c r="O2665" s="2">
        <v>160.05000000000001</v>
      </c>
      <c r="P2665" s="2">
        <v>98.06</v>
      </c>
      <c r="Q2665" t="s">
        <v>26</v>
      </c>
    </row>
    <row r="2666" spans="1:17" x14ac:dyDescent="0.2">
      <c r="A2666" t="s">
        <v>2831</v>
      </c>
      <c r="B2666" s="1">
        <v>45984</v>
      </c>
      <c r="C2666" t="s">
        <v>36</v>
      </c>
      <c r="D2666" t="s">
        <v>73</v>
      </c>
      <c r="E2666" t="s">
        <v>247</v>
      </c>
      <c r="F2666" t="s">
        <v>138</v>
      </c>
      <c r="G2666" t="s">
        <v>22</v>
      </c>
      <c r="H2666" t="s">
        <v>31</v>
      </c>
      <c r="I2666" t="s">
        <v>40</v>
      </c>
      <c r="J2666" t="s">
        <v>216</v>
      </c>
      <c r="K2666">
        <v>1</v>
      </c>
      <c r="L2666" s="2">
        <v>104.9</v>
      </c>
      <c r="M2666" s="3">
        <v>0.05</v>
      </c>
      <c r="N2666" s="2">
        <v>99.66</v>
      </c>
      <c r="O2666" s="2">
        <v>63.88</v>
      </c>
      <c r="P2666" s="2">
        <v>35.78</v>
      </c>
      <c r="Q2666" t="s">
        <v>26</v>
      </c>
    </row>
    <row r="2667" spans="1:17" x14ac:dyDescent="0.2">
      <c r="A2667" t="s">
        <v>2832</v>
      </c>
      <c r="B2667" s="1">
        <v>45984</v>
      </c>
      <c r="C2667" t="s">
        <v>43</v>
      </c>
      <c r="D2667" t="s">
        <v>51</v>
      </c>
      <c r="E2667" t="s">
        <v>59</v>
      </c>
      <c r="F2667" t="s">
        <v>138</v>
      </c>
      <c r="G2667" t="s">
        <v>22</v>
      </c>
      <c r="H2667" t="s">
        <v>23</v>
      </c>
      <c r="I2667" t="s">
        <v>79</v>
      </c>
      <c r="J2667" t="s">
        <v>179</v>
      </c>
      <c r="K2667">
        <v>10</v>
      </c>
      <c r="L2667" s="2">
        <v>357.82</v>
      </c>
      <c r="M2667" s="3">
        <v>0.05</v>
      </c>
      <c r="N2667" s="2">
        <v>3399.29</v>
      </c>
      <c r="O2667" s="2">
        <v>1951.02</v>
      </c>
      <c r="P2667" s="2">
        <v>1448.27</v>
      </c>
      <c r="Q2667" t="s">
        <v>57</v>
      </c>
    </row>
    <row r="2668" spans="1:17" x14ac:dyDescent="0.2">
      <c r="A2668" t="s">
        <v>2833</v>
      </c>
      <c r="B2668" s="1">
        <v>45984</v>
      </c>
      <c r="C2668" t="s">
        <v>77</v>
      </c>
      <c r="D2668" t="s">
        <v>78</v>
      </c>
      <c r="E2668" t="s">
        <v>52</v>
      </c>
      <c r="F2668" t="s">
        <v>130</v>
      </c>
      <c r="G2668" t="s">
        <v>22</v>
      </c>
      <c r="H2668" t="s">
        <v>47</v>
      </c>
      <c r="I2668" t="s">
        <v>97</v>
      </c>
      <c r="J2668" t="s">
        <v>98</v>
      </c>
      <c r="K2668">
        <v>9</v>
      </c>
      <c r="L2668" s="2">
        <v>373.64</v>
      </c>
      <c r="M2668" s="3">
        <v>0.1</v>
      </c>
      <c r="N2668" s="2">
        <v>3026.48</v>
      </c>
      <c r="O2668" s="2">
        <v>1925.1</v>
      </c>
      <c r="P2668" s="2">
        <v>1101.3800000000001</v>
      </c>
      <c r="Q2668" t="s">
        <v>34</v>
      </c>
    </row>
    <row r="2669" spans="1:17" x14ac:dyDescent="0.2">
      <c r="A2669" t="s">
        <v>2834</v>
      </c>
      <c r="B2669" s="1">
        <v>45985</v>
      </c>
      <c r="C2669" t="s">
        <v>18</v>
      </c>
      <c r="D2669" t="s">
        <v>28</v>
      </c>
      <c r="E2669" t="s">
        <v>170</v>
      </c>
      <c r="F2669" t="s">
        <v>69</v>
      </c>
      <c r="G2669" t="s">
        <v>22</v>
      </c>
      <c r="H2669" t="s">
        <v>47</v>
      </c>
      <c r="I2669" t="s">
        <v>141</v>
      </c>
      <c r="J2669" t="s">
        <v>372</v>
      </c>
      <c r="K2669">
        <v>3</v>
      </c>
      <c r="L2669" s="2">
        <v>342.85</v>
      </c>
      <c r="M2669" s="3">
        <v>0.05</v>
      </c>
      <c r="N2669" s="2">
        <v>977.12</v>
      </c>
      <c r="O2669" s="2">
        <v>633.35</v>
      </c>
      <c r="P2669" s="2">
        <v>343.77</v>
      </c>
      <c r="Q2669" t="s">
        <v>57</v>
      </c>
    </row>
    <row r="2670" spans="1:17" x14ac:dyDescent="0.2">
      <c r="A2670" t="s">
        <v>2835</v>
      </c>
      <c r="B2670" s="1">
        <v>45985</v>
      </c>
      <c r="C2670" t="s">
        <v>77</v>
      </c>
      <c r="D2670" t="s">
        <v>128</v>
      </c>
      <c r="E2670" t="s">
        <v>129</v>
      </c>
      <c r="F2670" t="s">
        <v>39</v>
      </c>
      <c r="G2670" t="s">
        <v>22</v>
      </c>
      <c r="H2670" t="s">
        <v>23</v>
      </c>
      <c r="I2670" t="s">
        <v>24</v>
      </c>
      <c r="J2670" t="s">
        <v>25</v>
      </c>
      <c r="K2670">
        <v>2</v>
      </c>
      <c r="L2670" s="2">
        <v>22.13</v>
      </c>
      <c r="M2670" s="3">
        <v>0.1</v>
      </c>
      <c r="N2670" s="2">
        <v>39.83</v>
      </c>
      <c r="O2670" s="2">
        <v>23.57</v>
      </c>
      <c r="P2670" s="2">
        <v>16.260000000000002</v>
      </c>
      <c r="Q2670" t="s">
        <v>26</v>
      </c>
    </row>
    <row r="2671" spans="1:17" x14ac:dyDescent="0.2">
      <c r="A2671" t="s">
        <v>2836</v>
      </c>
      <c r="B2671" s="1">
        <v>45985</v>
      </c>
      <c r="C2671" t="s">
        <v>77</v>
      </c>
      <c r="D2671" t="s">
        <v>106</v>
      </c>
      <c r="E2671" t="s">
        <v>107</v>
      </c>
      <c r="F2671" t="s">
        <v>60</v>
      </c>
      <c r="G2671" t="s">
        <v>54</v>
      </c>
      <c r="H2671" t="s">
        <v>31</v>
      </c>
      <c r="I2671" t="s">
        <v>32</v>
      </c>
      <c r="J2671" t="s">
        <v>258</v>
      </c>
      <c r="K2671">
        <v>10</v>
      </c>
      <c r="L2671" s="2">
        <v>732.41</v>
      </c>
      <c r="M2671" s="3">
        <v>0.05</v>
      </c>
      <c r="N2671" s="2">
        <v>6957.9</v>
      </c>
      <c r="O2671" s="2">
        <v>3994.26</v>
      </c>
      <c r="P2671" s="2">
        <v>2963.64</v>
      </c>
      <c r="Q2671" t="s">
        <v>26</v>
      </c>
    </row>
    <row r="2672" spans="1:17" x14ac:dyDescent="0.2">
      <c r="A2672" t="s">
        <v>2837</v>
      </c>
      <c r="B2672" s="1">
        <v>45985</v>
      </c>
      <c r="C2672" t="s">
        <v>36</v>
      </c>
      <c r="D2672" t="s">
        <v>67</v>
      </c>
      <c r="E2672" t="s">
        <v>270</v>
      </c>
      <c r="F2672" t="s">
        <v>39</v>
      </c>
      <c r="G2672" t="s">
        <v>22</v>
      </c>
      <c r="H2672" t="s">
        <v>31</v>
      </c>
      <c r="I2672" t="s">
        <v>64</v>
      </c>
      <c r="J2672" t="s">
        <v>252</v>
      </c>
      <c r="K2672">
        <v>9</v>
      </c>
      <c r="L2672" s="2">
        <v>136.58000000000001</v>
      </c>
      <c r="M2672" s="3">
        <v>0.1</v>
      </c>
      <c r="N2672" s="2">
        <v>1106.3</v>
      </c>
      <c r="O2672" s="2">
        <v>686.27</v>
      </c>
      <c r="P2672" s="2">
        <v>420.03</v>
      </c>
      <c r="Q2672" t="s">
        <v>57</v>
      </c>
    </row>
    <row r="2673" spans="1:17" x14ac:dyDescent="0.2">
      <c r="A2673" t="s">
        <v>2838</v>
      </c>
      <c r="B2673" s="1">
        <v>45985</v>
      </c>
      <c r="C2673" t="s">
        <v>43</v>
      </c>
      <c r="D2673" t="s">
        <v>51</v>
      </c>
      <c r="E2673" t="s">
        <v>59</v>
      </c>
      <c r="F2673" t="s">
        <v>46</v>
      </c>
      <c r="G2673" t="s">
        <v>22</v>
      </c>
      <c r="H2673" t="s">
        <v>23</v>
      </c>
      <c r="I2673" t="s">
        <v>83</v>
      </c>
      <c r="J2673" t="s">
        <v>84</v>
      </c>
      <c r="K2673">
        <v>10</v>
      </c>
      <c r="L2673" s="2">
        <v>17.55</v>
      </c>
      <c r="M2673" s="3">
        <v>0.1</v>
      </c>
      <c r="N2673" s="2">
        <v>157.94999999999999</v>
      </c>
      <c r="O2673" s="2">
        <v>109.52</v>
      </c>
      <c r="P2673" s="2">
        <v>48.43</v>
      </c>
      <c r="Q2673" t="s">
        <v>57</v>
      </c>
    </row>
    <row r="2674" spans="1:17" x14ac:dyDescent="0.2">
      <c r="A2674" t="s">
        <v>2839</v>
      </c>
      <c r="B2674" s="1">
        <v>45985</v>
      </c>
      <c r="C2674" t="s">
        <v>43</v>
      </c>
      <c r="D2674" t="s">
        <v>244</v>
      </c>
      <c r="E2674" t="s">
        <v>245</v>
      </c>
      <c r="F2674" t="s">
        <v>130</v>
      </c>
      <c r="G2674" t="s">
        <v>22</v>
      </c>
      <c r="H2674" t="s">
        <v>31</v>
      </c>
      <c r="I2674" t="s">
        <v>40</v>
      </c>
      <c r="J2674" t="s">
        <v>122</v>
      </c>
      <c r="K2674">
        <v>2</v>
      </c>
      <c r="L2674" s="2">
        <v>109.31</v>
      </c>
      <c r="M2674" s="3">
        <v>0.1</v>
      </c>
      <c r="N2674" s="2">
        <v>196.76</v>
      </c>
      <c r="O2674" s="2">
        <v>116.19</v>
      </c>
      <c r="P2674" s="2">
        <v>80.569999999999993</v>
      </c>
      <c r="Q2674" t="s">
        <v>61</v>
      </c>
    </row>
    <row r="2675" spans="1:17" x14ac:dyDescent="0.2">
      <c r="A2675" t="s">
        <v>2840</v>
      </c>
      <c r="B2675" s="1">
        <v>45985</v>
      </c>
      <c r="C2675" t="s">
        <v>77</v>
      </c>
      <c r="D2675" t="s">
        <v>149</v>
      </c>
      <c r="E2675" t="s">
        <v>206</v>
      </c>
      <c r="F2675" t="s">
        <v>71</v>
      </c>
      <c r="G2675" t="s">
        <v>22</v>
      </c>
      <c r="H2675" t="s">
        <v>31</v>
      </c>
      <c r="I2675" t="s">
        <v>64</v>
      </c>
      <c r="J2675" t="s">
        <v>126</v>
      </c>
      <c r="K2675">
        <v>4</v>
      </c>
      <c r="L2675" s="2">
        <v>61.53</v>
      </c>
      <c r="M2675" s="3">
        <v>0.1</v>
      </c>
      <c r="N2675" s="2">
        <v>221.51</v>
      </c>
      <c r="O2675" s="2">
        <v>177.97</v>
      </c>
      <c r="P2675" s="2">
        <v>43.54</v>
      </c>
      <c r="Q2675" t="s">
        <v>57</v>
      </c>
    </row>
    <row r="2676" spans="1:17" x14ac:dyDescent="0.2">
      <c r="A2676" t="s">
        <v>2841</v>
      </c>
      <c r="B2676" s="1">
        <v>45985</v>
      </c>
      <c r="C2676" t="s">
        <v>18</v>
      </c>
      <c r="D2676" t="s">
        <v>133</v>
      </c>
      <c r="E2676" t="s">
        <v>134</v>
      </c>
      <c r="F2676" t="s">
        <v>60</v>
      </c>
      <c r="G2676" t="s">
        <v>22</v>
      </c>
      <c r="H2676" t="s">
        <v>23</v>
      </c>
      <c r="I2676" t="s">
        <v>24</v>
      </c>
      <c r="J2676" t="s">
        <v>220</v>
      </c>
      <c r="K2676">
        <v>5</v>
      </c>
      <c r="L2676" s="2">
        <v>21.22</v>
      </c>
      <c r="M2676" s="3">
        <v>0</v>
      </c>
      <c r="N2676" s="2">
        <v>106.1</v>
      </c>
      <c r="O2676" s="2">
        <v>84.08</v>
      </c>
      <c r="P2676" s="2">
        <v>22.02</v>
      </c>
      <c r="Q2676" t="s">
        <v>34</v>
      </c>
    </row>
    <row r="2677" spans="1:17" x14ac:dyDescent="0.2">
      <c r="A2677" t="s">
        <v>2842</v>
      </c>
      <c r="B2677" s="1">
        <v>45985</v>
      </c>
      <c r="C2677" t="s">
        <v>18</v>
      </c>
      <c r="D2677" t="s">
        <v>152</v>
      </c>
      <c r="E2677" t="s">
        <v>153</v>
      </c>
      <c r="F2677" t="s">
        <v>46</v>
      </c>
      <c r="G2677" t="s">
        <v>22</v>
      </c>
      <c r="H2677" t="s">
        <v>23</v>
      </c>
      <c r="I2677" t="s">
        <v>83</v>
      </c>
      <c r="J2677" t="s">
        <v>131</v>
      </c>
      <c r="K2677">
        <v>1</v>
      </c>
      <c r="L2677" s="2">
        <v>34.44</v>
      </c>
      <c r="M2677" s="3">
        <v>0</v>
      </c>
      <c r="N2677" s="2">
        <v>34.44</v>
      </c>
      <c r="O2677" s="2">
        <v>21.54</v>
      </c>
      <c r="P2677" s="2">
        <v>12.9</v>
      </c>
      <c r="Q2677" t="s">
        <v>61</v>
      </c>
    </row>
    <row r="2678" spans="1:17" x14ac:dyDescent="0.2">
      <c r="A2678" t="s">
        <v>2843</v>
      </c>
      <c r="B2678" s="1">
        <v>45986</v>
      </c>
      <c r="C2678" t="s">
        <v>18</v>
      </c>
      <c r="D2678" t="s">
        <v>152</v>
      </c>
      <c r="E2678" t="s">
        <v>153</v>
      </c>
      <c r="F2678" t="s">
        <v>30</v>
      </c>
      <c r="G2678" t="s">
        <v>54</v>
      </c>
      <c r="H2678" t="s">
        <v>23</v>
      </c>
      <c r="I2678" t="s">
        <v>79</v>
      </c>
      <c r="J2678" t="s">
        <v>233</v>
      </c>
      <c r="K2678">
        <v>6</v>
      </c>
      <c r="L2678" s="2">
        <v>255.49</v>
      </c>
      <c r="M2678" s="3">
        <v>0</v>
      </c>
      <c r="N2678" s="2">
        <v>1532.94</v>
      </c>
      <c r="O2678" s="2">
        <v>1007.47</v>
      </c>
      <c r="P2678" s="2">
        <v>525.47</v>
      </c>
      <c r="Q2678" t="s">
        <v>34</v>
      </c>
    </row>
    <row r="2679" spans="1:17" x14ac:dyDescent="0.2">
      <c r="A2679" t="s">
        <v>2844</v>
      </c>
      <c r="B2679" s="1">
        <v>45986</v>
      </c>
      <c r="C2679" t="s">
        <v>18</v>
      </c>
      <c r="D2679" t="s">
        <v>19</v>
      </c>
      <c r="E2679" t="s">
        <v>118</v>
      </c>
      <c r="F2679" t="s">
        <v>21</v>
      </c>
      <c r="G2679" t="s">
        <v>22</v>
      </c>
      <c r="H2679" t="s">
        <v>31</v>
      </c>
      <c r="I2679" t="s">
        <v>112</v>
      </c>
      <c r="J2679" t="s">
        <v>113</v>
      </c>
      <c r="K2679">
        <v>6</v>
      </c>
      <c r="L2679" s="2">
        <v>560.66</v>
      </c>
      <c r="M2679" s="3">
        <v>0.15</v>
      </c>
      <c r="N2679" s="2">
        <v>2859.37</v>
      </c>
      <c r="O2679" s="2">
        <v>1696.65</v>
      </c>
      <c r="P2679" s="2">
        <v>1162.72</v>
      </c>
      <c r="Q2679" t="s">
        <v>26</v>
      </c>
    </row>
    <row r="2680" spans="1:17" x14ac:dyDescent="0.2">
      <c r="A2680" t="s">
        <v>2845</v>
      </c>
      <c r="B2680" s="1">
        <v>45986</v>
      </c>
      <c r="C2680" t="s">
        <v>18</v>
      </c>
      <c r="D2680" t="s">
        <v>19</v>
      </c>
      <c r="E2680" t="s">
        <v>20</v>
      </c>
      <c r="F2680" t="s">
        <v>30</v>
      </c>
      <c r="G2680" t="s">
        <v>22</v>
      </c>
      <c r="H2680" t="s">
        <v>47</v>
      </c>
      <c r="I2680" t="s">
        <v>141</v>
      </c>
      <c r="J2680" t="s">
        <v>142</v>
      </c>
      <c r="K2680">
        <v>9</v>
      </c>
      <c r="L2680" s="2">
        <v>434.5</v>
      </c>
      <c r="M2680" s="3">
        <v>0.1</v>
      </c>
      <c r="N2680" s="2">
        <v>3519.45</v>
      </c>
      <c r="O2680" s="2">
        <v>2608.4899999999998</v>
      </c>
      <c r="P2680" s="2">
        <v>910.96</v>
      </c>
      <c r="Q2680" t="s">
        <v>61</v>
      </c>
    </row>
    <row r="2681" spans="1:17" x14ac:dyDescent="0.2">
      <c r="A2681" t="s">
        <v>2846</v>
      </c>
      <c r="B2681" s="1">
        <v>45986</v>
      </c>
      <c r="C2681" t="s">
        <v>77</v>
      </c>
      <c r="D2681" t="s">
        <v>128</v>
      </c>
      <c r="E2681" t="s">
        <v>155</v>
      </c>
      <c r="F2681" t="s">
        <v>21</v>
      </c>
      <c r="G2681" t="s">
        <v>54</v>
      </c>
      <c r="H2681" t="s">
        <v>23</v>
      </c>
      <c r="I2681" t="s">
        <v>24</v>
      </c>
      <c r="J2681" t="s">
        <v>25</v>
      </c>
      <c r="K2681">
        <v>6</v>
      </c>
      <c r="L2681" s="2">
        <v>22</v>
      </c>
      <c r="M2681" s="3">
        <v>0.1</v>
      </c>
      <c r="N2681" s="2">
        <v>118.8</v>
      </c>
      <c r="O2681" s="2">
        <v>82.6</v>
      </c>
      <c r="P2681" s="2">
        <v>36.200000000000003</v>
      </c>
      <c r="Q2681" t="s">
        <v>26</v>
      </c>
    </row>
    <row r="2682" spans="1:17" x14ac:dyDescent="0.2">
      <c r="A2682" t="s">
        <v>2847</v>
      </c>
      <c r="B2682" s="1">
        <v>45986</v>
      </c>
      <c r="C2682" t="s">
        <v>18</v>
      </c>
      <c r="D2682" t="s">
        <v>28</v>
      </c>
      <c r="E2682" t="s">
        <v>157</v>
      </c>
      <c r="F2682" t="s">
        <v>60</v>
      </c>
      <c r="G2682" t="s">
        <v>54</v>
      </c>
      <c r="H2682" t="s">
        <v>47</v>
      </c>
      <c r="I2682" t="s">
        <v>97</v>
      </c>
      <c r="J2682" t="s">
        <v>116</v>
      </c>
      <c r="K2682">
        <v>2</v>
      </c>
      <c r="L2682" s="2">
        <v>308.48</v>
      </c>
      <c r="M2682" s="3">
        <v>0.05</v>
      </c>
      <c r="N2682" s="2">
        <v>586.11</v>
      </c>
      <c r="O2682" s="2">
        <v>340.37</v>
      </c>
      <c r="P2682" s="2">
        <v>245.74</v>
      </c>
      <c r="Q2682" t="s">
        <v>57</v>
      </c>
    </row>
    <row r="2683" spans="1:17" x14ac:dyDescent="0.2">
      <c r="A2683" t="s">
        <v>2848</v>
      </c>
      <c r="B2683" s="1">
        <v>45986</v>
      </c>
      <c r="C2683" t="s">
        <v>77</v>
      </c>
      <c r="D2683" t="s">
        <v>78</v>
      </c>
      <c r="E2683" t="s">
        <v>261</v>
      </c>
      <c r="F2683" t="s">
        <v>60</v>
      </c>
      <c r="G2683" t="s">
        <v>75</v>
      </c>
      <c r="H2683" t="s">
        <v>31</v>
      </c>
      <c r="I2683" t="s">
        <v>112</v>
      </c>
      <c r="J2683" t="s">
        <v>136</v>
      </c>
      <c r="K2683">
        <v>4</v>
      </c>
      <c r="L2683" s="2">
        <v>607.34</v>
      </c>
      <c r="M2683" s="3">
        <v>0.05</v>
      </c>
      <c r="N2683" s="2">
        <v>2307.89</v>
      </c>
      <c r="O2683" s="2">
        <v>1813.32</v>
      </c>
      <c r="P2683" s="2">
        <v>494.57</v>
      </c>
      <c r="Q2683" t="s">
        <v>34</v>
      </c>
    </row>
    <row r="2684" spans="1:17" x14ac:dyDescent="0.2">
      <c r="A2684" t="s">
        <v>2849</v>
      </c>
      <c r="B2684" s="1">
        <v>45986</v>
      </c>
      <c r="C2684" t="s">
        <v>18</v>
      </c>
      <c r="D2684" t="s">
        <v>19</v>
      </c>
      <c r="E2684" t="s">
        <v>20</v>
      </c>
      <c r="F2684" t="s">
        <v>53</v>
      </c>
      <c r="G2684" t="s">
        <v>22</v>
      </c>
      <c r="H2684" t="s">
        <v>47</v>
      </c>
      <c r="I2684" t="s">
        <v>141</v>
      </c>
      <c r="J2684" t="s">
        <v>372</v>
      </c>
      <c r="K2684">
        <v>5</v>
      </c>
      <c r="L2684" s="2">
        <v>383.22</v>
      </c>
      <c r="M2684" s="3">
        <v>0.05</v>
      </c>
      <c r="N2684" s="2">
        <v>1820.3</v>
      </c>
      <c r="O2684" s="2">
        <v>1284.1300000000001</v>
      </c>
      <c r="P2684" s="2">
        <v>536.16999999999996</v>
      </c>
      <c r="Q2684" t="s">
        <v>34</v>
      </c>
    </row>
    <row r="2685" spans="1:17" x14ac:dyDescent="0.2">
      <c r="A2685" t="s">
        <v>2850</v>
      </c>
      <c r="B2685" s="1">
        <v>45986</v>
      </c>
      <c r="C2685" t="s">
        <v>77</v>
      </c>
      <c r="D2685" t="s">
        <v>149</v>
      </c>
      <c r="E2685" t="s">
        <v>206</v>
      </c>
      <c r="F2685" t="s">
        <v>21</v>
      </c>
      <c r="G2685" t="s">
        <v>54</v>
      </c>
      <c r="H2685" t="s">
        <v>31</v>
      </c>
      <c r="I2685" t="s">
        <v>32</v>
      </c>
      <c r="J2685" t="s">
        <v>104</v>
      </c>
      <c r="K2685">
        <v>3</v>
      </c>
      <c r="L2685" s="2">
        <v>1482.83</v>
      </c>
      <c r="M2685" s="3">
        <v>0.05</v>
      </c>
      <c r="N2685" s="2">
        <v>4226.07</v>
      </c>
      <c r="O2685" s="2">
        <v>3310.79</v>
      </c>
      <c r="P2685" s="2">
        <v>915.28</v>
      </c>
      <c r="Q2685" t="s">
        <v>26</v>
      </c>
    </row>
    <row r="2686" spans="1:17" x14ac:dyDescent="0.2">
      <c r="A2686" t="s">
        <v>2851</v>
      </c>
      <c r="B2686" s="1">
        <v>45986</v>
      </c>
      <c r="C2686" t="s">
        <v>43</v>
      </c>
      <c r="D2686" t="s">
        <v>161</v>
      </c>
      <c r="E2686" t="s">
        <v>172</v>
      </c>
      <c r="F2686" t="s">
        <v>30</v>
      </c>
      <c r="G2686" t="s">
        <v>22</v>
      </c>
      <c r="H2686" t="s">
        <v>47</v>
      </c>
      <c r="I2686" t="s">
        <v>48</v>
      </c>
      <c r="J2686" t="s">
        <v>49</v>
      </c>
      <c r="K2686">
        <v>8</v>
      </c>
      <c r="L2686" s="2">
        <v>839.04</v>
      </c>
      <c r="M2686" s="3">
        <v>0</v>
      </c>
      <c r="N2686" s="2">
        <v>6712.32</v>
      </c>
      <c r="O2686" s="2">
        <v>4789.57</v>
      </c>
      <c r="P2686" s="2">
        <v>1922.75</v>
      </c>
      <c r="Q2686" t="s">
        <v>57</v>
      </c>
    </row>
    <row r="2687" spans="1:17" x14ac:dyDescent="0.2">
      <c r="A2687" t="s">
        <v>2852</v>
      </c>
      <c r="B2687" s="1">
        <v>45986</v>
      </c>
      <c r="C2687" t="s">
        <v>77</v>
      </c>
      <c r="D2687" t="s">
        <v>78</v>
      </c>
      <c r="E2687" t="s">
        <v>261</v>
      </c>
      <c r="F2687" t="s">
        <v>69</v>
      </c>
      <c r="G2687" t="s">
        <v>22</v>
      </c>
      <c r="H2687" t="s">
        <v>23</v>
      </c>
      <c r="I2687" t="s">
        <v>79</v>
      </c>
      <c r="J2687" t="s">
        <v>179</v>
      </c>
      <c r="K2687">
        <v>1</v>
      </c>
      <c r="L2687" s="2">
        <v>150.97999999999999</v>
      </c>
      <c r="M2687" s="3">
        <v>0.2</v>
      </c>
      <c r="N2687" s="2">
        <v>120.78</v>
      </c>
      <c r="O2687" s="2">
        <v>74.95</v>
      </c>
      <c r="P2687" s="2">
        <v>45.83</v>
      </c>
      <c r="Q2687" t="s">
        <v>61</v>
      </c>
    </row>
    <row r="2688" spans="1:17" x14ac:dyDescent="0.2">
      <c r="A2688" t="s">
        <v>2853</v>
      </c>
      <c r="B2688" s="1">
        <v>45986</v>
      </c>
      <c r="C2688" t="s">
        <v>77</v>
      </c>
      <c r="D2688" t="s">
        <v>78</v>
      </c>
      <c r="E2688" t="s">
        <v>261</v>
      </c>
      <c r="F2688" t="s">
        <v>130</v>
      </c>
      <c r="G2688" t="s">
        <v>54</v>
      </c>
      <c r="H2688" t="s">
        <v>31</v>
      </c>
      <c r="I2688" t="s">
        <v>64</v>
      </c>
      <c r="J2688" t="s">
        <v>126</v>
      </c>
      <c r="K2688">
        <v>1</v>
      </c>
      <c r="L2688" s="2">
        <v>168.1</v>
      </c>
      <c r="M2688" s="3">
        <v>0</v>
      </c>
      <c r="N2688" s="2">
        <v>168.1</v>
      </c>
      <c r="O2688" s="2">
        <v>97.92</v>
      </c>
      <c r="P2688" s="2">
        <v>70.180000000000007</v>
      </c>
      <c r="Q2688" t="s">
        <v>61</v>
      </c>
    </row>
    <row r="2689" spans="1:17" x14ac:dyDescent="0.2">
      <c r="A2689" t="s">
        <v>2854</v>
      </c>
      <c r="B2689" s="1">
        <v>45987</v>
      </c>
      <c r="C2689" t="s">
        <v>18</v>
      </c>
      <c r="D2689" t="s">
        <v>152</v>
      </c>
      <c r="E2689" t="s">
        <v>185</v>
      </c>
      <c r="F2689" t="s">
        <v>138</v>
      </c>
      <c r="G2689" t="s">
        <v>75</v>
      </c>
      <c r="H2689" t="s">
        <v>31</v>
      </c>
      <c r="I2689" t="s">
        <v>64</v>
      </c>
      <c r="J2689" t="s">
        <v>252</v>
      </c>
      <c r="K2689">
        <v>2</v>
      </c>
      <c r="L2689" s="2">
        <v>84.98</v>
      </c>
      <c r="M2689" s="3">
        <v>0.1</v>
      </c>
      <c r="N2689" s="2">
        <v>152.96</v>
      </c>
      <c r="O2689" s="2">
        <v>107.81</v>
      </c>
      <c r="P2689" s="2">
        <v>45.15</v>
      </c>
      <c r="Q2689" t="s">
        <v>26</v>
      </c>
    </row>
    <row r="2690" spans="1:17" x14ac:dyDescent="0.2">
      <c r="A2690" t="s">
        <v>2855</v>
      </c>
      <c r="B2690" s="1">
        <v>45987</v>
      </c>
      <c r="C2690" t="s">
        <v>43</v>
      </c>
      <c r="D2690" t="s">
        <v>161</v>
      </c>
      <c r="E2690" t="s">
        <v>418</v>
      </c>
      <c r="F2690" t="s">
        <v>53</v>
      </c>
      <c r="G2690" t="s">
        <v>75</v>
      </c>
      <c r="H2690" t="s">
        <v>31</v>
      </c>
      <c r="I2690" t="s">
        <v>112</v>
      </c>
      <c r="J2690" t="s">
        <v>136</v>
      </c>
      <c r="K2690">
        <v>2</v>
      </c>
      <c r="L2690" s="2">
        <v>423.01</v>
      </c>
      <c r="M2690" s="3">
        <v>0.1</v>
      </c>
      <c r="N2690" s="2">
        <v>761.42</v>
      </c>
      <c r="O2690" s="2">
        <v>435.9</v>
      </c>
      <c r="P2690" s="2">
        <v>325.52</v>
      </c>
      <c r="Q2690" t="s">
        <v>61</v>
      </c>
    </row>
    <row r="2691" spans="1:17" x14ac:dyDescent="0.2">
      <c r="A2691" t="s">
        <v>2856</v>
      </c>
      <c r="B2691" s="1">
        <v>45987</v>
      </c>
      <c r="C2691" t="s">
        <v>36</v>
      </c>
      <c r="D2691" t="s">
        <v>110</v>
      </c>
      <c r="E2691" t="s">
        <v>111</v>
      </c>
      <c r="F2691" t="s">
        <v>71</v>
      </c>
      <c r="G2691" t="s">
        <v>75</v>
      </c>
      <c r="H2691" t="s">
        <v>23</v>
      </c>
      <c r="I2691" t="s">
        <v>24</v>
      </c>
      <c r="J2691" t="s">
        <v>25</v>
      </c>
      <c r="K2691">
        <v>5</v>
      </c>
      <c r="L2691" s="2">
        <v>9.66</v>
      </c>
      <c r="M2691" s="3">
        <v>0.1</v>
      </c>
      <c r="N2691" s="2">
        <v>43.47</v>
      </c>
      <c r="O2691" s="2">
        <v>30.01</v>
      </c>
      <c r="P2691" s="2">
        <v>13.46</v>
      </c>
      <c r="Q2691" t="s">
        <v>57</v>
      </c>
    </row>
    <row r="2692" spans="1:17" x14ac:dyDescent="0.2">
      <c r="A2692" t="s">
        <v>2857</v>
      </c>
      <c r="B2692" s="1">
        <v>45987</v>
      </c>
      <c r="C2692" t="s">
        <v>36</v>
      </c>
      <c r="D2692" t="s">
        <v>110</v>
      </c>
      <c r="E2692" t="s">
        <v>111</v>
      </c>
      <c r="F2692" t="s">
        <v>130</v>
      </c>
      <c r="G2692" t="s">
        <v>54</v>
      </c>
      <c r="H2692" t="s">
        <v>47</v>
      </c>
      <c r="I2692" t="s">
        <v>48</v>
      </c>
      <c r="J2692" t="s">
        <v>93</v>
      </c>
      <c r="K2692">
        <v>7</v>
      </c>
      <c r="L2692" s="2">
        <v>703.89</v>
      </c>
      <c r="M2692" s="3">
        <v>0.15</v>
      </c>
      <c r="N2692" s="2">
        <v>4188.1499999999996</v>
      </c>
      <c r="O2692" s="2">
        <v>2958.09</v>
      </c>
      <c r="P2692" s="2">
        <v>1230.06</v>
      </c>
      <c r="Q2692" t="s">
        <v>61</v>
      </c>
    </row>
    <row r="2693" spans="1:17" x14ac:dyDescent="0.2">
      <c r="A2693" t="s">
        <v>2858</v>
      </c>
      <c r="B2693" s="1">
        <v>45987</v>
      </c>
      <c r="C2693" t="s">
        <v>43</v>
      </c>
      <c r="D2693" t="s">
        <v>161</v>
      </c>
      <c r="E2693" t="s">
        <v>162</v>
      </c>
      <c r="F2693" t="s">
        <v>60</v>
      </c>
      <c r="G2693" t="s">
        <v>75</v>
      </c>
      <c r="H2693" t="s">
        <v>23</v>
      </c>
      <c r="I2693" t="s">
        <v>24</v>
      </c>
      <c r="J2693" t="s">
        <v>220</v>
      </c>
      <c r="K2693">
        <v>1</v>
      </c>
      <c r="L2693" s="2">
        <v>8.5</v>
      </c>
      <c r="M2693" s="3">
        <v>0</v>
      </c>
      <c r="N2693" s="2">
        <v>8.5</v>
      </c>
      <c r="O2693" s="2">
        <v>4.82</v>
      </c>
      <c r="P2693" s="2">
        <v>3.68</v>
      </c>
      <c r="Q2693" t="s">
        <v>57</v>
      </c>
    </row>
    <row r="2694" spans="1:17" x14ac:dyDescent="0.2">
      <c r="A2694" t="s">
        <v>2859</v>
      </c>
      <c r="B2694" s="1">
        <v>45987</v>
      </c>
      <c r="C2694" t="s">
        <v>36</v>
      </c>
      <c r="D2694" t="s">
        <v>110</v>
      </c>
      <c r="E2694" t="s">
        <v>203</v>
      </c>
      <c r="F2694" t="s">
        <v>138</v>
      </c>
      <c r="G2694" t="s">
        <v>75</v>
      </c>
      <c r="H2694" t="s">
        <v>31</v>
      </c>
      <c r="I2694" t="s">
        <v>40</v>
      </c>
      <c r="J2694" t="s">
        <v>216</v>
      </c>
      <c r="K2694">
        <v>3</v>
      </c>
      <c r="L2694" s="2">
        <v>58.12</v>
      </c>
      <c r="M2694" s="3">
        <v>0.1</v>
      </c>
      <c r="N2694" s="2">
        <v>156.91999999999999</v>
      </c>
      <c r="O2694" s="2">
        <v>122.39</v>
      </c>
      <c r="P2694" s="2">
        <v>34.53</v>
      </c>
      <c r="Q2694" t="s">
        <v>61</v>
      </c>
    </row>
    <row r="2695" spans="1:17" x14ac:dyDescent="0.2">
      <c r="A2695" t="s">
        <v>2860</v>
      </c>
      <c r="B2695" s="1">
        <v>45988</v>
      </c>
      <c r="C2695" t="s">
        <v>43</v>
      </c>
      <c r="D2695" t="s">
        <v>208</v>
      </c>
      <c r="E2695" t="s">
        <v>209</v>
      </c>
      <c r="F2695" t="s">
        <v>138</v>
      </c>
      <c r="G2695" t="s">
        <v>75</v>
      </c>
      <c r="H2695" t="s">
        <v>47</v>
      </c>
      <c r="I2695" t="s">
        <v>48</v>
      </c>
      <c r="J2695" t="s">
        <v>93</v>
      </c>
      <c r="K2695">
        <v>8</v>
      </c>
      <c r="L2695" s="2">
        <v>701.69</v>
      </c>
      <c r="M2695" s="3">
        <v>0.05</v>
      </c>
      <c r="N2695" s="2">
        <v>5332.84</v>
      </c>
      <c r="O2695" s="2">
        <v>3820.9</v>
      </c>
      <c r="P2695" s="2">
        <v>1511.94</v>
      </c>
      <c r="Q2695" t="s">
        <v>26</v>
      </c>
    </row>
    <row r="2696" spans="1:17" x14ac:dyDescent="0.2">
      <c r="A2696" t="s">
        <v>2861</v>
      </c>
      <c r="B2696" s="1">
        <v>45988</v>
      </c>
      <c r="C2696" t="s">
        <v>77</v>
      </c>
      <c r="D2696" t="s">
        <v>78</v>
      </c>
      <c r="E2696" t="s">
        <v>261</v>
      </c>
      <c r="F2696" t="s">
        <v>46</v>
      </c>
      <c r="G2696" t="s">
        <v>22</v>
      </c>
      <c r="H2696" t="s">
        <v>47</v>
      </c>
      <c r="I2696" t="s">
        <v>48</v>
      </c>
      <c r="J2696" t="s">
        <v>49</v>
      </c>
      <c r="K2696">
        <v>10</v>
      </c>
      <c r="L2696" s="2">
        <v>878.11</v>
      </c>
      <c r="M2696" s="3">
        <v>0</v>
      </c>
      <c r="N2696" s="2">
        <v>8781.1</v>
      </c>
      <c r="O2696" s="2">
        <v>6790.55</v>
      </c>
      <c r="P2696" s="2">
        <v>1990.55</v>
      </c>
      <c r="Q2696" t="s">
        <v>34</v>
      </c>
    </row>
    <row r="2697" spans="1:17" x14ac:dyDescent="0.2">
      <c r="A2697" t="s">
        <v>2862</v>
      </c>
      <c r="B2697" s="1">
        <v>45988</v>
      </c>
      <c r="C2697" t="s">
        <v>77</v>
      </c>
      <c r="D2697" t="s">
        <v>149</v>
      </c>
      <c r="E2697" t="s">
        <v>309</v>
      </c>
      <c r="F2697" t="s">
        <v>138</v>
      </c>
      <c r="G2697" t="s">
        <v>22</v>
      </c>
      <c r="H2697" t="s">
        <v>23</v>
      </c>
      <c r="I2697" t="s">
        <v>24</v>
      </c>
      <c r="J2697" t="s">
        <v>220</v>
      </c>
      <c r="K2697">
        <v>6</v>
      </c>
      <c r="L2697" s="2">
        <v>11.3</v>
      </c>
      <c r="M2697" s="3">
        <v>0</v>
      </c>
      <c r="N2697" s="2">
        <v>67.8</v>
      </c>
      <c r="O2697" s="2">
        <v>44.07</v>
      </c>
      <c r="P2697" s="2">
        <v>23.73</v>
      </c>
      <c r="Q2697" t="s">
        <v>57</v>
      </c>
    </row>
    <row r="2698" spans="1:17" x14ac:dyDescent="0.2">
      <c r="A2698" t="s">
        <v>2863</v>
      </c>
      <c r="B2698" s="1">
        <v>45988</v>
      </c>
      <c r="C2698" t="s">
        <v>43</v>
      </c>
      <c r="D2698" t="s">
        <v>244</v>
      </c>
      <c r="E2698" t="s">
        <v>326</v>
      </c>
      <c r="F2698" t="s">
        <v>60</v>
      </c>
      <c r="G2698" t="s">
        <v>75</v>
      </c>
      <c r="H2698" t="s">
        <v>47</v>
      </c>
      <c r="I2698" t="s">
        <v>97</v>
      </c>
      <c r="J2698" t="s">
        <v>98</v>
      </c>
      <c r="K2698">
        <v>9</v>
      </c>
      <c r="L2698" s="2">
        <v>331.98</v>
      </c>
      <c r="M2698" s="3">
        <v>0.05</v>
      </c>
      <c r="N2698" s="2">
        <v>2838.43</v>
      </c>
      <c r="O2698" s="2">
        <v>2204.77</v>
      </c>
      <c r="P2698" s="2">
        <v>633.66</v>
      </c>
      <c r="Q2698" t="s">
        <v>57</v>
      </c>
    </row>
    <row r="2699" spans="1:17" x14ac:dyDescent="0.2">
      <c r="A2699" t="s">
        <v>2864</v>
      </c>
      <c r="B2699" s="1">
        <v>45988</v>
      </c>
      <c r="C2699" t="s">
        <v>18</v>
      </c>
      <c r="D2699" t="s">
        <v>86</v>
      </c>
      <c r="E2699" t="s">
        <v>92</v>
      </c>
      <c r="F2699" t="s">
        <v>39</v>
      </c>
      <c r="G2699" t="s">
        <v>75</v>
      </c>
      <c r="H2699" t="s">
        <v>31</v>
      </c>
      <c r="I2699" t="s">
        <v>40</v>
      </c>
      <c r="J2699" t="s">
        <v>41</v>
      </c>
      <c r="K2699">
        <v>7</v>
      </c>
      <c r="L2699" s="2">
        <v>154.38999999999999</v>
      </c>
      <c r="M2699" s="3">
        <v>0</v>
      </c>
      <c r="N2699" s="2">
        <v>1080.73</v>
      </c>
      <c r="O2699" s="2">
        <v>653.22</v>
      </c>
      <c r="P2699" s="2">
        <v>427.51</v>
      </c>
      <c r="Q2699" t="s">
        <v>26</v>
      </c>
    </row>
    <row r="2700" spans="1:17" x14ac:dyDescent="0.2">
      <c r="A2700" t="s">
        <v>2865</v>
      </c>
      <c r="B2700" s="1">
        <v>45988</v>
      </c>
      <c r="C2700" t="s">
        <v>18</v>
      </c>
      <c r="D2700" t="s">
        <v>86</v>
      </c>
      <c r="E2700" t="s">
        <v>140</v>
      </c>
      <c r="F2700" t="s">
        <v>130</v>
      </c>
      <c r="G2700" t="s">
        <v>54</v>
      </c>
      <c r="H2700" t="s">
        <v>47</v>
      </c>
      <c r="I2700" t="s">
        <v>48</v>
      </c>
      <c r="J2700" t="s">
        <v>49</v>
      </c>
      <c r="K2700">
        <v>9</v>
      </c>
      <c r="L2700" s="2">
        <v>891.15</v>
      </c>
      <c r="M2700" s="3">
        <v>0.15</v>
      </c>
      <c r="N2700" s="2">
        <v>6817.3</v>
      </c>
      <c r="O2700" s="2">
        <v>4901.3100000000004</v>
      </c>
      <c r="P2700" s="2">
        <v>1915.99</v>
      </c>
      <c r="Q2700" t="s">
        <v>61</v>
      </c>
    </row>
    <row r="2701" spans="1:17" x14ac:dyDescent="0.2">
      <c r="A2701" t="s">
        <v>2866</v>
      </c>
      <c r="B2701" s="1">
        <v>45988</v>
      </c>
      <c r="C2701" t="s">
        <v>43</v>
      </c>
      <c r="D2701" t="s">
        <v>208</v>
      </c>
      <c r="E2701" t="s">
        <v>209</v>
      </c>
      <c r="F2701" t="s">
        <v>46</v>
      </c>
      <c r="G2701" t="s">
        <v>22</v>
      </c>
      <c r="H2701" t="s">
        <v>47</v>
      </c>
      <c r="I2701" t="s">
        <v>48</v>
      </c>
      <c r="J2701" t="s">
        <v>164</v>
      </c>
      <c r="K2701">
        <v>8</v>
      </c>
      <c r="L2701" s="2">
        <v>556.41999999999996</v>
      </c>
      <c r="M2701" s="3">
        <v>0.05</v>
      </c>
      <c r="N2701" s="2">
        <v>4228.79</v>
      </c>
      <c r="O2701" s="2">
        <v>3172.77</v>
      </c>
      <c r="P2701" s="2">
        <v>1056.02</v>
      </c>
      <c r="Q2701" t="s">
        <v>61</v>
      </c>
    </row>
    <row r="2702" spans="1:17" x14ac:dyDescent="0.2">
      <c r="A2702" t="s">
        <v>2867</v>
      </c>
      <c r="B2702" s="1">
        <v>45988</v>
      </c>
      <c r="C2702" t="s">
        <v>43</v>
      </c>
      <c r="D2702" t="s">
        <v>244</v>
      </c>
      <c r="E2702" t="s">
        <v>245</v>
      </c>
      <c r="F2702" t="s">
        <v>130</v>
      </c>
      <c r="G2702" t="s">
        <v>22</v>
      </c>
      <c r="H2702" t="s">
        <v>23</v>
      </c>
      <c r="I2702" t="s">
        <v>83</v>
      </c>
      <c r="J2702" t="s">
        <v>131</v>
      </c>
      <c r="K2702">
        <v>7</v>
      </c>
      <c r="L2702" s="2">
        <v>24.77</v>
      </c>
      <c r="M2702" s="3">
        <v>0</v>
      </c>
      <c r="N2702" s="2">
        <v>173.39</v>
      </c>
      <c r="O2702" s="2">
        <v>130.91</v>
      </c>
      <c r="P2702" s="2">
        <v>42.48</v>
      </c>
      <c r="Q2702" t="s">
        <v>34</v>
      </c>
    </row>
    <row r="2703" spans="1:17" x14ac:dyDescent="0.2">
      <c r="A2703" t="s">
        <v>2868</v>
      </c>
      <c r="B2703" s="1">
        <v>45988</v>
      </c>
      <c r="C2703" t="s">
        <v>18</v>
      </c>
      <c r="D2703" t="s">
        <v>152</v>
      </c>
      <c r="E2703" t="s">
        <v>166</v>
      </c>
      <c r="F2703" t="s">
        <v>138</v>
      </c>
      <c r="G2703" t="s">
        <v>75</v>
      </c>
      <c r="H2703" t="s">
        <v>31</v>
      </c>
      <c r="I2703" t="s">
        <v>64</v>
      </c>
      <c r="J2703" t="s">
        <v>126</v>
      </c>
      <c r="K2703">
        <v>8</v>
      </c>
      <c r="L2703" s="2">
        <v>125.36</v>
      </c>
      <c r="M2703" s="3">
        <v>0.05</v>
      </c>
      <c r="N2703" s="2">
        <v>952.74</v>
      </c>
      <c r="O2703" s="2">
        <v>543.36</v>
      </c>
      <c r="P2703" s="2">
        <v>409.38</v>
      </c>
      <c r="Q2703" t="s">
        <v>34</v>
      </c>
    </row>
    <row r="2704" spans="1:17" x14ac:dyDescent="0.2">
      <c r="A2704" t="s">
        <v>2869</v>
      </c>
      <c r="B2704" s="1">
        <v>45988</v>
      </c>
      <c r="C2704" t="s">
        <v>77</v>
      </c>
      <c r="D2704" t="s">
        <v>106</v>
      </c>
      <c r="E2704" t="s">
        <v>107</v>
      </c>
      <c r="F2704" t="s">
        <v>69</v>
      </c>
      <c r="G2704" t="s">
        <v>54</v>
      </c>
      <c r="H2704" t="s">
        <v>47</v>
      </c>
      <c r="I2704" t="s">
        <v>48</v>
      </c>
      <c r="J2704" t="s">
        <v>93</v>
      </c>
      <c r="K2704">
        <v>4</v>
      </c>
      <c r="L2704" s="2">
        <v>809.6</v>
      </c>
      <c r="M2704" s="3">
        <v>0.15</v>
      </c>
      <c r="N2704" s="2">
        <v>2752.64</v>
      </c>
      <c r="O2704" s="2">
        <v>1636.18</v>
      </c>
      <c r="P2704" s="2">
        <v>1116.46</v>
      </c>
      <c r="Q2704" t="s">
        <v>57</v>
      </c>
    </row>
    <row r="2705" spans="1:17" x14ac:dyDescent="0.2">
      <c r="A2705" t="s">
        <v>2870</v>
      </c>
      <c r="B2705" s="1">
        <v>45988</v>
      </c>
      <c r="C2705" t="s">
        <v>36</v>
      </c>
      <c r="D2705" t="s">
        <v>144</v>
      </c>
      <c r="E2705" t="s">
        <v>145</v>
      </c>
      <c r="F2705" t="s">
        <v>21</v>
      </c>
      <c r="G2705" t="s">
        <v>22</v>
      </c>
      <c r="H2705" t="s">
        <v>31</v>
      </c>
      <c r="I2705" t="s">
        <v>40</v>
      </c>
      <c r="J2705" t="s">
        <v>216</v>
      </c>
      <c r="K2705">
        <v>7</v>
      </c>
      <c r="L2705" s="2">
        <v>153.52000000000001</v>
      </c>
      <c r="M2705" s="3">
        <v>0.1</v>
      </c>
      <c r="N2705" s="2">
        <v>967.18</v>
      </c>
      <c r="O2705" s="2">
        <v>729.37</v>
      </c>
      <c r="P2705" s="2">
        <v>237.81</v>
      </c>
      <c r="Q2705" t="s">
        <v>57</v>
      </c>
    </row>
    <row r="2706" spans="1:17" x14ac:dyDescent="0.2">
      <c r="A2706" t="s">
        <v>2871</v>
      </c>
      <c r="B2706" s="1">
        <v>45989</v>
      </c>
      <c r="C2706" t="s">
        <v>36</v>
      </c>
      <c r="D2706" t="s">
        <v>37</v>
      </c>
      <c r="E2706" t="s">
        <v>255</v>
      </c>
      <c r="F2706" t="s">
        <v>130</v>
      </c>
      <c r="G2706" t="s">
        <v>22</v>
      </c>
      <c r="H2706" t="s">
        <v>23</v>
      </c>
      <c r="I2706" t="s">
        <v>24</v>
      </c>
      <c r="J2706" t="s">
        <v>108</v>
      </c>
      <c r="K2706">
        <v>4</v>
      </c>
      <c r="L2706" s="2">
        <v>7.47</v>
      </c>
      <c r="M2706" s="3">
        <v>0.15</v>
      </c>
      <c r="N2706" s="2">
        <v>25.4</v>
      </c>
      <c r="O2706" s="2">
        <v>18.62</v>
      </c>
      <c r="P2706" s="2">
        <v>6.78</v>
      </c>
      <c r="Q2706" t="s">
        <v>34</v>
      </c>
    </row>
    <row r="2707" spans="1:17" x14ac:dyDescent="0.2">
      <c r="A2707" t="s">
        <v>2872</v>
      </c>
      <c r="B2707" s="1">
        <v>45989</v>
      </c>
      <c r="C2707" t="s">
        <v>18</v>
      </c>
      <c r="D2707" t="s">
        <v>133</v>
      </c>
      <c r="E2707" t="s">
        <v>226</v>
      </c>
      <c r="F2707" t="s">
        <v>39</v>
      </c>
      <c r="G2707" t="s">
        <v>22</v>
      </c>
      <c r="H2707" t="s">
        <v>31</v>
      </c>
      <c r="I2707" t="s">
        <v>40</v>
      </c>
      <c r="J2707" t="s">
        <v>41</v>
      </c>
      <c r="K2707">
        <v>9</v>
      </c>
      <c r="L2707" s="2">
        <v>240.61</v>
      </c>
      <c r="M2707" s="3">
        <v>0</v>
      </c>
      <c r="N2707" s="2">
        <v>2165.4899999999998</v>
      </c>
      <c r="O2707" s="2">
        <v>1586.81</v>
      </c>
      <c r="P2707" s="2">
        <v>578.67999999999995</v>
      </c>
      <c r="Q2707" t="s">
        <v>57</v>
      </c>
    </row>
    <row r="2708" spans="1:17" x14ac:dyDescent="0.2">
      <c r="A2708" t="s">
        <v>2873</v>
      </c>
      <c r="B2708" s="1">
        <v>45989</v>
      </c>
      <c r="C2708" t="s">
        <v>77</v>
      </c>
      <c r="D2708" t="s">
        <v>128</v>
      </c>
      <c r="E2708" t="s">
        <v>159</v>
      </c>
      <c r="F2708" t="s">
        <v>39</v>
      </c>
      <c r="G2708" t="s">
        <v>54</v>
      </c>
      <c r="H2708" t="s">
        <v>23</v>
      </c>
      <c r="I2708" t="s">
        <v>24</v>
      </c>
      <c r="J2708" t="s">
        <v>108</v>
      </c>
      <c r="K2708">
        <v>9</v>
      </c>
      <c r="L2708" s="2">
        <v>15.06</v>
      </c>
      <c r="M2708" s="3">
        <v>0.05</v>
      </c>
      <c r="N2708" s="2">
        <v>128.76</v>
      </c>
      <c r="O2708" s="2">
        <v>73.489999999999995</v>
      </c>
      <c r="P2708" s="2">
        <v>55.27</v>
      </c>
      <c r="Q2708" t="s">
        <v>34</v>
      </c>
    </row>
    <row r="2709" spans="1:17" x14ac:dyDescent="0.2">
      <c r="A2709" t="s">
        <v>2874</v>
      </c>
      <c r="B2709" s="1">
        <v>45989</v>
      </c>
      <c r="C2709" t="s">
        <v>77</v>
      </c>
      <c r="D2709" t="s">
        <v>106</v>
      </c>
      <c r="E2709" t="s">
        <v>303</v>
      </c>
      <c r="F2709" t="s">
        <v>69</v>
      </c>
      <c r="G2709" t="s">
        <v>22</v>
      </c>
      <c r="H2709" t="s">
        <v>31</v>
      </c>
      <c r="I2709" t="s">
        <v>32</v>
      </c>
      <c r="J2709" t="s">
        <v>33</v>
      </c>
      <c r="K2709">
        <v>7</v>
      </c>
      <c r="L2709" s="2">
        <v>737.2</v>
      </c>
      <c r="M2709" s="3">
        <v>0</v>
      </c>
      <c r="N2709" s="2">
        <v>5160.3999999999996</v>
      </c>
      <c r="O2709" s="2">
        <v>3282.25</v>
      </c>
      <c r="P2709" s="2">
        <v>1878.15</v>
      </c>
      <c r="Q2709" t="s">
        <v>26</v>
      </c>
    </row>
    <row r="2710" spans="1:17" x14ac:dyDescent="0.2">
      <c r="A2710" t="s">
        <v>2875</v>
      </c>
      <c r="B2710" s="1">
        <v>45989</v>
      </c>
      <c r="C2710" t="s">
        <v>77</v>
      </c>
      <c r="D2710" t="s">
        <v>106</v>
      </c>
      <c r="E2710" t="s">
        <v>303</v>
      </c>
      <c r="F2710" t="s">
        <v>60</v>
      </c>
      <c r="G2710" t="s">
        <v>75</v>
      </c>
      <c r="H2710" t="s">
        <v>47</v>
      </c>
      <c r="I2710" t="s">
        <v>89</v>
      </c>
      <c r="J2710" t="s">
        <v>240</v>
      </c>
      <c r="K2710">
        <v>8</v>
      </c>
      <c r="L2710" s="2">
        <v>394.47</v>
      </c>
      <c r="M2710" s="3">
        <v>0</v>
      </c>
      <c r="N2710" s="2">
        <v>3155.76</v>
      </c>
      <c r="O2710" s="2">
        <v>1740.01</v>
      </c>
      <c r="P2710" s="2">
        <v>1415.75</v>
      </c>
      <c r="Q2710" t="s">
        <v>57</v>
      </c>
    </row>
    <row r="2711" spans="1:17" x14ac:dyDescent="0.2">
      <c r="A2711" t="s">
        <v>2876</v>
      </c>
      <c r="B2711" s="1">
        <v>45989</v>
      </c>
      <c r="C2711" t="s">
        <v>43</v>
      </c>
      <c r="D2711" t="s">
        <v>51</v>
      </c>
      <c r="E2711" t="s">
        <v>52</v>
      </c>
      <c r="F2711" t="s">
        <v>46</v>
      </c>
      <c r="G2711" t="s">
        <v>75</v>
      </c>
      <c r="H2711" t="s">
        <v>23</v>
      </c>
      <c r="I2711" t="s">
        <v>83</v>
      </c>
      <c r="J2711" t="s">
        <v>120</v>
      </c>
      <c r="K2711">
        <v>7</v>
      </c>
      <c r="L2711" s="2">
        <v>11.75</v>
      </c>
      <c r="M2711" s="3">
        <v>0.05</v>
      </c>
      <c r="N2711" s="2">
        <v>78.14</v>
      </c>
      <c r="O2711" s="2">
        <v>44.79</v>
      </c>
      <c r="P2711" s="2">
        <v>33.35</v>
      </c>
      <c r="Q2711" t="s">
        <v>61</v>
      </c>
    </row>
    <row r="2712" spans="1:17" x14ac:dyDescent="0.2">
      <c r="A2712" t="s">
        <v>2877</v>
      </c>
      <c r="B2712" s="1">
        <v>45989</v>
      </c>
      <c r="C2712" t="s">
        <v>43</v>
      </c>
      <c r="D2712" t="s">
        <v>208</v>
      </c>
      <c r="E2712" t="s">
        <v>230</v>
      </c>
      <c r="F2712" t="s">
        <v>53</v>
      </c>
      <c r="G2712" t="s">
        <v>54</v>
      </c>
      <c r="H2712" t="s">
        <v>31</v>
      </c>
      <c r="I2712" t="s">
        <v>64</v>
      </c>
      <c r="J2712" t="s">
        <v>126</v>
      </c>
      <c r="K2712">
        <v>5</v>
      </c>
      <c r="L2712" s="2">
        <v>51.83</v>
      </c>
      <c r="M2712" s="3">
        <v>0.15</v>
      </c>
      <c r="N2712" s="2">
        <v>220.28</v>
      </c>
      <c r="O2712" s="2">
        <v>177.46</v>
      </c>
      <c r="P2712" s="2">
        <v>42.82</v>
      </c>
      <c r="Q2712" t="s">
        <v>61</v>
      </c>
    </row>
    <row r="2713" spans="1:17" x14ac:dyDescent="0.2">
      <c r="A2713" t="s">
        <v>2878</v>
      </c>
      <c r="B2713" s="1">
        <v>45989</v>
      </c>
      <c r="C2713" t="s">
        <v>43</v>
      </c>
      <c r="D2713" t="s">
        <v>161</v>
      </c>
      <c r="E2713" t="s">
        <v>418</v>
      </c>
      <c r="F2713" t="s">
        <v>130</v>
      </c>
      <c r="G2713" t="s">
        <v>75</v>
      </c>
      <c r="H2713" t="s">
        <v>47</v>
      </c>
      <c r="I2713" t="s">
        <v>97</v>
      </c>
      <c r="J2713" t="s">
        <v>116</v>
      </c>
      <c r="K2713">
        <v>7</v>
      </c>
      <c r="L2713" s="2">
        <v>226.07</v>
      </c>
      <c r="M2713" s="3">
        <v>0</v>
      </c>
      <c r="N2713" s="2">
        <v>1582.49</v>
      </c>
      <c r="O2713" s="2">
        <v>1069.3699999999999</v>
      </c>
      <c r="P2713" s="2">
        <v>513.12</v>
      </c>
      <c r="Q2713" t="s">
        <v>61</v>
      </c>
    </row>
    <row r="2714" spans="1:17" x14ac:dyDescent="0.2">
      <c r="A2714" t="s">
        <v>2879</v>
      </c>
      <c r="B2714" s="1">
        <v>45990</v>
      </c>
      <c r="C2714" t="s">
        <v>36</v>
      </c>
      <c r="D2714" t="s">
        <v>73</v>
      </c>
      <c r="E2714" t="s">
        <v>247</v>
      </c>
      <c r="F2714" t="s">
        <v>21</v>
      </c>
      <c r="G2714" t="s">
        <v>22</v>
      </c>
      <c r="H2714" t="s">
        <v>47</v>
      </c>
      <c r="I2714" t="s">
        <v>89</v>
      </c>
      <c r="J2714" t="s">
        <v>90</v>
      </c>
      <c r="K2714">
        <v>8</v>
      </c>
      <c r="L2714" s="2">
        <v>334.09</v>
      </c>
      <c r="M2714" s="3">
        <v>0.15</v>
      </c>
      <c r="N2714" s="2">
        <v>2271.81</v>
      </c>
      <c r="O2714" s="2">
        <v>1499.32</v>
      </c>
      <c r="P2714" s="2">
        <v>772.49</v>
      </c>
      <c r="Q2714" t="s">
        <v>26</v>
      </c>
    </row>
    <row r="2715" spans="1:17" x14ac:dyDescent="0.2">
      <c r="A2715" t="s">
        <v>2880</v>
      </c>
      <c r="B2715" s="1">
        <v>45990</v>
      </c>
      <c r="C2715" t="s">
        <v>77</v>
      </c>
      <c r="D2715" t="s">
        <v>128</v>
      </c>
      <c r="E2715" t="s">
        <v>129</v>
      </c>
      <c r="F2715" t="s">
        <v>71</v>
      </c>
      <c r="G2715" t="s">
        <v>22</v>
      </c>
      <c r="H2715" t="s">
        <v>31</v>
      </c>
      <c r="I2715" t="s">
        <v>40</v>
      </c>
      <c r="J2715" t="s">
        <v>122</v>
      </c>
      <c r="K2715">
        <v>5</v>
      </c>
      <c r="L2715" s="2">
        <v>58.2</v>
      </c>
      <c r="M2715" s="3">
        <v>0</v>
      </c>
      <c r="N2715" s="2">
        <v>291</v>
      </c>
      <c r="O2715" s="2">
        <v>187.48</v>
      </c>
      <c r="P2715" s="2">
        <v>103.52</v>
      </c>
      <c r="Q2715" t="s">
        <v>26</v>
      </c>
    </row>
    <row r="2716" spans="1:17" x14ac:dyDescent="0.2">
      <c r="A2716" t="s">
        <v>2881</v>
      </c>
      <c r="B2716" s="1">
        <v>45990</v>
      </c>
      <c r="C2716" t="s">
        <v>18</v>
      </c>
      <c r="D2716" t="s">
        <v>152</v>
      </c>
      <c r="E2716" t="s">
        <v>185</v>
      </c>
      <c r="F2716" t="s">
        <v>30</v>
      </c>
      <c r="G2716" t="s">
        <v>75</v>
      </c>
      <c r="H2716" t="s">
        <v>31</v>
      </c>
      <c r="I2716" t="s">
        <v>64</v>
      </c>
      <c r="J2716" t="s">
        <v>252</v>
      </c>
      <c r="K2716">
        <v>9</v>
      </c>
      <c r="L2716" s="2">
        <v>125.94</v>
      </c>
      <c r="M2716" s="3">
        <v>0.15</v>
      </c>
      <c r="N2716" s="2">
        <v>963.44</v>
      </c>
      <c r="O2716" s="2">
        <v>704.94</v>
      </c>
      <c r="P2716" s="2">
        <v>258.5</v>
      </c>
      <c r="Q2716" t="s">
        <v>61</v>
      </c>
    </row>
    <row r="2717" spans="1:17" x14ac:dyDescent="0.2">
      <c r="A2717" t="s">
        <v>2882</v>
      </c>
      <c r="B2717" s="1">
        <v>45990</v>
      </c>
      <c r="C2717" t="s">
        <v>43</v>
      </c>
      <c r="D2717" t="s">
        <v>51</v>
      </c>
      <c r="E2717" t="s">
        <v>59</v>
      </c>
      <c r="F2717" t="s">
        <v>69</v>
      </c>
      <c r="G2717" t="s">
        <v>54</v>
      </c>
      <c r="H2717" t="s">
        <v>31</v>
      </c>
      <c r="I2717" t="s">
        <v>40</v>
      </c>
      <c r="J2717" t="s">
        <v>216</v>
      </c>
      <c r="K2717">
        <v>1</v>
      </c>
      <c r="L2717" s="2">
        <v>147.26</v>
      </c>
      <c r="M2717" s="3">
        <v>0</v>
      </c>
      <c r="N2717" s="2">
        <v>147.26</v>
      </c>
      <c r="O2717" s="2">
        <v>90.96</v>
      </c>
      <c r="P2717" s="2">
        <v>56.3</v>
      </c>
      <c r="Q2717" t="s">
        <v>57</v>
      </c>
    </row>
    <row r="2718" spans="1:17" x14ac:dyDescent="0.2">
      <c r="A2718" t="s">
        <v>2883</v>
      </c>
      <c r="B2718" s="1">
        <v>45990</v>
      </c>
      <c r="C2718" t="s">
        <v>18</v>
      </c>
      <c r="D2718" t="s">
        <v>86</v>
      </c>
      <c r="E2718" t="s">
        <v>92</v>
      </c>
      <c r="F2718" t="s">
        <v>71</v>
      </c>
      <c r="G2718" t="s">
        <v>75</v>
      </c>
      <c r="H2718" t="s">
        <v>23</v>
      </c>
      <c r="I2718" t="s">
        <v>24</v>
      </c>
      <c r="J2718" t="s">
        <v>108</v>
      </c>
      <c r="K2718">
        <v>1</v>
      </c>
      <c r="L2718" s="2">
        <v>27.02</v>
      </c>
      <c r="M2718" s="3">
        <v>0.05</v>
      </c>
      <c r="N2718" s="2">
        <v>25.67</v>
      </c>
      <c r="O2718" s="2">
        <v>16.38</v>
      </c>
      <c r="P2718" s="2">
        <v>9.2899999999999991</v>
      </c>
      <c r="Q2718" t="s">
        <v>26</v>
      </c>
    </row>
    <row r="2719" spans="1:17" x14ac:dyDescent="0.2">
      <c r="A2719" t="s">
        <v>2884</v>
      </c>
      <c r="B2719" s="1">
        <v>45990</v>
      </c>
      <c r="C2719" t="s">
        <v>43</v>
      </c>
      <c r="D2719" t="s">
        <v>208</v>
      </c>
      <c r="E2719" t="s">
        <v>287</v>
      </c>
      <c r="F2719" t="s">
        <v>71</v>
      </c>
      <c r="G2719" t="s">
        <v>54</v>
      </c>
      <c r="H2719" t="s">
        <v>31</v>
      </c>
      <c r="I2719" t="s">
        <v>40</v>
      </c>
      <c r="J2719" t="s">
        <v>122</v>
      </c>
      <c r="K2719">
        <v>5</v>
      </c>
      <c r="L2719" s="2">
        <v>127.9</v>
      </c>
      <c r="M2719" s="3">
        <v>0</v>
      </c>
      <c r="N2719" s="2">
        <v>639.5</v>
      </c>
      <c r="O2719" s="2">
        <v>457.83</v>
      </c>
      <c r="P2719" s="2">
        <v>181.67</v>
      </c>
      <c r="Q2719" t="s">
        <v>34</v>
      </c>
    </row>
    <row r="2720" spans="1:17" x14ac:dyDescent="0.2">
      <c r="A2720" t="s">
        <v>2885</v>
      </c>
      <c r="B2720" s="1">
        <v>45990</v>
      </c>
      <c r="C2720" t="s">
        <v>43</v>
      </c>
      <c r="D2720" t="s">
        <v>208</v>
      </c>
      <c r="E2720" t="s">
        <v>230</v>
      </c>
      <c r="F2720" t="s">
        <v>130</v>
      </c>
      <c r="G2720" t="s">
        <v>54</v>
      </c>
      <c r="H2720" t="s">
        <v>31</v>
      </c>
      <c r="I2720" t="s">
        <v>32</v>
      </c>
      <c r="J2720" t="s">
        <v>33</v>
      </c>
      <c r="K2720">
        <v>9</v>
      </c>
      <c r="L2720" s="2">
        <v>1490.85</v>
      </c>
      <c r="M2720" s="3">
        <v>0.1</v>
      </c>
      <c r="N2720" s="2">
        <v>12075.88</v>
      </c>
      <c r="O2720" s="2">
        <v>7779.52</v>
      </c>
      <c r="P2720" s="2">
        <v>4296.3599999999997</v>
      </c>
      <c r="Q2720" t="s">
        <v>26</v>
      </c>
    </row>
    <row r="2721" spans="1:17" x14ac:dyDescent="0.2">
      <c r="A2721" t="s">
        <v>2886</v>
      </c>
      <c r="B2721" s="1">
        <v>45990</v>
      </c>
      <c r="C2721" t="s">
        <v>77</v>
      </c>
      <c r="D2721" t="s">
        <v>128</v>
      </c>
      <c r="E2721" t="s">
        <v>159</v>
      </c>
      <c r="F2721" t="s">
        <v>138</v>
      </c>
      <c r="G2721" t="s">
        <v>54</v>
      </c>
      <c r="H2721" t="s">
        <v>31</v>
      </c>
      <c r="I2721" t="s">
        <v>32</v>
      </c>
      <c r="J2721" t="s">
        <v>258</v>
      </c>
      <c r="K2721">
        <v>6</v>
      </c>
      <c r="L2721" s="2">
        <v>1396.68</v>
      </c>
      <c r="M2721" s="3">
        <v>0.15</v>
      </c>
      <c r="N2721" s="2">
        <v>7123.07</v>
      </c>
      <c r="O2721" s="2">
        <v>4160.1499999999996</v>
      </c>
      <c r="P2721" s="2">
        <v>2962.92</v>
      </c>
      <c r="Q2721" t="s">
        <v>26</v>
      </c>
    </row>
    <row r="2722" spans="1:17" x14ac:dyDescent="0.2">
      <c r="A2722" t="s">
        <v>2887</v>
      </c>
      <c r="B2722" s="1">
        <v>45990</v>
      </c>
      <c r="C2722" t="s">
        <v>77</v>
      </c>
      <c r="D2722" t="s">
        <v>149</v>
      </c>
      <c r="E2722" t="s">
        <v>309</v>
      </c>
      <c r="F2722" t="s">
        <v>53</v>
      </c>
      <c r="G2722" t="s">
        <v>22</v>
      </c>
      <c r="H2722" t="s">
        <v>47</v>
      </c>
      <c r="I2722" t="s">
        <v>141</v>
      </c>
      <c r="J2722" t="s">
        <v>142</v>
      </c>
      <c r="K2722">
        <v>10</v>
      </c>
      <c r="L2722" s="2">
        <v>236.91</v>
      </c>
      <c r="M2722" s="3">
        <v>0</v>
      </c>
      <c r="N2722" s="2">
        <v>2369.1</v>
      </c>
      <c r="O2722" s="2">
        <v>1740.54</v>
      </c>
      <c r="P2722" s="2">
        <v>628.55999999999995</v>
      </c>
      <c r="Q2722" t="s">
        <v>26</v>
      </c>
    </row>
    <row r="2723" spans="1:17" x14ac:dyDescent="0.2">
      <c r="A2723" t="s">
        <v>2888</v>
      </c>
      <c r="B2723" s="1">
        <v>45990</v>
      </c>
      <c r="C2723" t="s">
        <v>43</v>
      </c>
      <c r="D2723" t="s">
        <v>161</v>
      </c>
      <c r="E2723" t="s">
        <v>162</v>
      </c>
      <c r="F2723" t="s">
        <v>130</v>
      </c>
      <c r="G2723" t="s">
        <v>22</v>
      </c>
      <c r="H2723" t="s">
        <v>47</v>
      </c>
      <c r="I2723" t="s">
        <v>48</v>
      </c>
      <c r="J2723" t="s">
        <v>49</v>
      </c>
      <c r="K2723">
        <v>4</v>
      </c>
      <c r="L2723" s="2">
        <v>332.04</v>
      </c>
      <c r="M2723" s="3">
        <v>0</v>
      </c>
      <c r="N2723" s="2">
        <v>1328.16</v>
      </c>
      <c r="O2723" s="2">
        <v>974.75</v>
      </c>
      <c r="P2723" s="2">
        <v>353.41</v>
      </c>
      <c r="Q2723" t="s">
        <v>57</v>
      </c>
    </row>
    <row r="2724" spans="1:17" x14ac:dyDescent="0.2">
      <c r="A2724" t="s">
        <v>2889</v>
      </c>
      <c r="B2724" s="1">
        <v>45991</v>
      </c>
      <c r="C2724" t="s">
        <v>43</v>
      </c>
      <c r="D2724" t="s">
        <v>161</v>
      </c>
      <c r="E2724" t="s">
        <v>418</v>
      </c>
      <c r="F2724" t="s">
        <v>53</v>
      </c>
      <c r="G2724" t="s">
        <v>75</v>
      </c>
      <c r="H2724" t="s">
        <v>23</v>
      </c>
      <c r="I2724" t="s">
        <v>79</v>
      </c>
      <c r="J2724" t="s">
        <v>179</v>
      </c>
      <c r="K2724">
        <v>4</v>
      </c>
      <c r="L2724" s="2">
        <v>209.58</v>
      </c>
      <c r="M2724" s="3">
        <v>0.15</v>
      </c>
      <c r="N2724" s="2">
        <v>712.57</v>
      </c>
      <c r="O2724" s="2">
        <v>535.77</v>
      </c>
      <c r="P2724" s="2">
        <v>176.8</v>
      </c>
      <c r="Q2724" t="s">
        <v>57</v>
      </c>
    </row>
    <row r="2725" spans="1:17" x14ac:dyDescent="0.2">
      <c r="A2725" t="s">
        <v>2890</v>
      </c>
      <c r="B2725" s="1">
        <v>45991</v>
      </c>
      <c r="C2725" t="s">
        <v>18</v>
      </c>
      <c r="D2725" t="s">
        <v>86</v>
      </c>
      <c r="E2725" t="s">
        <v>92</v>
      </c>
      <c r="F2725" t="s">
        <v>138</v>
      </c>
      <c r="G2725" t="s">
        <v>75</v>
      </c>
      <c r="H2725" t="s">
        <v>23</v>
      </c>
      <c r="I2725" t="s">
        <v>55</v>
      </c>
      <c r="J2725" t="s">
        <v>56</v>
      </c>
      <c r="K2725">
        <v>2</v>
      </c>
      <c r="L2725" s="2">
        <v>19.46</v>
      </c>
      <c r="M2725" s="3">
        <v>0</v>
      </c>
      <c r="N2725" s="2">
        <v>38.92</v>
      </c>
      <c r="O2725" s="2">
        <v>27.22</v>
      </c>
      <c r="P2725" s="2">
        <v>11.7</v>
      </c>
      <c r="Q2725" t="s">
        <v>57</v>
      </c>
    </row>
    <row r="2726" spans="1:17" x14ac:dyDescent="0.2">
      <c r="A2726" t="s">
        <v>2891</v>
      </c>
      <c r="B2726" s="1">
        <v>45991</v>
      </c>
      <c r="C2726" t="s">
        <v>77</v>
      </c>
      <c r="D2726" t="s">
        <v>106</v>
      </c>
      <c r="E2726" t="s">
        <v>107</v>
      </c>
      <c r="F2726" t="s">
        <v>69</v>
      </c>
      <c r="G2726" t="s">
        <v>22</v>
      </c>
      <c r="H2726" t="s">
        <v>23</v>
      </c>
      <c r="I2726" t="s">
        <v>83</v>
      </c>
      <c r="J2726" t="s">
        <v>120</v>
      </c>
      <c r="K2726">
        <v>4</v>
      </c>
      <c r="L2726" s="2">
        <v>29.02</v>
      </c>
      <c r="M2726" s="3">
        <v>0.1</v>
      </c>
      <c r="N2726" s="2">
        <v>104.47</v>
      </c>
      <c r="O2726" s="2">
        <v>79.25</v>
      </c>
      <c r="P2726" s="2">
        <v>25.22</v>
      </c>
      <c r="Q2726" t="s">
        <v>61</v>
      </c>
    </row>
    <row r="2727" spans="1:17" x14ac:dyDescent="0.2">
      <c r="A2727" t="s">
        <v>2892</v>
      </c>
      <c r="B2727" s="1">
        <v>45991</v>
      </c>
      <c r="C2727" t="s">
        <v>77</v>
      </c>
      <c r="D2727" t="s">
        <v>149</v>
      </c>
      <c r="E2727" t="s">
        <v>309</v>
      </c>
      <c r="F2727" t="s">
        <v>30</v>
      </c>
      <c r="G2727" t="s">
        <v>22</v>
      </c>
      <c r="H2727" t="s">
        <v>31</v>
      </c>
      <c r="I2727" t="s">
        <v>112</v>
      </c>
      <c r="J2727" t="s">
        <v>176</v>
      </c>
      <c r="K2727">
        <v>3</v>
      </c>
      <c r="L2727" s="2">
        <v>615.08000000000004</v>
      </c>
      <c r="M2727" s="3">
        <v>0.1</v>
      </c>
      <c r="N2727" s="2">
        <v>1660.72</v>
      </c>
      <c r="O2727" s="2">
        <v>1088.52</v>
      </c>
      <c r="P2727" s="2">
        <v>572.20000000000005</v>
      </c>
      <c r="Q2727" t="s">
        <v>57</v>
      </c>
    </row>
    <row r="2728" spans="1:17" x14ac:dyDescent="0.2">
      <c r="A2728" t="s">
        <v>2893</v>
      </c>
      <c r="B2728" s="1">
        <v>45991</v>
      </c>
      <c r="C2728" t="s">
        <v>43</v>
      </c>
      <c r="D2728" t="s">
        <v>44</v>
      </c>
      <c r="E2728" t="s">
        <v>147</v>
      </c>
      <c r="F2728" t="s">
        <v>138</v>
      </c>
      <c r="G2728" t="s">
        <v>75</v>
      </c>
      <c r="H2728" t="s">
        <v>31</v>
      </c>
      <c r="I2728" t="s">
        <v>112</v>
      </c>
      <c r="J2728" t="s">
        <v>176</v>
      </c>
      <c r="K2728">
        <v>1</v>
      </c>
      <c r="L2728" s="2">
        <v>660.89</v>
      </c>
      <c r="M2728" s="3">
        <v>0</v>
      </c>
      <c r="N2728" s="2">
        <v>660.89</v>
      </c>
      <c r="O2728" s="2">
        <v>508.18</v>
      </c>
      <c r="P2728" s="2">
        <v>152.71</v>
      </c>
      <c r="Q2728" t="s">
        <v>61</v>
      </c>
    </row>
    <row r="2729" spans="1:17" x14ac:dyDescent="0.2">
      <c r="A2729" t="s">
        <v>2894</v>
      </c>
      <c r="B2729" s="1">
        <v>45991</v>
      </c>
      <c r="C2729" t="s">
        <v>43</v>
      </c>
      <c r="D2729" t="s">
        <v>208</v>
      </c>
      <c r="E2729" t="s">
        <v>209</v>
      </c>
      <c r="F2729" t="s">
        <v>21</v>
      </c>
      <c r="G2729" t="s">
        <v>54</v>
      </c>
      <c r="H2729" t="s">
        <v>31</v>
      </c>
      <c r="I2729" t="s">
        <v>40</v>
      </c>
      <c r="J2729" t="s">
        <v>41</v>
      </c>
      <c r="K2729">
        <v>9</v>
      </c>
      <c r="L2729" s="2">
        <v>233.18</v>
      </c>
      <c r="M2729" s="3">
        <v>0.1</v>
      </c>
      <c r="N2729" s="2">
        <v>1888.76</v>
      </c>
      <c r="O2729" s="2">
        <v>1439.31</v>
      </c>
      <c r="P2729" s="2">
        <v>449.45</v>
      </c>
      <c r="Q2729" t="s">
        <v>26</v>
      </c>
    </row>
    <row r="2730" spans="1:17" x14ac:dyDescent="0.2">
      <c r="A2730" t="s">
        <v>2895</v>
      </c>
      <c r="B2730" s="1">
        <v>45991</v>
      </c>
      <c r="C2730" t="s">
        <v>77</v>
      </c>
      <c r="D2730" t="s">
        <v>78</v>
      </c>
      <c r="E2730" t="s">
        <v>261</v>
      </c>
      <c r="F2730" t="s">
        <v>60</v>
      </c>
      <c r="G2730" t="s">
        <v>22</v>
      </c>
      <c r="H2730" t="s">
        <v>23</v>
      </c>
      <c r="I2730" t="s">
        <v>83</v>
      </c>
      <c r="J2730" t="s">
        <v>84</v>
      </c>
      <c r="K2730">
        <v>3</v>
      </c>
      <c r="L2730" s="2">
        <v>26.45</v>
      </c>
      <c r="M2730" s="3">
        <v>0.1</v>
      </c>
      <c r="N2730" s="2">
        <v>71.41</v>
      </c>
      <c r="O2730" s="2">
        <v>52.23</v>
      </c>
      <c r="P2730" s="2">
        <v>19.18</v>
      </c>
      <c r="Q2730" t="s">
        <v>61</v>
      </c>
    </row>
    <row r="2731" spans="1:17" x14ac:dyDescent="0.2">
      <c r="A2731" t="s">
        <v>2896</v>
      </c>
      <c r="B2731" s="1">
        <v>45991</v>
      </c>
      <c r="C2731" t="s">
        <v>77</v>
      </c>
      <c r="D2731" t="s">
        <v>106</v>
      </c>
      <c r="E2731" t="s">
        <v>107</v>
      </c>
      <c r="F2731" t="s">
        <v>138</v>
      </c>
      <c r="G2731" t="s">
        <v>22</v>
      </c>
      <c r="H2731" t="s">
        <v>47</v>
      </c>
      <c r="I2731" t="s">
        <v>89</v>
      </c>
      <c r="J2731" t="s">
        <v>90</v>
      </c>
      <c r="K2731">
        <v>10</v>
      </c>
      <c r="L2731" s="2">
        <v>447.57</v>
      </c>
      <c r="M2731" s="3">
        <v>0.1</v>
      </c>
      <c r="N2731" s="2">
        <v>4028.13</v>
      </c>
      <c r="O2731" s="2">
        <v>2345.36</v>
      </c>
      <c r="P2731" s="2">
        <v>1682.77</v>
      </c>
      <c r="Q2731" t="s">
        <v>34</v>
      </c>
    </row>
    <row r="2732" spans="1:17" x14ac:dyDescent="0.2">
      <c r="A2732" t="s">
        <v>2897</v>
      </c>
      <c r="B2732" s="1">
        <v>45991</v>
      </c>
      <c r="C2732" t="s">
        <v>43</v>
      </c>
      <c r="D2732" t="s">
        <v>208</v>
      </c>
      <c r="E2732" t="s">
        <v>209</v>
      </c>
      <c r="F2732" t="s">
        <v>21</v>
      </c>
      <c r="G2732" t="s">
        <v>75</v>
      </c>
      <c r="H2732" t="s">
        <v>31</v>
      </c>
      <c r="I2732" t="s">
        <v>64</v>
      </c>
      <c r="J2732" t="s">
        <v>252</v>
      </c>
      <c r="K2732">
        <v>2</v>
      </c>
      <c r="L2732" s="2">
        <v>120.96</v>
      </c>
      <c r="M2732" s="3">
        <v>0</v>
      </c>
      <c r="N2732" s="2">
        <v>241.92</v>
      </c>
      <c r="O2732" s="2">
        <v>138.35</v>
      </c>
      <c r="P2732" s="2">
        <v>103.57</v>
      </c>
      <c r="Q2732" t="s">
        <v>61</v>
      </c>
    </row>
    <row r="2733" spans="1:17" x14ac:dyDescent="0.2">
      <c r="A2733" t="s">
        <v>2898</v>
      </c>
      <c r="B2733" s="1">
        <v>45992</v>
      </c>
      <c r="C2733" t="s">
        <v>18</v>
      </c>
      <c r="D2733" t="s">
        <v>133</v>
      </c>
      <c r="E2733" t="s">
        <v>226</v>
      </c>
      <c r="F2733" t="s">
        <v>39</v>
      </c>
      <c r="G2733" t="s">
        <v>22</v>
      </c>
      <c r="H2733" t="s">
        <v>47</v>
      </c>
      <c r="I2733" t="s">
        <v>97</v>
      </c>
      <c r="J2733" t="s">
        <v>168</v>
      </c>
      <c r="K2733">
        <v>7</v>
      </c>
      <c r="L2733" s="2">
        <v>545.05999999999995</v>
      </c>
      <c r="M2733" s="3">
        <v>0.1</v>
      </c>
      <c r="N2733" s="2">
        <v>3433.88</v>
      </c>
      <c r="O2733" s="2">
        <v>2539.0100000000002</v>
      </c>
      <c r="P2733" s="2">
        <v>894.87</v>
      </c>
      <c r="Q2733" t="s">
        <v>34</v>
      </c>
    </row>
    <row r="2734" spans="1:17" x14ac:dyDescent="0.2">
      <c r="A2734" t="s">
        <v>2899</v>
      </c>
      <c r="B2734" s="1">
        <v>45992</v>
      </c>
      <c r="C2734" t="s">
        <v>77</v>
      </c>
      <c r="D2734" t="s">
        <v>149</v>
      </c>
      <c r="E2734" t="s">
        <v>150</v>
      </c>
      <c r="F2734" t="s">
        <v>21</v>
      </c>
      <c r="G2734" t="s">
        <v>75</v>
      </c>
      <c r="H2734" t="s">
        <v>31</v>
      </c>
      <c r="I2734" t="s">
        <v>40</v>
      </c>
      <c r="J2734" t="s">
        <v>216</v>
      </c>
      <c r="K2734">
        <v>1</v>
      </c>
      <c r="L2734" s="2">
        <v>179.85</v>
      </c>
      <c r="M2734" s="3">
        <v>0</v>
      </c>
      <c r="N2734" s="2">
        <v>179.85</v>
      </c>
      <c r="O2734" s="2">
        <v>125.48</v>
      </c>
      <c r="P2734" s="2">
        <v>54.37</v>
      </c>
      <c r="Q2734" t="s">
        <v>26</v>
      </c>
    </row>
    <row r="2735" spans="1:17" x14ac:dyDescent="0.2">
      <c r="A2735" t="s">
        <v>2900</v>
      </c>
      <c r="B2735" s="1">
        <v>45992</v>
      </c>
      <c r="C2735" t="s">
        <v>18</v>
      </c>
      <c r="D2735" t="s">
        <v>86</v>
      </c>
      <c r="E2735" t="s">
        <v>140</v>
      </c>
      <c r="F2735" t="s">
        <v>69</v>
      </c>
      <c r="G2735" t="s">
        <v>75</v>
      </c>
      <c r="H2735" t="s">
        <v>31</v>
      </c>
      <c r="I2735" t="s">
        <v>32</v>
      </c>
      <c r="J2735" t="s">
        <v>258</v>
      </c>
      <c r="K2735">
        <v>8</v>
      </c>
      <c r="L2735" s="2">
        <v>1514.41</v>
      </c>
      <c r="M2735" s="3">
        <v>0.15</v>
      </c>
      <c r="N2735" s="2">
        <v>10297.99</v>
      </c>
      <c r="O2735" s="2">
        <v>7553.03</v>
      </c>
      <c r="P2735" s="2">
        <v>2744.96</v>
      </c>
      <c r="Q2735" t="s">
        <v>26</v>
      </c>
    </row>
    <row r="2736" spans="1:17" x14ac:dyDescent="0.2">
      <c r="A2736" t="s">
        <v>2901</v>
      </c>
      <c r="B2736" s="1">
        <v>45992</v>
      </c>
      <c r="C2736" t="s">
        <v>18</v>
      </c>
      <c r="D2736" t="s">
        <v>28</v>
      </c>
      <c r="E2736" t="s">
        <v>29</v>
      </c>
      <c r="F2736" t="s">
        <v>130</v>
      </c>
      <c r="G2736" t="s">
        <v>54</v>
      </c>
      <c r="H2736" t="s">
        <v>23</v>
      </c>
      <c r="I2736" t="s">
        <v>83</v>
      </c>
      <c r="J2736" t="s">
        <v>131</v>
      </c>
      <c r="K2736">
        <v>1</v>
      </c>
      <c r="L2736" s="2">
        <v>26.03</v>
      </c>
      <c r="M2736" s="3">
        <v>0.05</v>
      </c>
      <c r="N2736" s="2">
        <v>24.73</v>
      </c>
      <c r="O2736" s="2">
        <v>13.73</v>
      </c>
      <c r="P2736" s="2">
        <v>11</v>
      </c>
      <c r="Q2736" t="s">
        <v>34</v>
      </c>
    </row>
    <row r="2737" spans="1:17" x14ac:dyDescent="0.2">
      <c r="A2737" t="s">
        <v>2902</v>
      </c>
      <c r="B2737" s="1">
        <v>45992</v>
      </c>
      <c r="C2737" t="s">
        <v>18</v>
      </c>
      <c r="D2737" t="s">
        <v>28</v>
      </c>
      <c r="E2737" t="s">
        <v>29</v>
      </c>
      <c r="F2737" t="s">
        <v>30</v>
      </c>
      <c r="G2737" t="s">
        <v>75</v>
      </c>
      <c r="H2737" t="s">
        <v>31</v>
      </c>
      <c r="I2737" t="s">
        <v>112</v>
      </c>
      <c r="J2737" t="s">
        <v>113</v>
      </c>
      <c r="K2737">
        <v>5</v>
      </c>
      <c r="L2737" s="2">
        <v>684.09</v>
      </c>
      <c r="M2737" s="3">
        <v>0</v>
      </c>
      <c r="N2737" s="2">
        <v>3420.45</v>
      </c>
      <c r="O2737" s="2">
        <v>2721.66</v>
      </c>
      <c r="P2737" s="2">
        <v>698.79</v>
      </c>
      <c r="Q2737" t="s">
        <v>34</v>
      </c>
    </row>
    <row r="2738" spans="1:17" x14ac:dyDescent="0.2">
      <c r="A2738" t="s">
        <v>2903</v>
      </c>
      <c r="B2738" s="1">
        <v>45993</v>
      </c>
      <c r="C2738" t="s">
        <v>36</v>
      </c>
      <c r="D2738" t="s">
        <v>110</v>
      </c>
      <c r="E2738" t="s">
        <v>111</v>
      </c>
      <c r="F2738" t="s">
        <v>138</v>
      </c>
      <c r="G2738" t="s">
        <v>54</v>
      </c>
      <c r="H2738" t="s">
        <v>47</v>
      </c>
      <c r="I2738" t="s">
        <v>97</v>
      </c>
      <c r="J2738" t="s">
        <v>98</v>
      </c>
      <c r="K2738">
        <v>5</v>
      </c>
      <c r="L2738" s="2">
        <v>574.91999999999996</v>
      </c>
      <c r="M2738" s="3">
        <v>0.05</v>
      </c>
      <c r="N2738" s="2">
        <v>2730.87</v>
      </c>
      <c r="O2738" s="2">
        <v>1891.48</v>
      </c>
      <c r="P2738" s="2">
        <v>839.39</v>
      </c>
      <c r="Q2738" t="s">
        <v>34</v>
      </c>
    </row>
    <row r="2739" spans="1:17" x14ac:dyDescent="0.2">
      <c r="A2739" t="s">
        <v>2904</v>
      </c>
      <c r="B2739" s="1">
        <v>45993</v>
      </c>
      <c r="C2739" t="s">
        <v>18</v>
      </c>
      <c r="D2739" t="s">
        <v>86</v>
      </c>
      <c r="E2739" t="s">
        <v>92</v>
      </c>
      <c r="F2739" t="s">
        <v>71</v>
      </c>
      <c r="G2739" t="s">
        <v>22</v>
      </c>
      <c r="H2739" t="s">
        <v>47</v>
      </c>
      <c r="I2739" t="s">
        <v>141</v>
      </c>
      <c r="J2739" t="s">
        <v>142</v>
      </c>
      <c r="K2739">
        <v>2</v>
      </c>
      <c r="L2739" s="2">
        <v>314.04000000000002</v>
      </c>
      <c r="M2739" s="3">
        <v>0.15</v>
      </c>
      <c r="N2739" s="2">
        <v>533.87</v>
      </c>
      <c r="O2739" s="2">
        <v>372.67</v>
      </c>
      <c r="P2739" s="2">
        <v>161.19999999999999</v>
      </c>
      <c r="Q2739" t="s">
        <v>34</v>
      </c>
    </row>
    <row r="2740" spans="1:17" x14ac:dyDescent="0.2">
      <c r="A2740" t="s">
        <v>2905</v>
      </c>
      <c r="B2740" s="1">
        <v>45993</v>
      </c>
      <c r="C2740" t="s">
        <v>18</v>
      </c>
      <c r="D2740" t="s">
        <v>28</v>
      </c>
      <c r="E2740" t="s">
        <v>170</v>
      </c>
      <c r="F2740" t="s">
        <v>30</v>
      </c>
      <c r="G2740" t="s">
        <v>54</v>
      </c>
      <c r="H2740" t="s">
        <v>23</v>
      </c>
      <c r="I2740" t="s">
        <v>55</v>
      </c>
      <c r="J2740" t="s">
        <v>102</v>
      </c>
      <c r="K2740">
        <v>3</v>
      </c>
      <c r="L2740" s="2">
        <v>19.37</v>
      </c>
      <c r="M2740" s="3">
        <v>0.05</v>
      </c>
      <c r="N2740" s="2">
        <v>55.2</v>
      </c>
      <c r="O2740" s="2">
        <v>31.89</v>
      </c>
      <c r="P2740" s="2">
        <v>23.31</v>
      </c>
      <c r="Q2740" t="s">
        <v>57</v>
      </c>
    </row>
    <row r="2741" spans="1:17" x14ac:dyDescent="0.2">
      <c r="A2741" t="s">
        <v>2906</v>
      </c>
      <c r="B2741" s="1">
        <v>45993</v>
      </c>
      <c r="C2741" t="s">
        <v>77</v>
      </c>
      <c r="D2741" t="s">
        <v>78</v>
      </c>
      <c r="E2741" t="s">
        <v>295</v>
      </c>
      <c r="F2741" t="s">
        <v>46</v>
      </c>
      <c r="G2741" t="s">
        <v>54</v>
      </c>
      <c r="H2741" t="s">
        <v>31</v>
      </c>
      <c r="I2741" t="s">
        <v>32</v>
      </c>
      <c r="J2741" t="s">
        <v>104</v>
      </c>
      <c r="K2741">
        <v>2</v>
      </c>
      <c r="L2741" s="2">
        <v>755.5</v>
      </c>
      <c r="M2741" s="3">
        <v>0.1</v>
      </c>
      <c r="N2741" s="2">
        <v>1359.9</v>
      </c>
      <c r="O2741" s="2">
        <v>1009.49</v>
      </c>
      <c r="P2741" s="2">
        <v>350.41</v>
      </c>
      <c r="Q2741" t="s">
        <v>61</v>
      </c>
    </row>
    <row r="2742" spans="1:17" x14ac:dyDescent="0.2">
      <c r="A2742" t="s">
        <v>2907</v>
      </c>
      <c r="B2742" s="1">
        <v>45994</v>
      </c>
      <c r="C2742" t="s">
        <v>36</v>
      </c>
      <c r="D2742" t="s">
        <v>144</v>
      </c>
      <c r="E2742" t="s">
        <v>145</v>
      </c>
      <c r="F2742" t="s">
        <v>60</v>
      </c>
      <c r="G2742" t="s">
        <v>75</v>
      </c>
      <c r="H2742" t="s">
        <v>23</v>
      </c>
      <c r="I2742" t="s">
        <v>79</v>
      </c>
      <c r="J2742" t="s">
        <v>233</v>
      </c>
      <c r="K2742">
        <v>6</v>
      </c>
      <c r="L2742" s="2">
        <v>380.87</v>
      </c>
      <c r="M2742" s="3">
        <v>0.1</v>
      </c>
      <c r="N2742" s="2">
        <v>2056.6999999999998</v>
      </c>
      <c r="O2742" s="2">
        <v>1232.99</v>
      </c>
      <c r="P2742" s="2">
        <v>823.71</v>
      </c>
      <c r="Q2742" t="s">
        <v>57</v>
      </c>
    </row>
    <row r="2743" spans="1:17" x14ac:dyDescent="0.2">
      <c r="A2743" t="s">
        <v>2908</v>
      </c>
      <c r="B2743" s="1">
        <v>45994</v>
      </c>
      <c r="C2743" t="s">
        <v>18</v>
      </c>
      <c r="D2743" t="s">
        <v>133</v>
      </c>
      <c r="E2743" t="s">
        <v>226</v>
      </c>
      <c r="F2743" t="s">
        <v>60</v>
      </c>
      <c r="G2743" t="s">
        <v>54</v>
      </c>
      <c r="H2743" t="s">
        <v>31</v>
      </c>
      <c r="I2743" t="s">
        <v>32</v>
      </c>
      <c r="J2743" t="s">
        <v>104</v>
      </c>
      <c r="K2743">
        <v>4</v>
      </c>
      <c r="L2743" s="2">
        <v>1052.05</v>
      </c>
      <c r="M2743" s="3">
        <v>0</v>
      </c>
      <c r="N2743" s="2">
        <v>4208.2</v>
      </c>
      <c r="O2743" s="2">
        <v>2770</v>
      </c>
      <c r="P2743" s="2">
        <v>1438.2</v>
      </c>
      <c r="Q2743" t="s">
        <v>34</v>
      </c>
    </row>
    <row r="2744" spans="1:17" x14ac:dyDescent="0.2">
      <c r="A2744" t="s">
        <v>2909</v>
      </c>
      <c r="B2744" s="1">
        <v>45994</v>
      </c>
      <c r="C2744" t="s">
        <v>77</v>
      </c>
      <c r="D2744" t="s">
        <v>128</v>
      </c>
      <c r="E2744" t="s">
        <v>159</v>
      </c>
      <c r="F2744" t="s">
        <v>60</v>
      </c>
      <c r="G2744" t="s">
        <v>75</v>
      </c>
      <c r="H2744" t="s">
        <v>31</v>
      </c>
      <c r="I2744" t="s">
        <v>112</v>
      </c>
      <c r="J2744" t="s">
        <v>176</v>
      </c>
      <c r="K2744">
        <v>2</v>
      </c>
      <c r="L2744" s="2">
        <v>387.87</v>
      </c>
      <c r="M2744" s="3">
        <v>0.1</v>
      </c>
      <c r="N2744" s="2">
        <v>698.17</v>
      </c>
      <c r="O2744" s="2">
        <v>557.16</v>
      </c>
      <c r="P2744" s="2">
        <v>141.01</v>
      </c>
      <c r="Q2744" t="s">
        <v>61</v>
      </c>
    </row>
    <row r="2745" spans="1:17" x14ac:dyDescent="0.2">
      <c r="A2745" t="s">
        <v>2910</v>
      </c>
      <c r="B2745" s="1">
        <v>45994</v>
      </c>
      <c r="C2745" t="s">
        <v>43</v>
      </c>
      <c r="D2745" t="s">
        <v>208</v>
      </c>
      <c r="E2745" t="s">
        <v>287</v>
      </c>
      <c r="F2745" t="s">
        <v>53</v>
      </c>
      <c r="G2745" t="s">
        <v>75</v>
      </c>
      <c r="H2745" t="s">
        <v>31</v>
      </c>
      <c r="I2745" t="s">
        <v>112</v>
      </c>
      <c r="J2745" t="s">
        <v>136</v>
      </c>
      <c r="K2745">
        <v>3</v>
      </c>
      <c r="L2745" s="2">
        <v>493.78</v>
      </c>
      <c r="M2745" s="3">
        <v>0.1</v>
      </c>
      <c r="N2745" s="2">
        <v>1333.21</v>
      </c>
      <c r="O2745" s="2">
        <v>899.55</v>
      </c>
      <c r="P2745" s="2">
        <v>433.66</v>
      </c>
      <c r="Q2745" t="s">
        <v>26</v>
      </c>
    </row>
    <row r="2746" spans="1:17" x14ac:dyDescent="0.2">
      <c r="A2746" t="s">
        <v>2911</v>
      </c>
      <c r="B2746" s="1">
        <v>45994</v>
      </c>
      <c r="C2746" t="s">
        <v>18</v>
      </c>
      <c r="D2746" t="s">
        <v>19</v>
      </c>
      <c r="E2746" t="s">
        <v>20</v>
      </c>
      <c r="F2746" t="s">
        <v>21</v>
      </c>
      <c r="G2746" t="s">
        <v>22</v>
      </c>
      <c r="H2746" t="s">
        <v>47</v>
      </c>
      <c r="I2746" t="s">
        <v>89</v>
      </c>
      <c r="J2746" t="s">
        <v>204</v>
      </c>
      <c r="K2746">
        <v>9</v>
      </c>
      <c r="L2746" s="2">
        <v>186.55</v>
      </c>
      <c r="M2746" s="3">
        <v>0</v>
      </c>
      <c r="N2746" s="2">
        <v>1678.95</v>
      </c>
      <c r="O2746" s="2">
        <v>1254.19</v>
      </c>
      <c r="P2746" s="2">
        <v>424.76</v>
      </c>
      <c r="Q2746" t="s">
        <v>61</v>
      </c>
    </row>
    <row r="2747" spans="1:17" x14ac:dyDescent="0.2">
      <c r="A2747" t="s">
        <v>2912</v>
      </c>
      <c r="B2747" s="1">
        <v>45994</v>
      </c>
      <c r="C2747" t="s">
        <v>18</v>
      </c>
      <c r="D2747" t="s">
        <v>152</v>
      </c>
      <c r="E2747" t="s">
        <v>166</v>
      </c>
      <c r="F2747" t="s">
        <v>46</v>
      </c>
      <c r="G2747" t="s">
        <v>22</v>
      </c>
      <c r="H2747" t="s">
        <v>23</v>
      </c>
      <c r="I2747" t="s">
        <v>79</v>
      </c>
      <c r="J2747" t="s">
        <v>179</v>
      </c>
      <c r="K2747">
        <v>7</v>
      </c>
      <c r="L2747" s="2">
        <v>492.1</v>
      </c>
      <c r="M2747" s="3">
        <v>0.05</v>
      </c>
      <c r="N2747" s="2">
        <v>3272.46</v>
      </c>
      <c r="O2747" s="2">
        <v>1982.89</v>
      </c>
      <c r="P2747" s="2">
        <v>1289.57</v>
      </c>
      <c r="Q2747" t="s">
        <v>34</v>
      </c>
    </row>
    <row r="2748" spans="1:17" x14ac:dyDescent="0.2">
      <c r="A2748" t="s">
        <v>2913</v>
      </c>
      <c r="B2748" s="1">
        <v>45994</v>
      </c>
      <c r="C2748" t="s">
        <v>77</v>
      </c>
      <c r="D2748" t="s">
        <v>149</v>
      </c>
      <c r="E2748" t="s">
        <v>206</v>
      </c>
      <c r="F2748" t="s">
        <v>30</v>
      </c>
      <c r="G2748" t="s">
        <v>54</v>
      </c>
      <c r="H2748" t="s">
        <v>47</v>
      </c>
      <c r="I2748" t="s">
        <v>89</v>
      </c>
      <c r="J2748" t="s">
        <v>240</v>
      </c>
      <c r="K2748">
        <v>10</v>
      </c>
      <c r="L2748" s="2">
        <v>213.89</v>
      </c>
      <c r="M2748" s="3">
        <v>0.05</v>
      </c>
      <c r="N2748" s="2">
        <v>2031.95</v>
      </c>
      <c r="O2748" s="2">
        <v>1321.92</v>
      </c>
      <c r="P2748" s="2">
        <v>710.03</v>
      </c>
      <c r="Q2748" t="s">
        <v>57</v>
      </c>
    </row>
    <row r="2749" spans="1:17" x14ac:dyDescent="0.2">
      <c r="A2749" t="s">
        <v>2914</v>
      </c>
      <c r="B2749" s="1">
        <v>45994</v>
      </c>
      <c r="C2749" t="s">
        <v>18</v>
      </c>
      <c r="D2749" t="s">
        <v>28</v>
      </c>
      <c r="E2749" t="s">
        <v>157</v>
      </c>
      <c r="F2749" t="s">
        <v>53</v>
      </c>
      <c r="G2749" t="s">
        <v>22</v>
      </c>
      <c r="H2749" t="s">
        <v>47</v>
      </c>
      <c r="I2749" t="s">
        <v>89</v>
      </c>
      <c r="J2749" t="s">
        <v>204</v>
      </c>
      <c r="K2749">
        <v>8</v>
      </c>
      <c r="L2749" s="2">
        <v>161.84</v>
      </c>
      <c r="M2749" s="3">
        <v>0.1</v>
      </c>
      <c r="N2749" s="2">
        <v>1165.25</v>
      </c>
      <c r="O2749" s="2">
        <v>794.94</v>
      </c>
      <c r="P2749" s="2">
        <v>370.31</v>
      </c>
      <c r="Q2749" t="s">
        <v>61</v>
      </c>
    </row>
    <row r="2750" spans="1:17" x14ac:dyDescent="0.2">
      <c r="A2750" t="s">
        <v>2915</v>
      </c>
      <c r="B2750" s="1">
        <v>45994</v>
      </c>
      <c r="C2750" t="s">
        <v>43</v>
      </c>
      <c r="D2750" t="s">
        <v>208</v>
      </c>
      <c r="E2750" t="s">
        <v>230</v>
      </c>
      <c r="F2750" t="s">
        <v>46</v>
      </c>
      <c r="G2750" t="s">
        <v>75</v>
      </c>
      <c r="H2750" t="s">
        <v>31</v>
      </c>
      <c r="I2750" t="s">
        <v>40</v>
      </c>
      <c r="J2750" t="s">
        <v>41</v>
      </c>
      <c r="K2750">
        <v>10</v>
      </c>
      <c r="L2750" s="2">
        <v>169.28</v>
      </c>
      <c r="M2750" s="3">
        <v>0.15</v>
      </c>
      <c r="N2750" s="2">
        <v>1438.88</v>
      </c>
      <c r="O2750" s="2">
        <v>1172.1199999999999</v>
      </c>
      <c r="P2750" s="2">
        <v>266.76</v>
      </c>
      <c r="Q2750" t="s">
        <v>57</v>
      </c>
    </row>
    <row r="2751" spans="1:17" x14ac:dyDescent="0.2">
      <c r="A2751" t="s">
        <v>2916</v>
      </c>
      <c r="B2751" s="1">
        <v>45995</v>
      </c>
      <c r="C2751" t="s">
        <v>43</v>
      </c>
      <c r="D2751" t="s">
        <v>244</v>
      </c>
      <c r="E2751" t="s">
        <v>245</v>
      </c>
      <c r="F2751" t="s">
        <v>130</v>
      </c>
      <c r="G2751" t="s">
        <v>22</v>
      </c>
      <c r="H2751" t="s">
        <v>23</v>
      </c>
      <c r="I2751" t="s">
        <v>55</v>
      </c>
      <c r="J2751" t="s">
        <v>173</v>
      </c>
      <c r="K2751">
        <v>1</v>
      </c>
      <c r="L2751" s="2">
        <v>17.2</v>
      </c>
      <c r="M2751" s="3">
        <v>0.1</v>
      </c>
      <c r="N2751" s="2">
        <v>15.48</v>
      </c>
      <c r="O2751" s="2">
        <v>10.08</v>
      </c>
      <c r="P2751" s="2">
        <v>5.4</v>
      </c>
      <c r="Q2751" t="s">
        <v>61</v>
      </c>
    </row>
    <row r="2752" spans="1:17" x14ac:dyDescent="0.2">
      <c r="A2752" t="s">
        <v>2917</v>
      </c>
      <c r="B2752" s="1">
        <v>45995</v>
      </c>
      <c r="C2752" t="s">
        <v>77</v>
      </c>
      <c r="D2752" t="s">
        <v>128</v>
      </c>
      <c r="E2752" t="s">
        <v>159</v>
      </c>
      <c r="F2752" t="s">
        <v>71</v>
      </c>
      <c r="G2752" t="s">
        <v>22</v>
      </c>
      <c r="H2752" t="s">
        <v>47</v>
      </c>
      <c r="I2752" t="s">
        <v>141</v>
      </c>
      <c r="J2752" t="s">
        <v>372</v>
      </c>
      <c r="K2752">
        <v>4</v>
      </c>
      <c r="L2752" s="2">
        <v>359.7</v>
      </c>
      <c r="M2752" s="3">
        <v>0.1</v>
      </c>
      <c r="N2752" s="2">
        <v>1294.92</v>
      </c>
      <c r="O2752" s="2">
        <v>892.17</v>
      </c>
      <c r="P2752" s="2">
        <v>402.75</v>
      </c>
      <c r="Q2752" t="s">
        <v>57</v>
      </c>
    </row>
    <row r="2753" spans="1:17" x14ac:dyDescent="0.2">
      <c r="A2753" t="s">
        <v>2918</v>
      </c>
      <c r="B2753" s="1">
        <v>45995</v>
      </c>
      <c r="C2753" t="s">
        <v>43</v>
      </c>
      <c r="D2753" t="s">
        <v>244</v>
      </c>
      <c r="E2753" t="s">
        <v>245</v>
      </c>
      <c r="F2753" t="s">
        <v>46</v>
      </c>
      <c r="G2753" t="s">
        <v>22</v>
      </c>
      <c r="H2753" t="s">
        <v>47</v>
      </c>
      <c r="I2753" t="s">
        <v>141</v>
      </c>
      <c r="J2753" t="s">
        <v>142</v>
      </c>
      <c r="K2753">
        <v>10</v>
      </c>
      <c r="L2753" s="2">
        <v>635.39</v>
      </c>
      <c r="M2753" s="3">
        <v>0.15</v>
      </c>
      <c r="N2753" s="2">
        <v>5400.82</v>
      </c>
      <c r="O2753" s="2">
        <v>3460.54</v>
      </c>
      <c r="P2753" s="2">
        <v>1940.28</v>
      </c>
      <c r="Q2753" t="s">
        <v>26</v>
      </c>
    </row>
    <row r="2754" spans="1:17" x14ac:dyDescent="0.2">
      <c r="A2754" t="s">
        <v>2919</v>
      </c>
      <c r="B2754" s="1">
        <v>45995</v>
      </c>
      <c r="C2754" t="s">
        <v>43</v>
      </c>
      <c r="D2754" t="s">
        <v>208</v>
      </c>
      <c r="E2754" t="s">
        <v>230</v>
      </c>
      <c r="F2754" t="s">
        <v>30</v>
      </c>
      <c r="G2754" t="s">
        <v>75</v>
      </c>
      <c r="H2754" t="s">
        <v>31</v>
      </c>
      <c r="I2754" t="s">
        <v>32</v>
      </c>
      <c r="J2754" t="s">
        <v>104</v>
      </c>
      <c r="K2754">
        <v>9</v>
      </c>
      <c r="L2754" s="2">
        <v>878.49</v>
      </c>
      <c r="M2754" s="3">
        <v>0.15</v>
      </c>
      <c r="N2754" s="2">
        <v>6720.45</v>
      </c>
      <c r="O2754" s="2">
        <v>4608.66</v>
      </c>
      <c r="P2754" s="2">
        <v>2111.79</v>
      </c>
      <c r="Q2754" t="s">
        <v>57</v>
      </c>
    </row>
    <row r="2755" spans="1:17" x14ac:dyDescent="0.2">
      <c r="A2755" t="s">
        <v>2920</v>
      </c>
      <c r="B2755" s="1">
        <v>45995</v>
      </c>
      <c r="C2755" t="s">
        <v>36</v>
      </c>
      <c r="D2755" t="s">
        <v>144</v>
      </c>
      <c r="E2755" t="s">
        <v>214</v>
      </c>
      <c r="F2755" t="s">
        <v>46</v>
      </c>
      <c r="G2755" t="s">
        <v>22</v>
      </c>
      <c r="H2755" t="s">
        <v>31</v>
      </c>
      <c r="I2755" t="s">
        <v>64</v>
      </c>
      <c r="J2755" t="s">
        <v>126</v>
      </c>
      <c r="K2755">
        <v>6</v>
      </c>
      <c r="L2755" s="2">
        <v>94.6</v>
      </c>
      <c r="M2755" s="3">
        <v>0.2</v>
      </c>
      <c r="N2755" s="2">
        <v>454.08</v>
      </c>
      <c r="O2755" s="2">
        <v>306.36</v>
      </c>
      <c r="P2755" s="2">
        <v>147.72</v>
      </c>
      <c r="Q2755" t="s">
        <v>26</v>
      </c>
    </row>
    <row r="2756" spans="1:17" x14ac:dyDescent="0.2">
      <c r="A2756" t="s">
        <v>2921</v>
      </c>
      <c r="B2756" s="1">
        <v>45995</v>
      </c>
      <c r="C2756" t="s">
        <v>18</v>
      </c>
      <c r="D2756" t="s">
        <v>152</v>
      </c>
      <c r="E2756" t="s">
        <v>153</v>
      </c>
      <c r="F2756" t="s">
        <v>71</v>
      </c>
      <c r="G2756" t="s">
        <v>54</v>
      </c>
      <c r="H2756" t="s">
        <v>31</v>
      </c>
      <c r="I2756" t="s">
        <v>64</v>
      </c>
      <c r="J2756" t="s">
        <v>65</v>
      </c>
      <c r="K2756">
        <v>10</v>
      </c>
      <c r="L2756" s="2">
        <v>51.32</v>
      </c>
      <c r="M2756" s="3">
        <v>0</v>
      </c>
      <c r="N2756" s="2">
        <v>513.20000000000005</v>
      </c>
      <c r="O2756" s="2">
        <v>330.97</v>
      </c>
      <c r="P2756" s="2">
        <v>182.23</v>
      </c>
      <c r="Q2756" t="s">
        <v>26</v>
      </c>
    </row>
    <row r="2757" spans="1:17" x14ac:dyDescent="0.2">
      <c r="A2757" t="s">
        <v>2922</v>
      </c>
      <c r="B2757" s="1">
        <v>45995</v>
      </c>
      <c r="C2757" t="s">
        <v>77</v>
      </c>
      <c r="D2757" t="s">
        <v>149</v>
      </c>
      <c r="E2757" t="s">
        <v>309</v>
      </c>
      <c r="F2757" t="s">
        <v>21</v>
      </c>
      <c r="G2757" t="s">
        <v>22</v>
      </c>
      <c r="H2757" t="s">
        <v>23</v>
      </c>
      <c r="I2757" t="s">
        <v>79</v>
      </c>
      <c r="J2757" t="s">
        <v>80</v>
      </c>
      <c r="K2757">
        <v>2</v>
      </c>
      <c r="L2757" s="2">
        <v>329.09</v>
      </c>
      <c r="M2757" s="3">
        <v>0.1</v>
      </c>
      <c r="N2757" s="2">
        <v>592.36</v>
      </c>
      <c r="O2757" s="2">
        <v>352.24</v>
      </c>
      <c r="P2757" s="2">
        <v>240.12</v>
      </c>
      <c r="Q2757" t="s">
        <v>57</v>
      </c>
    </row>
    <row r="2758" spans="1:17" x14ac:dyDescent="0.2">
      <c r="A2758" t="s">
        <v>2923</v>
      </c>
      <c r="B2758" s="1">
        <v>45996</v>
      </c>
      <c r="C2758" t="s">
        <v>36</v>
      </c>
      <c r="D2758" t="s">
        <v>37</v>
      </c>
      <c r="E2758" t="s">
        <v>187</v>
      </c>
      <c r="F2758" t="s">
        <v>30</v>
      </c>
      <c r="G2758" t="s">
        <v>54</v>
      </c>
      <c r="H2758" t="s">
        <v>23</v>
      </c>
      <c r="I2758" t="s">
        <v>83</v>
      </c>
      <c r="J2758" t="s">
        <v>84</v>
      </c>
      <c r="K2758">
        <v>3</v>
      </c>
      <c r="L2758" s="2">
        <v>11.13</v>
      </c>
      <c r="M2758" s="3">
        <v>0.1</v>
      </c>
      <c r="N2758" s="2">
        <v>30.05</v>
      </c>
      <c r="O2758" s="2">
        <v>24.08</v>
      </c>
      <c r="P2758" s="2">
        <v>5.97</v>
      </c>
      <c r="Q2758" t="s">
        <v>34</v>
      </c>
    </row>
    <row r="2759" spans="1:17" x14ac:dyDescent="0.2">
      <c r="A2759" t="s">
        <v>2924</v>
      </c>
      <c r="B2759" s="1">
        <v>45996</v>
      </c>
      <c r="C2759" t="s">
        <v>43</v>
      </c>
      <c r="D2759" t="s">
        <v>161</v>
      </c>
      <c r="E2759" t="s">
        <v>172</v>
      </c>
      <c r="F2759" t="s">
        <v>30</v>
      </c>
      <c r="G2759" t="s">
        <v>75</v>
      </c>
      <c r="H2759" t="s">
        <v>31</v>
      </c>
      <c r="I2759" t="s">
        <v>112</v>
      </c>
      <c r="J2759" t="s">
        <v>176</v>
      </c>
      <c r="K2759">
        <v>8</v>
      </c>
      <c r="L2759" s="2">
        <v>432.37</v>
      </c>
      <c r="M2759" s="3">
        <v>0.05</v>
      </c>
      <c r="N2759" s="2">
        <v>3286.01</v>
      </c>
      <c r="O2759" s="2">
        <v>2123.87</v>
      </c>
      <c r="P2759" s="2">
        <v>1162.1400000000001</v>
      </c>
      <c r="Q2759" t="s">
        <v>26</v>
      </c>
    </row>
    <row r="2760" spans="1:17" x14ac:dyDescent="0.2">
      <c r="A2760" t="s">
        <v>2925</v>
      </c>
      <c r="B2760" s="1">
        <v>45996</v>
      </c>
      <c r="C2760" t="s">
        <v>18</v>
      </c>
      <c r="D2760" t="s">
        <v>19</v>
      </c>
      <c r="E2760" t="s">
        <v>100</v>
      </c>
      <c r="F2760" t="s">
        <v>71</v>
      </c>
      <c r="G2760" t="s">
        <v>22</v>
      </c>
      <c r="H2760" t="s">
        <v>47</v>
      </c>
      <c r="I2760" t="s">
        <v>48</v>
      </c>
      <c r="J2760" t="s">
        <v>49</v>
      </c>
      <c r="K2760">
        <v>10</v>
      </c>
      <c r="L2760" s="2">
        <v>424.9</v>
      </c>
      <c r="M2760" s="3">
        <v>0</v>
      </c>
      <c r="N2760" s="2">
        <v>4249</v>
      </c>
      <c r="O2760" s="2">
        <v>3156</v>
      </c>
      <c r="P2760" s="2">
        <v>1093</v>
      </c>
      <c r="Q2760" t="s">
        <v>57</v>
      </c>
    </row>
    <row r="2761" spans="1:17" x14ac:dyDescent="0.2">
      <c r="A2761" t="s">
        <v>2926</v>
      </c>
      <c r="B2761" s="1">
        <v>45996</v>
      </c>
      <c r="C2761" t="s">
        <v>77</v>
      </c>
      <c r="D2761" t="s">
        <v>149</v>
      </c>
      <c r="E2761" t="s">
        <v>206</v>
      </c>
      <c r="F2761" t="s">
        <v>46</v>
      </c>
      <c r="G2761" t="s">
        <v>54</v>
      </c>
      <c r="H2761" t="s">
        <v>23</v>
      </c>
      <c r="I2761" t="s">
        <v>55</v>
      </c>
      <c r="J2761" t="s">
        <v>56</v>
      </c>
      <c r="K2761">
        <v>4</v>
      </c>
      <c r="L2761" s="2">
        <v>18.89</v>
      </c>
      <c r="M2761" s="3">
        <v>0.15</v>
      </c>
      <c r="N2761" s="2">
        <v>64.23</v>
      </c>
      <c r="O2761" s="2">
        <v>44.99</v>
      </c>
      <c r="P2761" s="2">
        <v>19.239999999999998</v>
      </c>
      <c r="Q2761" t="s">
        <v>57</v>
      </c>
    </row>
    <row r="2762" spans="1:17" x14ac:dyDescent="0.2">
      <c r="A2762" t="s">
        <v>2927</v>
      </c>
      <c r="B2762" s="1">
        <v>45996</v>
      </c>
      <c r="C2762" t="s">
        <v>77</v>
      </c>
      <c r="D2762" t="s">
        <v>78</v>
      </c>
      <c r="E2762" t="s">
        <v>52</v>
      </c>
      <c r="F2762" t="s">
        <v>60</v>
      </c>
      <c r="G2762" t="s">
        <v>54</v>
      </c>
      <c r="H2762" t="s">
        <v>31</v>
      </c>
      <c r="I2762" t="s">
        <v>32</v>
      </c>
      <c r="J2762" t="s">
        <v>104</v>
      </c>
      <c r="K2762">
        <v>5</v>
      </c>
      <c r="L2762" s="2">
        <v>777.71</v>
      </c>
      <c r="M2762" s="3">
        <v>0.05</v>
      </c>
      <c r="N2762" s="2">
        <v>3694.12</v>
      </c>
      <c r="O2762" s="2">
        <v>2217.71</v>
      </c>
      <c r="P2762" s="2">
        <v>1476.41</v>
      </c>
      <c r="Q2762" t="s">
        <v>57</v>
      </c>
    </row>
    <row r="2763" spans="1:17" x14ac:dyDescent="0.2">
      <c r="A2763" t="s">
        <v>2928</v>
      </c>
      <c r="B2763" s="1">
        <v>45996</v>
      </c>
      <c r="C2763" t="s">
        <v>36</v>
      </c>
      <c r="D2763" t="s">
        <v>144</v>
      </c>
      <c r="E2763" t="s">
        <v>145</v>
      </c>
      <c r="F2763" t="s">
        <v>39</v>
      </c>
      <c r="G2763" t="s">
        <v>75</v>
      </c>
      <c r="H2763" t="s">
        <v>31</v>
      </c>
      <c r="I2763" t="s">
        <v>40</v>
      </c>
      <c r="J2763" t="s">
        <v>216</v>
      </c>
      <c r="K2763">
        <v>10</v>
      </c>
      <c r="L2763" s="2">
        <v>190.2</v>
      </c>
      <c r="M2763" s="3">
        <v>0</v>
      </c>
      <c r="N2763" s="2">
        <v>1902</v>
      </c>
      <c r="O2763" s="2">
        <v>1271.46</v>
      </c>
      <c r="P2763" s="2">
        <v>630.54</v>
      </c>
      <c r="Q2763" t="s">
        <v>57</v>
      </c>
    </row>
    <row r="2764" spans="1:17" x14ac:dyDescent="0.2">
      <c r="A2764" t="s">
        <v>2929</v>
      </c>
      <c r="B2764" s="1">
        <v>45996</v>
      </c>
      <c r="C2764" t="s">
        <v>77</v>
      </c>
      <c r="D2764" t="s">
        <v>106</v>
      </c>
      <c r="E2764" t="s">
        <v>107</v>
      </c>
      <c r="F2764" t="s">
        <v>39</v>
      </c>
      <c r="G2764" t="s">
        <v>22</v>
      </c>
      <c r="H2764" t="s">
        <v>31</v>
      </c>
      <c r="I2764" t="s">
        <v>64</v>
      </c>
      <c r="J2764" t="s">
        <v>252</v>
      </c>
      <c r="K2764">
        <v>7</v>
      </c>
      <c r="L2764" s="2">
        <v>67.430000000000007</v>
      </c>
      <c r="M2764" s="3">
        <v>0.1</v>
      </c>
      <c r="N2764" s="2">
        <v>424.81</v>
      </c>
      <c r="O2764" s="2">
        <v>332.97</v>
      </c>
      <c r="P2764" s="2">
        <v>91.84</v>
      </c>
      <c r="Q2764" t="s">
        <v>57</v>
      </c>
    </row>
    <row r="2765" spans="1:17" x14ac:dyDescent="0.2">
      <c r="A2765" t="s">
        <v>2930</v>
      </c>
      <c r="B2765" s="1">
        <v>45996</v>
      </c>
      <c r="C2765" t="s">
        <v>36</v>
      </c>
      <c r="D2765" t="s">
        <v>67</v>
      </c>
      <c r="E2765" t="s">
        <v>270</v>
      </c>
      <c r="F2765" t="s">
        <v>138</v>
      </c>
      <c r="G2765" t="s">
        <v>54</v>
      </c>
      <c r="H2765" t="s">
        <v>23</v>
      </c>
      <c r="I2765" t="s">
        <v>55</v>
      </c>
      <c r="J2765" t="s">
        <v>102</v>
      </c>
      <c r="K2765">
        <v>4</v>
      </c>
      <c r="L2765" s="2">
        <v>19.52</v>
      </c>
      <c r="M2765" s="3">
        <v>0.05</v>
      </c>
      <c r="N2765" s="2">
        <v>74.180000000000007</v>
      </c>
      <c r="O2765" s="2">
        <v>44.41</v>
      </c>
      <c r="P2765" s="2">
        <v>29.77</v>
      </c>
      <c r="Q2765" t="s">
        <v>34</v>
      </c>
    </row>
    <row r="2766" spans="1:17" x14ac:dyDescent="0.2">
      <c r="A2766" t="s">
        <v>2931</v>
      </c>
      <c r="B2766" s="1">
        <v>45996</v>
      </c>
      <c r="C2766" t="s">
        <v>77</v>
      </c>
      <c r="D2766" t="s">
        <v>78</v>
      </c>
      <c r="E2766" t="s">
        <v>52</v>
      </c>
      <c r="F2766" t="s">
        <v>60</v>
      </c>
      <c r="G2766" t="s">
        <v>22</v>
      </c>
      <c r="H2766" t="s">
        <v>31</v>
      </c>
      <c r="I2766" t="s">
        <v>112</v>
      </c>
      <c r="J2766" t="s">
        <v>113</v>
      </c>
      <c r="K2766">
        <v>5</v>
      </c>
      <c r="L2766" s="2">
        <v>244.33</v>
      </c>
      <c r="M2766" s="3">
        <v>0.1</v>
      </c>
      <c r="N2766" s="2">
        <v>1099.49</v>
      </c>
      <c r="O2766" s="2">
        <v>758.74</v>
      </c>
      <c r="P2766" s="2">
        <v>340.75</v>
      </c>
      <c r="Q2766" t="s">
        <v>34</v>
      </c>
    </row>
    <row r="2767" spans="1:17" x14ac:dyDescent="0.2">
      <c r="A2767" t="s">
        <v>2932</v>
      </c>
      <c r="B2767" s="1">
        <v>45996</v>
      </c>
      <c r="C2767" t="s">
        <v>18</v>
      </c>
      <c r="D2767" t="s">
        <v>19</v>
      </c>
      <c r="E2767" t="s">
        <v>20</v>
      </c>
      <c r="F2767" t="s">
        <v>71</v>
      </c>
      <c r="G2767" t="s">
        <v>75</v>
      </c>
      <c r="H2767" t="s">
        <v>47</v>
      </c>
      <c r="I2767" t="s">
        <v>48</v>
      </c>
      <c r="J2767" t="s">
        <v>49</v>
      </c>
      <c r="K2767">
        <v>6</v>
      </c>
      <c r="L2767" s="2">
        <v>885.07</v>
      </c>
      <c r="M2767" s="3">
        <v>0.2</v>
      </c>
      <c r="N2767" s="2">
        <v>4248.34</v>
      </c>
      <c r="O2767" s="2">
        <v>2741.21</v>
      </c>
      <c r="P2767" s="2">
        <v>1507.13</v>
      </c>
      <c r="Q2767" t="s">
        <v>61</v>
      </c>
    </row>
    <row r="2768" spans="1:17" x14ac:dyDescent="0.2">
      <c r="A2768" t="s">
        <v>2933</v>
      </c>
      <c r="B2768" s="1">
        <v>45996</v>
      </c>
      <c r="C2768" t="s">
        <v>43</v>
      </c>
      <c r="D2768" t="s">
        <v>244</v>
      </c>
      <c r="E2768" t="s">
        <v>245</v>
      </c>
      <c r="F2768" t="s">
        <v>21</v>
      </c>
      <c r="G2768" t="s">
        <v>22</v>
      </c>
      <c r="H2768" t="s">
        <v>23</v>
      </c>
      <c r="I2768" t="s">
        <v>79</v>
      </c>
      <c r="J2768" t="s">
        <v>179</v>
      </c>
      <c r="K2768">
        <v>1</v>
      </c>
      <c r="L2768" s="2">
        <v>131.35</v>
      </c>
      <c r="M2768" s="3">
        <v>0.1</v>
      </c>
      <c r="N2768" s="2">
        <v>118.22</v>
      </c>
      <c r="O2768" s="2">
        <v>83.37</v>
      </c>
      <c r="P2768" s="2">
        <v>34.85</v>
      </c>
      <c r="Q2768" t="s">
        <v>61</v>
      </c>
    </row>
    <row r="2769" spans="1:17" x14ac:dyDescent="0.2">
      <c r="A2769" t="s">
        <v>2934</v>
      </c>
      <c r="B2769" s="1">
        <v>45996</v>
      </c>
      <c r="C2769" t="s">
        <v>36</v>
      </c>
      <c r="D2769" t="s">
        <v>110</v>
      </c>
      <c r="E2769" t="s">
        <v>111</v>
      </c>
      <c r="F2769" t="s">
        <v>53</v>
      </c>
      <c r="G2769" t="s">
        <v>22</v>
      </c>
      <c r="H2769" t="s">
        <v>23</v>
      </c>
      <c r="I2769" t="s">
        <v>55</v>
      </c>
      <c r="J2769" t="s">
        <v>56</v>
      </c>
      <c r="K2769">
        <v>4</v>
      </c>
      <c r="L2769" s="2">
        <v>11.39</v>
      </c>
      <c r="M2769" s="3">
        <v>0.15</v>
      </c>
      <c r="N2769" s="2">
        <v>38.729999999999997</v>
      </c>
      <c r="O2769" s="2">
        <v>25.73</v>
      </c>
      <c r="P2769" s="2">
        <v>13</v>
      </c>
      <c r="Q2769" t="s">
        <v>34</v>
      </c>
    </row>
    <row r="2770" spans="1:17" x14ac:dyDescent="0.2">
      <c r="A2770" t="s">
        <v>2935</v>
      </c>
      <c r="B2770" s="1">
        <v>45997</v>
      </c>
      <c r="C2770" t="s">
        <v>18</v>
      </c>
      <c r="D2770" t="s">
        <v>28</v>
      </c>
      <c r="E2770" t="s">
        <v>170</v>
      </c>
      <c r="F2770" t="s">
        <v>130</v>
      </c>
      <c r="G2770" t="s">
        <v>22</v>
      </c>
      <c r="H2770" t="s">
        <v>31</v>
      </c>
      <c r="I2770" t="s">
        <v>112</v>
      </c>
      <c r="J2770" t="s">
        <v>176</v>
      </c>
      <c r="K2770">
        <v>5</v>
      </c>
      <c r="L2770" s="2">
        <v>550.33000000000004</v>
      </c>
      <c r="M2770" s="3">
        <v>0.05</v>
      </c>
      <c r="N2770" s="2">
        <v>2614.0700000000002</v>
      </c>
      <c r="O2770" s="2">
        <v>1972.26</v>
      </c>
      <c r="P2770" s="2">
        <v>641.80999999999995</v>
      </c>
      <c r="Q2770" t="s">
        <v>61</v>
      </c>
    </row>
    <row r="2771" spans="1:17" x14ac:dyDescent="0.2">
      <c r="A2771" t="s">
        <v>2936</v>
      </c>
      <c r="B2771" s="1">
        <v>45997</v>
      </c>
      <c r="C2771" t="s">
        <v>43</v>
      </c>
      <c r="D2771" t="s">
        <v>44</v>
      </c>
      <c r="E2771" t="s">
        <v>45</v>
      </c>
      <c r="F2771" t="s">
        <v>69</v>
      </c>
      <c r="G2771" t="s">
        <v>22</v>
      </c>
      <c r="H2771" t="s">
        <v>47</v>
      </c>
      <c r="I2771" t="s">
        <v>48</v>
      </c>
      <c r="J2771" t="s">
        <v>164</v>
      </c>
      <c r="K2771">
        <v>4</v>
      </c>
      <c r="L2771" s="2">
        <v>830.7</v>
      </c>
      <c r="M2771" s="3">
        <v>0.05</v>
      </c>
      <c r="N2771" s="2">
        <v>3156.66</v>
      </c>
      <c r="O2771" s="2">
        <v>1755.43</v>
      </c>
      <c r="P2771" s="2">
        <v>1401.23</v>
      </c>
      <c r="Q2771" t="s">
        <v>26</v>
      </c>
    </row>
    <row r="2772" spans="1:17" x14ac:dyDescent="0.2">
      <c r="A2772" t="s">
        <v>2937</v>
      </c>
      <c r="B2772" s="1">
        <v>45997</v>
      </c>
      <c r="C2772" t="s">
        <v>77</v>
      </c>
      <c r="D2772" t="s">
        <v>95</v>
      </c>
      <c r="E2772" t="s">
        <v>300</v>
      </c>
      <c r="F2772" t="s">
        <v>69</v>
      </c>
      <c r="G2772" t="s">
        <v>75</v>
      </c>
      <c r="H2772" t="s">
        <v>31</v>
      </c>
      <c r="I2772" t="s">
        <v>64</v>
      </c>
      <c r="J2772" t="s">
        <v>126</v>
      </c>
      <c r="K2772">
        <v>5</v>
      </c>
      <c r="L2772" s="2">
        <v>56.7</v>
      </c>
      <c r="M2772" s="3">
        <v>0.05</v>
      </c>
      <c r="N2772" s="2">
        <v>269.32</v>
      </c>
      <c r="O2772" s="2">
        <v>158.79</v>
      </c>
      <c r="P2772" s="2">
        <v>110.53</v>
      </c>
      <c r="Q2772" t="s">
        <v>57</v>
      </c>
    </row>
    <row r="2773" spans="1:17" x14ac:dyDescent="0.2">
      <c r="A2773" t="s">
        <v>2938</v>
      </c>
      <c r="B2773" s="1">
        <v>45997</v>
      </c>
      <c r="C2773" t="s">
        <v>77</v>
      </c>
      <c r="D2773" t="s">
        <v>149</v>
      </c>
      <c r="E2773" t="s">
        <v>206</v>
      </c>
      <c r="F2773" t="s">
        <v>39</v>
      </c>
      <c r="G2773" t="s">
        <v>22</v>
      </c>
      <c r="H2773" t="s">
        <v>31</v>
      </c>
      <c r="I2773" t="s">
        <v>64</v>
      </c>
      <c r="J2773" t="s">
        <v>126</v>
      </c>
      <c r="K2773">
        <v>9</v>
      </c>
      <c r="L2773" s="2">
        <v>96.7</v>
      </c>
      <c r="M2773" s="3">
        <v>0.1</v>
      </c>
      <c r="N2773" s="2">
        <v>783.27</v>
      </c>
      <c r="O2773" s="2">
        <v>522.4</v>
      </c>
      <c r="P2773" s="2">
        <v>260.87</v>
      </c>
      <c r="Q2773" t="s">
        <v>61</v>
      </c>
    </row>
    <row r="2774" spans="1:17" x14ac:dyDescent="0.2">
      <c r="A2774" t="s">
        <v>2939</v>
      </c>
      <c r="B2774" s="1">
        <v>45997</v>
      </c>
      <c r="C2774" t="s">
        <v>43</v>
      </c>
      <c r="D2774" t="s">
        <v>51</v>
      </c>
      <c r="E2774" t="s">
        <v>52</v>
      </c>
      <c r="F2774" t="s">
        <v>71</v>
      </c>
      <c r="G2774" t="s">
        <v>22</v>
      </c>
      <c r="H2774" t="s">
        <v>31</v>
      </c>
      <c r="I2774" t="s">
        <v>112</v>
      </c>
      <c r="J2774" t="s">
        <v>136</v>
      </c>
      <c r="K2774">
        <v>5</v>
      </c>
      <c r="L2774" s="2">
        <v>667.55</v>
      </c>
      <c r="M2774" s="3">
        <v>0.1</v>
      </c>
      <c r="N2774" s="2">
        <v>3003.98</v>
      </c>
      <c r="O2774" s="2">
        <v>1829.83</v>
      </c>
      <c r="P2774" s="2">
        <v>1174.1500000000001</v>
      </c>
      <c r="Q2774" t="s">
        <v>34</v>
      </c>
    </row>
    <row r="2775" spans="1:17" x14ac:dyDescent="0.2">
      <c r="A2775" t="s">
        <v>2940</v>
      </c>
      <c r="B2775" s="1">
        <v>45997</v>
      </c>
      <c r="C2775" t="s">
        <v>43</v>
      </c>
      <c r="D2775" t="s">
        <v>208</v>
      </c>
      <c r="E2775" t="s">
        <v>230</v>
      </c>
      <c r="F2775" t="s">
        <v>53</v>
      </c>
      <c r="G2775" t="s">
        <v>22</v>
      </c>
      <c r="H2775" t="s">
        <v>31</v>
      </c>
      <c r="I2775" t="s">
        <v>64</v>
      </c>
      <c r="J2775" t="s">
        <v>65</v>
      </c>
      <c r="K2775">
        <v>7</v>
      </c>
      <c r="L2775" s="2">
        <v>137.30000000000001</v>
      </c>
      <c r="M2775" s="3">
        <v>0.15</v>
      </c>
      <c r="N2775" s="2">
        <v>816.94</v>
      </c>
      <c r="O2775" s="2">
        <v>560.11</v>
      </c>
      <c r="P2775" s="2">
        <v>256.83</v>
      </c>
      <c r="Q2775" t="s">
        <v>34</v>
      </c>
    </row>
    <row r="2776" spans="1:17" x14ac:dyDescent="0.2">
      <c r="A2776" t="s">
        <v>2941</v>
      </c>
      <c r="B2776" s="1">
        <v>45997</v>
      </c>
      <c r="C2776" t="s">
        <v>36</v>
      </c>
      <c r="D2776" t="s">
        <v>73</v>
      </c>
      <c r="E2776" t="s">
        <v>247</v>
      </c>
      <c r="F2776" t="s">
        <v>138</v>
      </c>
      <c r="G2776" t="s">
        <v>75</v>
      </c>
      <c r="H2776" t="s">
        <v>31</v>
      </c>
      <c r="I2776" t="s">
        <v>64</v>
      </c>
      <c r="J2776" t="s">
        <v>126</v>
      </c>
      <c r="K2776">
        <v>5</v>
      </c>
      <c r="L2776" s="2">
        <v>80.61</v>
      </c>
      <c r="M2776" s="3">
        <v>0.2</v>
      </c>
      <c r="N2776" s="2">
        <v>322.44</v>
      </c>
      <c r="O2776" s="2">
        <v>193.59</v>
      </c>
      <c r="P2776" s="2">
        <v>128.85</v>
      </c>
      <c r="Q2776" t="s">
        <v>34</v>
      </c>
    </row>
    <row r="2777" spans="1:17" x14ac:dyDescent="0.2">
      <c r="A2777" t="s">
        <v>2942</v>
      </c>
      <c r="B2777" s="1">
        <v>45997</v>
      </c>
      <c r="C2777" t="s">
        <v>77</v>
      </c>
      <c r="D2777" t="s">
        <v>95</v>
      </c>
      <c r="E2777" t="s">
        <v>96</v>
      </c>
      <c r="F2777" t="s">
        <v>69</v>
      </c>
      <c r="G2777" t="s">
        <v>22</v>
      </c>
      <c r="H2777" t="s">
        <v>47</v>
      </c>
      <c r="I2777" t="s">
        <v>48</v>
      </c>
      <c r="J2777" t="s">
        <v>164</v>
      </c>
      <c r="K2777">
        <v>1</v>
      </c>
      <c r="L2777" s="2">
        <v>552.54</v>
      </c>
      <c r="M2777" s="3">
        <v>0</v>
      </c>
      <c r="N2777" s="2">
        <v>552.54</v>
      </c>
      <c r="O2777" s="2">
        <v>361.59</v>
      </c>
      <c r="P2777" s="2">
        <v>190.95</v>
      </c>
      <c r="Q2777" t="s">
        <v>61</v>
      </c>
    </row>
    <row r="2778" spans="1:17" x14ac:dyDescent="0.2">
      <c r="A2778" t="s">
        <v>2943</v>
      </c>
      <c r="B2778" s="1">
        <v>45997</v>
      </c>
      <c r="C2778" t="s">
        <v>36</v>
      </c>
      <c r="D2778" t="s">
        <v>144</v>
      </c>
      <c r="E2778" t="s">
        <v>232</v>
      </c>
      <c r="F2778" t="s">
        <v>21</v>
      </c>
      <c r="G2778" t="s">
        <v>22</v>
      </c>
      <c r="H2778" t="s">
        <v>23</v>
      </c>
      <c r="I2778" t="s">
        <v>79</v>
      </c>
      <c r="J2778" t="s">
        <v>233</v>
      </c>
      <c r="K2778">
        <v>8</v>
      </c>
      <c r="L2778" s="2">
        <v>372.42</v>
      </c>
      <c r="M2778" s="3">
        <v>0</v>
      </c>
      <c r="N2778" s="2">
        <v>2979.36</v>
      </c>
      <c r="O2778" s="2">
        <v>1875.85</v>
      </c>
      <c r="P2778" s="2">
        <v>1103.51</v>
      </c>
      <c r="Q2778" t="s">
        <v>34</v>
      </c>
    </row>
    <row r="2779" spans="1:17" x14ac:dyDescent="0.2">
      <c r="A2779" t="s">
        <v>2944</v>
      </c>
      <c r="B2779" s="1">
        <v>45997</v>
      </c>
      <c r="C2779" t="s">
        <v>77</v>
      </c>
      <c r="D2779" t="s">
        <v>149</v>
      </c>
      <c r="E2779" t="s">
        <v>309</v>
      </c>
      <c r="F2779" t="s">
        <v>60</v>
      </c>
      <c r="G2779" t="s">
        <v>54</v>
      </c>
      <c r="H2779" t="s">
        <v>23</v>
      </c>
      <c r="I2779" t="s">
        <v>24</v>
      </c>
      <c r="J2779" t="s">
        <v>25</v>
      </c>
      <c r="K2779">
        <v>2</v>
      </c>
      <c r="L2779" s="2">
        <v>8.34</v>
      </c>
      <c r="M2779" s="3">
        <v>0.05</v>
      </c>
      <c r="N2779" s="2">
        <v>15.85</v>
      </c>
      <c r="O2779" s="2">
        <v>10.15</v>
      </c>
      <c r="P2779" s="2">
        <v>5.7</v>
      </c>
      <c r="Q2779" t="s">
        <v>57</v>
      </c>
    </row>
    <row r="2780" spans="1:17" x14ac:dyDescent="0.2">
      <c r="A2780" t="s">
        <v>2945</v>
      </c>
      <c r="B2780" s="1">
        <v>45997</v>
      </c>
      <c r="C2780" t="s">
        <v>43</v>
      </c>
      <c r="D2780" t="s">
        <v>44</v>
      </c>
      <c r="E2780" t="s">
        <v>147</v>
      </c>
      <c r="F2780" t="s">
        <v>46</v>
      </c>
      <c r="G2780" t="s">
        <v>54</v>
      </c>
      <c r="H2780" t="s">
        <v>23</v>
      </c>
      <c r="I2780" t="s">
        <v>79</v>
      </c>
      <c r="J2780" t="s">
        <v>233</v>
      </c>
      <c r="K2780">
        <v>6</v>
      </c>
      <c r="L2780" s="2">
        <v>382.85</v>
      </c>
      <c r="M2780" s="3">
        <v>0.1</v>
      </c>
      <c r="N2780" s="2">
        <v>2067.39</v>
      </c>
      <c r="O2780" s="2">
        <v>1512.81</v>
      </c>
      <c r="P2780" s="2">
        <v>554.58000000000004</v>
      </c>
      <c r="Q2780" t="s">
        <v>34</v>
      </c>
    </row>
    <row r="2781" spans="1:17" x14ac:dyDescent="0.2">
      <c r="A2781" t="s">
        <v>2946</v>
      </c>
      <c r="B2781" s="1">
        <v>45997</v>
      </c>
      <c r="C2781" t="s">
        <v>43</v>
      </c>
      <c r="D2781" t="s">
        <v>51</v>
      </c>
      <c r="E2781" t="s">
        <v>52</v>
      </c>
      <c r="F2781" t="s">
        <v>71</v>
      </c>
      <c r="G2781" t="s">
        <v>22</v>
      </c>
      <c r="H2781" t="s">
        <v>23</v>
      </c>
      <c r="I2781" t="s">
        <v>83</v>
      </c>
      <c r="J2781" t="s">
        <v>84</v>
      </c>
      <c r="K2781">
        <v>6</v>
      </c>
      <c r="L2781" s="2">
        <v>25.69</v>
      </c>
      <c r="M2781" s="3">
        <v>0.1</v>
      </c>
      <c r="N2781" s="2">
        <v>138.72999999999999</v>
      </c>
      <c r="O2781" s="2">
        <v>102.1</v>
      </c>
      <c r="P2781" s="2">
        <v>36.630000000000003</v>
      </c>
      <c r="Q2781" t="s">
        <v>61</v>
      </c>
    </row>
    <row r="2782" spans="1:17" x14ac:dyDescent="0.2">
      <c r="A2782" t="s">
        <v>2947</v>
      </c>
      <c r="B2782" s="1">
        <v>45997</v>
      </c>
      <c r="C2782" t="s">
        <v>36</v>
      </c>
      <c r="D2782" t="s">
        <v>144</v>
      </c>
      <c r="E2782" t="s">
        <v>214</v>
      </c>
      <c r="F2782" t="s">
        <v>130</v>
      </c>
      <c r="G2782" t="s">
        <v>54</v>
      </c>
      <c r="H2782" t="s">
        <v>47</v>
      </c>
      <c r="I2782" t="s">
        <v>141</v>
      </c>
      <c r="J2782" t="s">
        <v>201</v>
      </c>
      <c r="K2782">
        <v>9</v>
      </c>
      <c r="L2782" s="2">
        <v>453.75</v>
      </c>
      <c r="M2782" s="3">
        <v>0</v>
      </c>
      <c r="N2782" s="2">
        <v>4083.75</v>
      </c>
      <c r="O2782" s="2">
        <v>3242.97</v>
      </c>
      <c r="P2782" s="2">
        <v>840.78</v>
      </c>
      <c r="Q2782" t="s">
        <v>61</v>
      </c>
    </row>
    <row r="2783" spans="1:17" x14ac:dyDescent="0.2">
      <c r="A2783" t="s">
        <v>2948</v>
      </c>
      <c r="B2783" s="1">
        <v>45997</v>
      </c>
      <c r="C2783" t="s">
        <v>77</v>
      </c>
      <c r="D2783" t="s">
        <v>95</v>
      </c>
      <c r="E2783" t="s">
        <v>96</v>
      </c>
      <c r="F2783" t="s">
        <v>39</v>
      </c>
      <c r="G2783" t="s">
        <v>75</v>
      </c>
      <c r="H2783" t="s">
        <v>31</v>
      </c>
      <c r="I2783" t="s">
        <v>112</v>
      </c>
      <c r="J2783" t="s">
        <v>176</v>
      </c>
      <c r="K2783">
        <v>6</v>
      </c>
      <c r="L2783" s="2">
        <v>640.45000000000005</v>
      </c>
      <c r="M2783" s="3">
        <v>0.15</v>
      </c>
      <c r="N2783" s="2">
        <v>3266.3</v>
      </c>
      <c r="O2783" s="2">
        <v>2419.7399999999998</v>
      </c>
      <c r="P2783" s="2">
        <v>846.56</v>
      </c>
      <c r="Q2783" t="s">
        <v>57</v>
      </c>
    </row>
    <row r="2784" spans="1:17" x14ac:dyDescent="0.2">
      <c r="A2784" t="s">
        <v>2949</v>
      </c>
      <c r="B2784" s="1">
        <v>45998</v>
      </c>
      <c r="C2784" t="s">
        <v>77</v>
      </c>
      <c r="D2784" t="s">
        <v>149</v>
      </c>
      <c r="E2784" t="s">
        <v>150</v>
      </c>
      <c r="F2784" t="s">
        <v>39</v>
      </c>
      <c r="G2784" t="s">
        <v>22</v>
      </c>
      <c r="H2784" t="s">
        <v>31</v>
      </c>
      <c r="I2784" t="s">
        <v>112</v>
      </c>
      <c r="J2784" t="s">
        <v>136</v>
      </c>
      <c r="K2784">
        <v>9</v>
      </c>
      <c r="L2784" s="2">
        <v>518.36</v>
      </c>
      <c r="M2784" s="3">
        <v>0.05</v>
      </c>
      <c r="N2784" s="2">
        <v>4431.9799999999996</v>
      </c>
      <c r="O2784" s="2">
        <v>2987.08</v>
      </c>
      <c r="P2784" s="2">
        <v>1444.9</v>
      </c>
      <c r="Q2784" t="s">
        <v>34</v>
      </c>
    </row>
    <row r="2785" spans="1:17" x14ac:dyDescent="0.2">
      <c r="A2785" t="s">
        <v>2950</v>
      </c>
      <c r="B2785" s="1">
        <v>45998</v>
      </c>
      <c r="C2785" t="s">
        <v>43</v>
      </c>
      <c r="D2785" t="s">
        <v>51</v>
      </c>
      <c r="E2785" t="s">
        <v>63</v>
      </c>
      <c r="F2785" t="s">
        <v>39</v>
      </c>
      <c r="G2785" t="s">
        <v>54</v>
      </c>
      <c r="H2785" t="s">
        <v>23</v>
      </c>
      <c r="I2785" t="s">
        <v>83</v>
      </c>
      <c r="J2785" t="s">
        <v>131</v>
      </c>
      <c r="K2785">
        <v>4</v>
      </c>
      <c r="L2785" s="2">
        <v>34.35</v>
      </c>
      <c r="M2785" s="3">
        <v>0.15</v>
      </c>
      <c r="N2785" s="2">
        <v>116.79</v>
      </c>
      <c r="O2785" s="2">
        <v>65.3</v>
      </c>
      <c r="P2785" s="2">
        <v>51.49</v>
      </c>
      <c r="Q2785" t="s">
        <v>34</v>
      </c>
    </row>
    <row r="2786" spans="1:17" x14ac:dyDescent="0.2">
      <c r="A2786" t="s">
        <v>2951</v>
      </c>
      <c r="B2786" s="1">
        <v>45998</v>
      </c>
      <c r="C2786" t="s">
        <v>77</v>
      </c>
      <c r="D2786" t="s">
        <v>78</v>
      </c>
      <c r="E2786" t="s">
        <v>52</v>
      </c>
      <c r="F2786" t="s">
        <v>39</v>
      </c>
      <c r="G2786" t="s">
        <v>54</v>
      </c>
      <c r="H2786" t="s">
        <v>31</v>
      </c>
      <c r="I2786" t="s">
        <v>32</v>
      </c>
      <c r="J2786" t="s">
        <v>258</v>
      </c>
      <c r="K2786">
        <v>3</v>
      </c>
      <c r="L2786" s="2">
        <v>1499.9</v>
      </c>
      <c r="M2786" s="3">
        <v>0</v>
      </c>
      <c r="N2786" s="2">
        <v>4499.7</v>
      </c>
      <c r="O2786" s="2">
        <v>2866.3</v>
      </c>
      <c r="P2786" s="2">
        <v>1633.4</v>
      </c>
      <c r="Q2786" t="s">
        <v>61</v>
      </c>
    </row>
    <row r="2787" spans="1:17" x14ac:dyDescent="0.2">
      <c r="A2787" t="s">
        <v>2952</v>
      </c>
      <c r="B2787" s="1">
        <v>45998</v>
      </c>
      <c r="C2787" t="s">
        <v>77</v>
      </c>
      <c r="D2787" t="s">
        <v>149</v>
      </c>
      <c r="E2787" t="s">
        <v>206</v>
      </c>
      <c r="F2787" t="s">
        <v>46</v>
      </c>
      <c r="G2787" t="s">
        <v>75</v>
      </c>
      <c r="H2787" t="s">
        <v>31</v>
      </c>
      <c r="I2787" t="s">
        <v>40</v>
      </c>
      <c r="J2787" t="s">
        <v>41</v>
      </c>
      <c r="K2787">
        <v>1</v>
      </c>
      <c r="L2787" s="2">
        <v>138.41999999999999</v>
      </c>
      <c r="M2787" s="3">
        <v>0.05</v>
      </c>
      <c r="N2787" s="2">
        <v>131.5</v>
      </c>
      <c r="O2787" s="2">
        <v>78.819999999999993</v>
      </c>
      <c r="P2787" s="2">
        <v>52.68</v>
      </c>
      <c r="Q2787" t="s">
        <v>34</v>
      </c>
    </row>
    <row r="2788" spans="1:17" x14ac:dyDescent="0.2">
      <c r="A2788" t="s">
        <v>2953</v>
      </c>
      <c r="B2788" s="1">
        <v>45998</v>
      </c>
      <c r="C2788" t="s">
        <v>43</v>
      </c>
      <c r="D2788" t="s">
        <v>244</v>
      </c>
      <c r="E2788" t="s">
        <v>326</v>
      </c>
      <c r="F2788" t="s">
        <v>60</v>
      </c>
      <c r="G2788" t="s">
        <v>22</v>
      </c>
      <c r="H2788" t="s">
        <v>47</v>
      </c>
      <c r="I2788" t="s">
        <v>97</v>
      </c>
      <c r="J2788" t="s">
        <v>116</v>
      </c>
      <c r="K2788">
        <v>7</v>
      </c>
      <c r="L2788" s="2">
        <v>658.5</v>
      </c>
      <c r="M2788" s="3">
        <v>0.05</v>
      </c>
      <c r="N2788" s="2">
        <v>4379.0200000000004</v>
      </c>
      <c r="O2788" s="2">
        <v>3544.41</v>
      </c>
      <c r="P2788" s="2">
        <v>834.61</v>
      </c>
      <c r="Q2788" t="s">
        <v>61</v>
      </c>
    </row>
    <row r="2789" spans="1:17" x14ac:dyDescent="0.2">
      <c r="A2789" t="s">
        <v>2954</v>
      </c>
      <c r="B2789" s="1">
        <v>45999</v>
      </c>
      <c r="C2789" t="s">
        <v>18</v>
      </c>
      <c r="D2789" t="s">
        <v>152</v>
      </c>
      <c r="E2789" t="s">
        <v>166</v>
      </c>
      <c r="F2789" t="s">
        <v>60</v>
      </c>
      <c r="G2789" t="s">
        <v>75</v>
      </c>
      <c r="H2789" t="s">
        <v>23</v>
      </c>
      <c r="I2789" t="s">
        <v>83</v>
      </c>
      <c r="J2789" t="s">
        <v>131</v>
      </c>
      <c r="K2789">
        <v>3</v>
      </c>
      <c r="L2789" s="2">
        <v>33.11</v>
      </c>
      <c r="M2789" s="3">
        <v>0</v>
      </c>
      <c r="N2789" s="2">
        <v>99.33</v>
      </c>
      <c r="O2789" s="2">
        <v>56.71</v>
      </c>
      <c r="P2789" s="2">
        <v>42.62</v>
      </c>
      <c r="Q2789" t="s">
        <v>61</v>
      </c>
    </row>
    <row r="2790" spans="1:17" x14ac:dyDescent="0.2">
      <c r="A2790" t="s">
        <v>2955</v>
      </c>
      <c r="B2790" s="1">
        <v>45999</v>
      </c>
      <c r="C2790" t="s">
        <v>18</v>
      </c>
      <c r="D2790" t="s">
        <v>152</v>
      </c>
      <c r="E2790" t="s">
        <v>185</v>
      </c>
      <c r="F2790" t="s">
        <v>46</v>
      </c>
      <c r="G2790" t="s">
        <v>22</v>
      </c>
      <c r="H2790" t="s">
        <v>31</v>
      </c>
      <c r="I2790" t="s">
        <v>112</v>
      </c>
      <c r="J2790" t="s">
        <v>113</v>
      </c>
      <c r="K2790">
        <v>4</v>
      </c>
      <c r="L2790" s="2">
        <v>283.56</v>
      </c>
      <c r="M2790" s="3">
        <v>0</v>
      </c>
      <c r="N2790" s="2">
        <v>1134.24</v>
      </c>
      <c r="O2790" s="2">
        <v>698.75</v>
      </c>
      <c r="P2790" s="2">
        <v>435.49</v>
      </c>
      <c r="Q2790" t="s">
        <v>61</v>
      </c>
    </row>
    <row r="2791" spans="1:17" x14ac:dyDescent="0.2">
      <c r="A2791" t="s">
        <v>2956</v>
      </c>
      <c r="B2791" s="1">
        <v>45999</v>
      </c>
      <c r="C2791" t="s">
        <v>36</v>
      </c>
      <c r="D2791" t="s">
        <v>144</v>
      </c>
      <c r="E2791" t="s">
        <v>145</v>
      </c>
      <c r="F2791" t="s">
        <v>69</v>
      </c>
      <c r="G2791" t="s">
        <v>54</v>
      </c>
      <c r="H2791" t="s">
        <v>31</v>
      </c>
      <c r="I2791" t="s">
        <v>64</v>
      </c>
      <c r="J2791" t="s">
        <v>252</v>
      </c>
      <c r="K2791">
        <v>4</v>
      </c>
      <c r="L2791" s="2">
        <v>114.06</v>
      </c>
      <c r="M2791" s="3">
        <v>0.1</v>
      </c>
      <c r="N2791" s="2">
        <v>410.62</v>
      </c>
      <c r="O2791" s="2">
        <v>321.81</v>
      </c>
      <c r="P2791" s="2">
        <v>88.81</v>
      </c>
      <c r="Q2791" t="s">
        <v>61</v>
      </c>
    </row>
    <row r="2792" spans="1:17" x14ac:dyDescent="0.2">
      <c r="A2792" t="s">
        <v>2957</v>
      </c>
      <c r="B2792" s="1">
        <v>45999</v>
      </c>
      <c r="C2792" t="s">
        <v>43</v>
      </c>
      <c r="D2792" t="s">
        <v>244</v>
      </c>
      <c r="E2792" t="s">
        <v>300</v>
      </c>
      <c r="F2792" t="s">
        <v>69</v>
      </c>
      <c r="G2792" t="s">
        <v>75</v>
      </c>
      <c r="H2792" t="s">
        <v>31</v>
      </c>
      <c r="I2792" t="s">
        <v>32</v>
      </c>
      <c r="J2792" t="s">
        <v>33</v>
      </c>
      <c r="K2792">
        <v>9</v>
      </c>
      <c r="L2792" s="2">
        <v>810.47</v>
      </c>
      <c r="M2792" s="3">
        <v>0.1</v>
      </c>
      <c r="N2792" s="2">
        <v>6564.81</v>
      </c>
      <c r="O2792" s="2">
        <v>4965.9399999999996</v>
      </c>
      <c r="P2792" s="2">
        <v>1598.87</v>
      </c>
      <c r="Q2792" t="s">
        <v>34</v>
      </c>
    </row>
    <row r="2793" spans="1:17" x14ac:dyDescent="0.2">
      <c r="A2793" t="s">
        <v>2958</v>
      </c>
      <c r="B2793" s="1">
        <v>45999</v>
      </c>
      <c r="C2793" t="s">
        <v>18</v>
      </c>
      <c r="D2793" t="s">
        <v>152</v>
      </c>
      <c r="E2793" t="s">
        <v>153</v>
      </c>
      <c r="F2793" t="s">
        <v>138</v>
      </c>
      <c r="G2793" t="s">
        <v>75</v>
      </c>
      <c r="H2793" t="s">
        <v>23</v>
      </c>
      <c r="I2793" t="s">
        <v>83</v>
      </c>
      <c r="J2793" t="s">
        <v>84</v>
      </c>
      <c r="K2793">
        <v>4</v>
      </c>
      <c r="L2793" s="2">
        <v>32.53</v>
      </c>
      <c r="M2793" s="3">
        <v>0.05</v>
      </c>
      <c r="N2793" s="2">
        <v>123.61</v>
      </c>
      <c r="O2793" s="2">
        <v>78.31</v>
      </c>
      <c r="P2793" s="2">
        <v>45.3</v>
      </c>
      <c r="Q2793" t="s">
        <v>26</v>
      </c>
    </row>
    <row r="2794" spans="1:17" x14ac:dyDescent="0.2">
      <c r="A2794" t="s">
        <v>2959</v>
      </c>
      <c r="B2794" s="1">
        <v>45999</v>
      </c>
      <c r="C2794" t="s">
        <v>18</v>
      </c>
      <c r="D2794" t="s">
        <v>28</v>
      </c>
      <c r="E2794" t="s">
        <v>29</v>
      </c>
      <c r="F2794" t="s">
        <v>69</v>
      </c>
      <c r="G2794" t="s">
        <v>22</v>
      </c>
      <c r="H2794" t="s">
        <v>31</v>
      </c>
      <c r="I2794" t="s">
        <v>64</v>
      </c>
      <c r="J2794" t="s">
        <v>252</v>
      </c>
      <c r="K2794">
        <v>9</v>
      </c>
      <c r="L2794" s="2">
        <v>103.14</v>
      </c>
      <c r="M2794" s="3">
        <v>0.15</v>
      </c>
      <c r="N2794" s="2">
        <v>789.02</v>
      </c>
      <c r="O2794" s="2">
        <v>627.99</v>
      </c>
      <c r="P2794" s="2">
        <v>161.03</v>
      </c>
      <c r="Q2794" t="s">
        <v>61</v>
      </c>
    </row>
    <row r="2795" spans="1:17" x14ac:dyDescent="0.2">
      <c r="A2795" t="s">
        <v>2960</v>
      </c>
      <c r="B2795" s="1">
        <v>45999</v>
      </c>
      <c r="C2795" t="s">
        <v>18</v>
      </c>
      <c r="D2795" t="s">
        <v>133</v>
      </c>
      <c r="E2795" t="s">
        <v>197</v>
      </c>
      <c r="F2795" t="s">
        <v>69</v>
      </c>
      <c r="G2795" t="s">
        <v>22</v>
      </c>
      <c r="H2795" t="s">
        <v>31</v>
      </c>
      <c r="I2795" t="s">
        <v>64</v>
      </c>
      <c r="J2795" t="s">
        <v>126</v>
      </c>
      <c r="K2795">
        <v>9</v>
      </c>
      <c r="L2795" s="2">
        <v>150.38</v>
      </c>
      <c r="M2795" s="3">
        <v>0.15</v>
      </c>
      <c r="N2795" s="2">
        <v>1150.4100000000001</v>
      </c>
      <c r="O2795" s="2">
        <v>876.17</v>
      </c>
      <c r="P2795" s="2">
        <v>274.24</v>
      </c>
      <c r="Q2795" t="s">
        <v>57</v>
      </c>
    </row>
    <row r="2796" spans="1:17" x14ac:dyDescent="0.2">
      <c r="A2796" t="s">
        <v>2961</v>
      </c>
      <c r="B2796" s="1">
        <v>45999</v>
      </c>
      <c r="C2796" t="s">
        <v>43</v>
      </c>
      <c r="D2796" t="s">
        <v>51</v>
      </c>
      <c r="E2796" t="s">
        <v>59</v>
      </c>
      <c r="F2796" t="s">
        <v>130</v>
      </c>
      <c r="G2796" t="s">
        <v>75</v>
      </c>
      <c r="H2796" t="s">
        <v>23</v>
      </c>
      <c r="I2796" t="s">
        <v>24</v>
      </c>
      <c r="J2796" t="s">
        <v>220</v>
      </c>
      <c r="K2796">
        <v>1</v>
      </c>
      <c r="L2796" s="2">
        <v>27.63</v>
      </c>
      <c r="M2796" s="3">
        <v>0.15</v>
      </c>
      <c r="N2796" s="2">
        <v>23.49</v>
      </c>
      <c r="O2796" s="2">
        <v>17.760000000000002</v>
      </c>
      <c r="P2796" s="2">
        <v>5.73</v>
      </c>
      <c r="Q2796" t="s">
        <v>34</v>
      </c>
    </row>
    <row r="2797" spans="1:17" x14ac:dyDescent="0.2">
      <c r="A2797" t="s">
        <v>2962</v>
      </c>
      <c r="B2797" s="1">
        <v>45999</v>
      </c>
      <c r="C2797" t="s">
        <v>43</v>
      </c>
      <c r="D2797" t="s">
        <v>161</v>
      </c>
      <c r="E2797" t="s">
        <v>162</v>
      </c>
      <c r="F2797" t="s">
        <v>21</v>
      </c>
      <c r="G2797" t="s">
        <v>75</v>
      </c>
      <c r="H2797" t="s">
        <v>23</v>
      </c>
      <c r="I2797" t="s">
        <v>55</v>
      </c>
      <c r="J2797" t="s">
        <v>173</v>
      </c>
      <c r="K2797">
        <v>9</v>
      </c>
      <c r="L2797" s="2">
        <v>22.01</v>
      </c>
      <c r="M2797" s="3">
        <v>0</v>
      </c>
      <c r="N2797" s="2">
        <v>198.09</v>
      </c>
      <c r="O2797" s="2">
        <v>118.96</v>
      </c>
      <c r="P2797" s="2">
        <v>79.13</v>
      </c>
      <c r="Q2797" t="s">
        <v>34</v>
      </c>
    </row>
    <row r="2798" spans="1:17" x14ac:dyDescent="0.2">
      <c r="A2798" t="s">
        <v>2963</v>
      </c>
      <c r="B2798" s="1">
        <v>45999</v>
      </c>
      <c r="C2798" t="s">
        <v>36</v>
      </c>
      <c r="D2798" t="s">
        <v>37</v>
      </c>
      <c r="E2798" t="s">
        <v>255</v>
      </c>
      <c r="F2798" t="s">
        <v>53</v>
      </c>
      <c r="G2798" t="s">
        <v>75</v>
      </c>
      <c r="H2798" t="s">
        <v>23</v>
      </c>
      <c r="I2798" t="s">
        <v>83</v>
      </c>
      <c r="J2798" t="s">
        <v>120</v>
      </c>
      <c r="K2798">
        <v>1</v>
      </c>
      <c r="L2798" s="2">
        <v>19.25</v>
      </c>
      <c r="M2798" s="3">
        <v>0</v>
      </c>
      <c r="N2798" s="2">
        <v>19.25</v>
      </c>
      <c r="O2798" s="2">
        <v>10.59</v>
      </c>
      <c r="P2798" s="2">
        <v>8.66</v>
      </c>
      <c r="Q2798" t="s">
        <v>61</v>
      </c>
    </row>
    <row r="2799" spans="1:17" x14ac:dyDescent="0.2">
      <c r="A2799" t="s">
        <v>2964</v>
      </c>
      <c r="B2799" s="1">
        <v>45999</v>
      </c>
      <c r="C2799" t="s">
        <v>36</v>
      </c>
      <c r="D2799" t="s">
        <v>110</v>
      </c>
      <c r="E2799" t="s">
        <v>111</v>
      </c>
      <c r="F2799" t="s">
        <v>39</v>
      </c>
      <c r="G2799" t="s">
        <v>75</v>
      </c>
      <c r="H2799" t="s">
        <v>47</v>
      </c>
      <c r="I2799" t="s">
        <v>89</v>
      </c>
      <c r="J2799" t="s">
        <v>240</v>
      </c>
      <c r="K2799">
        <v>4</v>
      </c>
      <c r="L2799" s="2">
        <v>171.39</v>
      </c>
      <c r="M2799" s="3">
        <v>0</v>
      </c>
      <c r="N2799" s="2">
        <v>685.56</v>
      </c>
      <c r="O2799" s="2">
        <v>419.41</v>
      </c>
      <c r="P2799" s="2">
        <v>266.14999999999998</v>
      </c>
      <c r="Q2799" t="s">
        <v>61</v>
      </c>
    </row>
    <row r="2800" spans="1:17" x14ac:dyDescent="0.2">
      <c r="A2800" t="s">
        <v>2965</v>
      </c>
      <c r="B2800" s="1">
        <v>45999</v>
      </c>
      <c r="C2800" t="s">
        <v>43</v>
      </c>
      <c r="D2800" t="s">
        <v>161</v>
      </c>
      <c r="E2800" t="s">
        <v>418</v>
      </c>
      <c r="F2800" t="s">
        <v>60</v>
      </c>
      <c r="G2800" t="s">
        <v>75</v>
      </c>
      <c r="H2800" t="s">
        <v>47</v>
      </c>
      <c r="I2800" t="s">
        <v>97</v>
      </c>
      <c r="J2800" t="s">
        <v>168</v>
      </c>
      <c r="K2800">
        <v>3</v>
      </c>
      <c r="L2800" s="2">
        <v>322.8</v>
      </c>
      <c r="M2800" s="3">
        <v>0</v>
      </c>
      <c r="N2800" s="2">
        <v>968.4</v>
      </c>
      <c r="O2800" s="2">
        <v>694.24</v>
      </c>
      <c r="P2800" s="2">
        <v>274.16000000000003</v>
      </c>
      <c r="Q2800" t="s">
        <v>57</v>
      </c>
    </row>
    <row r="2801" spans="1:17" x14ac:dyDescent="0.2">
      <c r="A2801" t="s">
        <v>2966</v>
      </c>
      <c r="B2801" s="1">
        <v>46000</v>
      </c>
      <c r="C2801" t="s">
        <v>18</v>
      </c>
      <c r="D2801" t="s">
        <v>19</v>
      </c>
      <c r="E2801" t="s">
        <v>118</v>
      </c>
      <c r="F2801" t="s">
        <v>21</v>
      </c>
      <c r="G2801" t="s">
        <v>22</v>
      </c>
      <c r="H2801" t="s">
        <v>23</v>
      </c>
      <c r="I2801" t="s">
        <v>79</v>
      </c>
      <c r="J2801" t="s">
        <v>80</v>
      </c>
      <c r="K2801">
        <v>5</v>
      </c>
      <c r="L2801" s="2">
        <v>465.15</v>
      </c>
      <c r="M2801" s="3">
        <v>0.05</v>
      </c>
      <c r="N2801" s="2">
        <v>2209.46</v>
      </c>
      <c r="O2801" s="2">
        <v>1628.34</v>
      </c>
      <c r="P2801" s="2">
        <v>581.12</v>
      </c>
      <c r="Q2801" t="s">
        <v>34</v>
      </c>
    </row>
    <row r="2802" spans="1:17" x14ac:dyDescent="0.2">
      <c r="A2802" t="s">
        <v>2967</v>
      </c>
      <c r="B2802" s="1">
        <v>46000</v>
      </c>
      <c r="C2802" t="s">
        <v>18</v>
      </c>
      <c r="D2802" t="s">
        <v>86</v>
      </c>
      <c r="E2802" t="s">
        <v>140</v>
      </c>
      <c r="F2802" t="s">
        <v>21</v>
      </c>
      <c r="G2802" t="s">
        <v>22</v>
      </c>
      <c r="H2802" t="s">
        <v>31</v>
      </c>
      <c r="I2802" t="s">
        <v>64</v>
      </c>
      <c r="J2802" t="s">
        <v>65</v>
      </c>
      <c r="K2802">
        <v>4</v>
      </c>
      <c r="L2802" s="2">
        <v>144.63999999999999</v>
      </c>
      <c r="M2802" s="3">
        <v>0.1</v>
      </c>
      <c r="N2802" s="2">
        <v>520.70000000000005</v>
      </c>
      <c r="O2802" s="2">
        <v>327.33</v>
      </c>
      <c r="P2802" s="2">
        <v>193.37</v>
      </c>
      <c r="Q2802" t="s">
        <v>34</v>
      </c>
    </row>
    <row r="2803" spans="1:17" x14ac:dyDescent="0.2">
      <c r="A2803" t="s">
        <v>2968</v>
      </c>
      <c r="B2803" s="1">
        <v>46000</v>
      </c>
      <c r="C2803" t="s">
        <v>18</v>
      </c>
      <c r="D2803" t="s">
        <v>133</v>
      </c>
      <c r="E2803" t="s">
        <v>197</v>
      </c>
      <c r="F2803" t="s">
        <v>46</v>
      </c>
      <c r="G2803" t="s">
        <v>54</v>
      </c>
      <c r="H2803" t="s">
        <v>31</v>
      </c>
      <c r="I2803" t="s">
        <v>40</v>
      </c>
      <c r="J2803" t="s">
        <v>122</v>
      </c>
      <c r="K2803">
        <v>10</v>
      </c>
      <c r="L2803" s="2">
        <v>244.75</v>
      </c>
      <c r="M2803" s="3">
        <v>0</v>
      </c>
      <c r="N2803" s="2">
        <v>2447.5</v>
      </c>
      <c r="O2803" s="2">
        <v>1359.97</v>
      </c>
      <c r="P2803" s="2">
        <v>1087.53</v>
      </c>
      <c r="Q2803" t="s">
        <v>61</v>
      </c>
    </row>
    <row r="2804" spans="1:17" x14ac:dyDescent="0.2">
      <c r="A2804" t="s">
        <v>2969</v>
      </c>
      <c r="B2804" s="1">
        <v>46000</v>
      </c>
      <c r="C2804" t="s">
        <v>36</v>
      </c>
      <c r="D2804" t="s">
        <v>110</v>
      </c>
      <c r="E2804" t="s">
        <v>203</v>
      </c>
      <c r="F2804" t="s">
        <v>69</v>
      </c>
      <c r="G2804" t="s">
        <v>75</v>
      </c>
      <c r="H2804" t="s">
        <v>31</v>
      </c>
      <c r="I2804" t="s">
        <v>32</v>
      </c>
      <c r="J2804" t="s">
        <v>104</v>
      </c>
      <c r="K2804">
        <v>3</v>
      </c>
      <c r="L2804" s="2">
        <v>1135.5999999999999</v>
      </c>
      <c r="M2804" s="3">
        <v>0.1</v>
      </c>
      <c r="N2804" s="2">
        <v>3066.12</v>
      </c>
      <c r="O2804" s="2">
        <v>1978.17</v>
      </c>
      <c r="P2804" s="2">
        <v>1087.95</v>
      </c>
      <c r="Q2804" t="s">
        <v>61</v>
      </c>
    </row>
    <row r="2805" spans="1:17" x14ac:dyDescent="0.2">
      <c r="A2805" t="s">
        <v>2970</v>
      </c>
      <c r="B2805" s="1">
        <v>46000</v>
      </c>
      <c r="C2805" t="s">
        <v>43</v>
      </c>
      <c r="D2805" t="s">
        <v>51</v>
      </c>
      <c r="E2805" t="s">
        <v>52</v>
      </c>
      <c r="F2805" t="s">
        <v>69</v>
      </c>
      <c r="G2805" t="s">
        <v>22</v>
      </c>
      <c r="H2805" t="s">
        <v>23</v>
      </c>
      <c r="I2805" t="s">
        <v>79</v>
      </c>
      <c r="J2805" t="s">
        <v>233</v>
      </c>
      <c r="K2805">
        <v>3</v>
      </c>
      <c r="L2805" s="2">
        <v>591.79</v>
      </c>
      <c r="M2805" s="3">
        <v>0.1</v>
      </c>
      <c r="N2805" s="2">
        <v>1597.83</v>
      </c>
      <c r="O2805" s="2">
        <v>900.03</v>
      </c>
      <c r="P2805" s="2">
        <v>697.8</v>
      </c>
      <c r="Q2805" t="s">
        <v>26</v>
      </c>
    </row>
    <row r="2806" spans="1:17" x14ac:dyDescent="0.2">
      <c r="A2806" t="s">
        <v>2971</v>
      </c>
      <c r="B2806" s="1">
        <v>46000</v>
      </c>
      <c r="C2806" t="s">
        <v>43</v>
      </c>
      <c r="D2806" t="s">
        <v>208</v>
      </c>
      <c r="E2806" t="s">
        <v>209</v>
      </c>
      <c r="F2806" t="s">
        <v>138</v>
      </c>
      <c r="G2806" t="s">
        <v>54</v>
      </c>
      <c r="H2806" t="s">
        <v>31</v>
      </c>
      <c r="I2806" t="s">
        <v>40</v>
      </c>
      <c r="J2806" t="s">
        <v>41</v>
      </c>
      <c r="K2806">
        <v>7</v>
      </c>
      <c r="L2806" s="2">
        <v>174.61</v>
      </c>
      <c r="M2806" s="3">
        <v>0.05</v>
      </c>
      <c r="N2806" s="2">
        <v>1161.1600000000001</v>
      </c>
      <c r="O2806" s="2">
        <v>718.62</v>
      </c>
      <c r="P2806" s="2">
        <v>442.54</v>
      </c>
      <c r="Q2806" t="s">
        <v>57</v>
      </c>
    </row>
    <row r="2807" spans="1:17" x14ac:dyDescent="0.2">
      <c r="A2807" t="s">
        <v>2972</v>
      </c>
      <c r="B2807" s="1">
        <v>46000</v>
      </c>
      <c r="C2807" t="s">
        <v>77</v>
      </c>
      <c r="D2807" t="s">
        <v>95</v>
      </c>
      <c r="E2807" t="s">
        <v>96</v>
      </c>
      <c r="F2807" t="s">
        <v>130</v>
      </c>
      <c r="G2807" t="s">
        <v>54</v>
      </c>
      <c r="H2807" t="s">
        <v>23</v>
      </c>
      <c r="I2807" t="s">
        <v>24</v>
      </c>
      <c r="J2807" t="s">
        <v>25</v>
      </c>
      <c r="K2807">
        <v>1</v>
      </c>
      <c r="L2807" s="2">
        <v>10.39</v>
      </c>
      <c r="M2807" s="3">
        <v>0.05</v>
      </c>
      <c r="N2807" s="2">
        <v>9.8699999999999992</v>
      </c>
      <c r="O2807" s="2">
        <v>7.53</v>
      </c>
      <c r="P2807" s="2">
        <v>2.34</v>
      </c>
      <c r="Q2807" t="s">
        <v>61</v>
      </c>
    </row>
    <row r="2808" spans="1:17" x14ac:dyDescent="0.2">
      <c r="A2808" t="s">
        <v>2973</v>
      </c>
      <c r="B2808" s="1">
        <v>46000</v>
      </c>
      <c r="C2808" t="s">
        <v>36</v>
      </c>
      <c r="D2808" t="s">
        <v>110</v>
      </c>
      <c r="E2808" t="s">
        <v>203</v>
      </c>
      <c r="F2808" t="s">
        <v>21</v>
      </c>
      <c r="G2808" t="s">
        <v>22</v>
      </c>
      <c r="H2808" t="s">
        <v>31</v>
      </c>
      <c r="I2808" t="s">
        <v>40</v>
      </c>
      <c r="J2808" t="s">
        <v>122</v>
      </c>
      <c r="K2808">
        <v>8</v>
      </c>
      <c r="L2808" s="2">
        <v>194.65</v>
      </c>
      <c r="M2808" s="3">
        <v>0.15</v>
      </c>
      <c r="N2808" s="2">
        <v>1323.62</v>
      </c>
      <c r="O2808" s="2">
        <v>823.34</v>
      </c>
      <c r="P2808" s="2">
        <v>500.28</v>
      </c>
      <c r="Q2808" t="s">
        <v>61</v>
      </c>
    </row>
    <row r="2809" spans="1:17" x14ac:dyDescent="0.2">
      <c r="A2809" t="s">
        <v>2974</v>
      </c>
      <c r="B2809" s="1">
        <v>46000</v>
      </c>
      <c r="C2809" t="s">
        <v>43</v>
      </c>
      <c r="D2809" t="s">
        <v>51</v>
      </c>
      <c r="E2809" t="s">
        <v>63</v>
      </c>
      <c r="F2809" t="s">
        <v>46</v>
      </c>
      <c r="G2809" t="s">
        <v>22</v>
      </c>
      <c r="H2809" t="s">
        <v>47</v>
      </c>
      <c r="I2809" t="s">
        <v>141</v>
      </c>
      <c r="J2809" t="s">
        <v>142</v>
      </c>
      <c r="K2809">
        <v>4</v>
      </c>
      <c r="L2809" s="2">
        <v>360.89</v>
      </c>
      <c r="M2809" s="3">
        <v>0</v>
      </c>
      <c r="N2809" s="2">
        <v>1443.56</v>
      </c>
      <c r="O2809" s="2">
        <v>1144.04</v>
      </c>
      <c r="P2809" s="2">
        <v>299.52</v>
      </c>
      <c r="Q2809" t="s">
        <v>57</v>
      </c>
    </row>
    <row r="2810" spans="1:17" x14ac:dyDescent="0.2">
      <c r="A2810" t="s">
        <v>2975</v>
      </c>
      <c r="B2810" s="1">
        <v>46001</v>
      </c>
      <c r="C2810" t="s">
        <v>36</v>
      </c>
      <c r="D2810" t="s">
        <v>67</v>
      </c>
      <c r="E2810" t="s">
        <v>323</v>
      </c>
      <c r="F2810" t="s">
        <v>21</v>
      </c>
      <c r="G2810" t="s">
        <v>75</v>
      </c>
      <c r="H2810" t="s">
        <v>31</v>
      </c>
      <c r="I2810" t="s">
        <v>32</v>
      </c>
      <c r="J2810" t="s">
        <v>258</v>
      </c>
      <c r="K2810">
        <v>7</v>
      </c>
      <c r="L2810" s="2">
        <v>1613.37</v>
      </c>
      <c r="M2810" s="3">
        <v>0.05</v>
      </c>
      <c r="N2810" s="2">
        <v>10728.91</v>
      </c>
      <c r="O2810" s="2">
        <v>8458.8799999999992</v>
      </c>
      <c r="P2810" s="2">
        <v>2270.0300000000002</v>
      </c>
      <c r="Q2810" t="s">
        <v>26</v>
      </c>
    </row>
    <row r="2811" spans="1:17" x14ac:dyDescent="0.2">
      <c r="A2811" t="s">
        <v>2976</v>
      </c>
      <c r="B2811" s="1">
        <v>46001</v>
      </c>
      <c r="C2811" t="s">
        <v>36</v>
      </c>
      <c r="D2811" t="s">
        <v>110</v>
      </c>
      <c r="E2811" t="s">
        <v>115</v>
      </c>
      <c r="F2811" t="s">
        <v>138</v>
      </c>
      <c r="G2811" t="s">
        <v>22</v>
      </c>
      <c r="H2811" t="s">
        <v>31</v>
      </c>
      <c r="I2811" t="s">
        <v>40</v>
      </c>
      <c r="J2811" t="s">
        <v>216</v>
      </c>
      <c r="K2811">
        <v>1</v>
      </c>
      <c r="L2811" s="2">
        <v>132</v>
      </c>
      <c r="M2811" s="3">
        <v>0.05</v>
      </c>
      <c r="N2811" s="2">
        <v>125.4</v>
      </c>
      <c r="O2811" s="2">
        <v>100.38</v>
      </c>
      <c r="P2811" s="2">
        <v>25.02</v>
      </c>
      <c r="Q2811" t="s">
        <v>26</v>
      </c>
    </row>
    <row r="2812" spans="1:17" x14ac:dyDescent="0.2">
      <c r="A2812" t="s">
        <v>2977</v>
      </c>
      <c r="B2812" s="1">
        <v>46001</v>
      </c>
      <c r="C2812" t="s">
        <v>36</v>
      </c>
      <c r="D2812" t="s">
        <v>110</v>
      </c>
      <c r="E2812" t="s">
        <v>115</v>
      </c>
      <c r="F2812" t="s">
        <v>53</v>
      </c>
      <c r="G2812" t="s">
        <v>75</v>
      </c>
      <c r="H2812" t="s">
        <v>23</v>
      </c>
      <c r="I2812" t="s">
        <v>83</v>
      </c>
      <c r="J2812" t="s">
        <v>131</v>
      </c>
      <c r="K2812">
        <v>4</v>
      </c>
      <c r="L2812" s="2">
        <v>32.18</v>
      </c>
      <c r="M2812" s="3">
        <v>0.1</v>
      </c>
      <c r="N2812" s="2">
        <v>115.85</v>
      </c>
      <c r="O2812" s="2">
        <v>83.28</v>
      </c>
      <c r="P2812" s="2">
        <v>32.57</v>
      </c>
      <c r="Q2812" t="s">
        <v>61</v>
      </c>
    </row>
    <row r="2813" spans="1:17" x14ac:dyDescent="0.2">
      <c r="A2813" t="s">
        <v>2978</v>
      </c>
      <c r="B2813" s="1">
        <v>46001</v>
      </c>
      <c r="C2813" t="s">
        <v>18</v>
      </c>
      <c r="D2813" t="s">
        <v>19</v>
      </c>
      <c r="E2813" t="s">
        <v>118</v>
      </c>
      <c r="F2813" t="s">
        <v>60</v>
      </c>
      <c r="G2813" t="s">
        <v>75</v>
      </c>
      <c r="H2813" t="s">
        <v>23</v>
      </c>
      <c r="I2813" t="s">
        <v>83</v>
      </c>
      <c r="J2813" t="s">
        <v>84</v>
      </c>
      <c r="K2813">
        <v>9</v>
      </c>
      <c r="L2813" s="2">
        <v>16.48</v>
      </c>
      <c r="M2813" s="3">
        <v>0.15</v>
      </c>
      <c r="N2813" s="2">
        <v>126.07</v>
      </c>
      <c r="O2813" s="2">
        <v>77.680000000000007</v>
      </c>
      <c r="P2813" s="2">
        <v>48.39</v>
      </c>
      <c r="Q2813" t="s">
        <v>34</v>
      </c>
    </row>
    <row r="2814" spans="1:17" x14ac:dyDescent="0.2">
      <c r="A2814" t="s">
        <v>2979</v>
      </c>
      <c r="B2814" s="1">
        <v>46001</v>
      </c>
      <c r="C2814" t="s">
        <v>18</v>
      </c>
      <c r="D2814" t="s">
        <v>152</v>
      </c>
      <c r="E2814" t="s">
        <v>166</v>
      </c>
      <c r="F2814" t="s">
        <v>21</v>
      </c>
      <c r="G2814" t="s">
        <v>22</v>
      </c>
      <c r="H2814" t="s">
        <v>23</v>
      </c>
      <c r="I2814" t="s">
        <v>79</v>
      </c>
      <c r="J2814" t="s">
        <v>179</v>
      </c>
      <c r="K2814">
        <v>6</v>
      </c>
      <c r="L2814" s="2">
        <v>411.79</v>
      </c>
      <c r="M2814" s="3">
        <v>0.15</v>
      </c>
      <c r="N2814" s="2">
        <v>2100.13</v>
      </c>
      <c r="O2814" s="2">
        <v>1428.68</v>
      </c>
      <c r="P2814" s="2">
        <v>671.45</v>
      </c>
      <c r="Q2814" t="s">
        <v>26</v>
      </c>
    </row>
    <row r="2815" spans="1:17" x14ac:dyDescent="0.2">
      <c r="A2815" t="s">
        <v>2980</v>
      </c>
      <c r="B2815" s="1">
        <v>46001</v>
      </c>
      <c r="C2815" t="s">
        <v>77</v>
      </c>
      <c r="D2815" t="s">
        <v>128</v>
      </c>
      <c r="E2815" t="s">
        <v>159</v>
      </c>
      <c r="F2815" t="s">
        <v>21</v>
      </c>
      <c r="G2815" t="s">
        <v>75</v>
      </c>
      <c r="H2815" t="s">
        <v>31</v>
      </c>
      <c r="I2815" t="s">
        <v>112</v>
      </c>
      <c r="J2815" t="s">
        <v>136</v>
      </c>
      <c r="K2815">
        <v>7</v>
      </c>
      <c r="L2815" s="2">
        <v>558.4</v>
      </c>
      <c r="M2815" s="3">
        <v>0.2</v>
      </c>
      <c r="N2815" s="2">
        <v>3127.04</v>
      </c>
      <c r="O2815" s="2">
        <v>2315.66</v>
      </c>
      <c r="P2815" s="2">
        <v>811.38</v>
      </c>
      <c r="Q2815" t="s">
        <v>34</v>
      </c>
    </row>
    <row r="2816" spans="1:17" x14ac:dyDescent="0.2">
      <c r="A2816" t="s">
        <v>2981</v>
      </c>
      <c r="B2816" s="1">
        <v>46001</v>
      </c>
      <c r="C2816" t="s">
        <v>36</v>
      </c>
      <c r="D2816" t="s">
        <v>67</v>
      </c>
      <c r="E2816" t="s">
        <v>68</v>
      </c>
      <c r="F2816" t="s">
        <v>30</v>
      </c>
      <c r="G2816" t="s">
        <v>22</v>
      </c>
      <c r="H2816" t="s">
        <v>47</v>
      </c>
      <c r="I2816" t="s">
        <v>141</v>
      </c>
      <c r="J2816" t="s">
        <v>372</v>
      </c>
      <c r="K2816">
        <v>10</v>
      </c>
      <c r="L2816" s="2">
        <v>213.98</v>
      </c>
      <c r="M2816" s="3">
        <v>0</v>
      </c>
      <c r="N2816" s="2">
        <v>2139.8000000000002</v>
      </c>
      <c r="O2816" s="2">
        <v>1328.55</v>
      </c>
      <c r="P2816" s="2">
        <v>811.25</v>
      </c>
      <c r="Q2816" t="s">
        <v>57</v>
      </c>
    </row>
    <row r="2817" spans="1:17" x14ac:dyDescent="0.2">
      <c r="A2817" t="s">
        <v>2982</v>
      </c>
      <c r="B2817" s="1">
        <v>46001</v>
      </c>
      <c r="C2817" t="s">
        <v>36</v>
      </c>
      <c r="D2817" t="s">
        <v>67</v>
      </c>
      <c r="E2817" t="s">
        <v>323</v>
      </c>
      <c r="F2817" t="s">
        <v>130</v>
      </c>
      <c r="G2817" t="s">
        <v>75</v>
      </c>
      <c r="H2817" t="s">
        <v>23</v>
      </c>
      <c r="I2817" t="s">
        <v>24</v>
      </c>
      <c r="J2817" t="s">
        <v>220</v>
      </c>
      <c r="K2817">
        <v>5</v>
      </c>
      <c r="L2817" s="2">
        <v>13.08</v>
      </c>
      <c r="M2817" s="3">
        <v>0</v>
      </c>
      <c r="N2817" s="2">
        <v>65.400000000000006</v>
      </c>
      <c r="O2817" s="2">
        <v>41.07</v>
      </c>
      <c r="P2817" s="2">
        <v>24.33</v>
      </c>
      <c r="Q2817" t="s">
        <v>61</v>
      </c>
    </row>
    <row r="2818" spans="1:17" x14ac:dyDescent="0.2">
      <c r="A2818" t="s">
        <v>2983</v>
      </c>
      <c r="B2818" s="1">
        <v>46002</v>
      </c>
      <c r="C2818" t="s">
        <v>43</v>
      </c>
      <c r="D2818" t="s">
        <v>51</v>
      </c>
      <c r="E2818" t="s">
        <v>52</v>
      </c>
      <c r="F2818" t="s">
        <v>39</v>
      </c>
      <c r="G2818" t="s">
        <v>22</v>
      </c>
      <c r="H2818" t="s">
        <v>23</v>
      </c>
      <c r="I2818" t="s">
        <v>24</v>
      </c>
      <c r="J2818" t="s">
        <v>108</v>
      </c>
      <c r="K2818">
        <v>4</v>
      </c>
      <c r="L2818" s="2">
        <v>24.09</v>
      </c>
      <c r="M2818" s="3">
        <v>0.1</v>
      </c>
      <c r="N2818" s="2">
        <v>86.72</v>
      </c>
      <c r="O2818" s="2">
        <v>48.32</v>
      </c>
      <c r="P2818" s="2">
        <v>38.4</v>
      </c>
      <c r="Q2818" t="s">
        <v>26</v>
      </c>
    </row>
    <row r="2819" spans="1:17" x14ac:dyDescent="0.2">
      <c r="A2819" t="s">
        <v>2984</v>
      </c>
      <c r="B2819" s="1">
        <v>46002</v>
      </c>
      <c r="C2819" t="s">
        <v>77</v>
      </c>
      <c r="D2819" t="s">
        <v>106</v>
      </c>
      <c r="E2819" t="s">
        <v>107</v>
      </c>
      <c r="F2819" t="s">
        <v>71</v>
      </c>
      <c r="G2819" t="s">
        <v>75</v>
      </c>
      <c r="H2819" t="s">
        <v>31</v>
      </c>
      <c r="I2819" t="s">
        <v>112</v>
      </c>
      <c r="J2819" t="s">
        <v>176</v>
      </c>
      <c r="K2819">
        <v>9</v>
      </c>
      <c r="L2819" s="2">
        <v>337.93</v>
      </c>
      <c r="M2819" s="3">
        <v>0</v>
      </c>
      <c r="N2819" s="2">
        <v>3041.37</v>
      </c>
      <c r="O2819" s="2">
        <v>2268.08</v>
      </c>
      <c r="P2819" s="2">
        <v>773.29</v>
      </c>
      <c r="Q2819" t="s">
        <v>61</v>
      </c>
    </row>
    <row r="2820" spans="1:17" x14ac:dyDescent="0.2">
      <c r="A2820" t="s">
        <v>2985</v>
      </c>
      <c r="B2820" s="1">
        <v>46002</v>
      </c>
      <c r="C2820" t="s">
        <v>43</v>
      </c>
      <c r="D2820" t="s">
        <v>44</v>
      </c>
      <c r="E2820" t="s">
        <v>45</v>
      </c>
      <c r="F2820" t="s">
        <v>46</v>
      </c>
      <c r="G2820" t="s">
        <v>22</v>
      </c>
      <c r="H2820" t="s">
        <v>31</v>
      </c>
      <c r="I2820" t="s">
        <v>40</v>
      </c>
      <c r="J2820" t="s">
        <v>41</v>
      </c>
      <c r="K2820">
        <v>4</v>
      </c>
      <c r="L2820" s="2">
        <v>59.93</v>
      </c>
      <c r="M2820" s="3">
        <v>0</v>
      </c>
      <c r="N2820" s="2">
        <v>239.72</v>
      </c>
      <c r="O2820" s="2">
        <v>185.79</v>
      </c>
      <c r="P2820" s="2">
        <v>53.93</v>
      </c>
      <c r="Q2820" t="s">
        <v>61</v>
      </c>
    </row>
    <row r="2821" spans="1:17" x14ac:dyDescent="0.2">
      <c r="A2821" t="s">
        <v>2986</v>
      </c>
      <c r="B2821" s="1">
        <v>46002</v>
      </c>
      <c r="C2821" t="s">
        <v>43</v>
      </c>
      <c r="D2821" t="s">
        <v>244</v>
      </c>
      <c r="E2821" t="s">
        <v>245</v>
      </c>
      <c r="F2821" t="s">
        <v>60</v>
      </c>
      <c r="G2821" t="s">
        <v>75</v>
      </c>
      <c r="H2821" t="s">
        <v>23</v>
      </c>
      <c r="I2821" t="s">
        <v>79</v>
      </c>
      <c r="J2821" t="s">
        <v>80</v>
      </c>
      <c r="K2821">
        <v>2</v>
      </c>
      <c r="L2821" s="2">
        <v>538.98</v>
      </c>
      <c r="M2821" s="3">
        <v>0.05</v>
      </c>
      <c r="N2821" s="2">
        <v>1024.06</v>
      </c>
      <c r="O2821" s="2">
        <v>693.88</v>
      </c>
      <c r="P2821" s="2">
        <v>330.18</v>
      </c>
      <c r="Q2821" t="s">
        <v>26</v>
      </c>
    </row>
    <row r="2822" spans="1:17" x14ac:dyDescent="0.2">
      <c r="A2822" t="s">
        <v>2987</v>
      </c>
      <c r="B2822" s="1">
        <v>46002</v>
      </c>
      <c r="C2822" t="s">
        <v>43</v>
      </c>
      <c r="D2822" t="s">
        <v>51</v>
      </c>
      <c r="E2822" t="s">
        <v>59</v>
      </c>
      <c r="F2822" t="s">
        <v>30</v>
      </c>
      <c r="G2822" t="s">
        <v>22</v>
      </c>
      <c r="H2822" t="s">
        <v>31</v>
      </c>
      <c r="I2822" t="s">
        <v>64</v>
      </c>
      <c r="J2822" t="s">
        <v>126</v>
      </c>
      <c r="K2822">
        <v>4</v>
      </c>
      <c r="L2822" s="2">
        <v>112.99</v>
      </c>
      <c r="M2822" s="3">
        <v>0.15</v>
      </c>
      <c r="N2822" s="2">
        <v>384.17</v>
      </c>
      <c r="O2822" s="2">
        <v>228.51</v>
      </c>
      <c r="P2822" s="2">
        <v>155.66</v>
      </c>
      <c r="Q2822" t="s">
        <v>61</v>
      </c>
    </row>
    <row r="2823" spans="1:17" x14ac:dyDescent="0.2">
      <c r="A2823" t="s">
        <v>2988</v>
      </c>
      <c r="B2823" s="1">
        <v>46002</v>
      </c>
      <c r="C2823" t="s">
        <v>36</v>
      </c>
      <c r="D2823" t="s">
        <v>144</v>
      </c>
      <c r="E2823" t="s">
        <v>214</v>
      </c>
      <c r="F2823" t="s">
        <v>138</v>
      </c>
      <c r="G2823" t="s">
        <v>54</v>
      </c>
      <c r="H2823" t="s">
        <v>23</v>
      </c>
      <c r="I2823" t="s">
        <v>24</v>
      </c>
      <c r="J2823" t="s">
        <v>25</v>
      </c>
      <c r="K2823">
        <v>1</v>
      </c>
      <c r="L2823" s="2">
        <v>22.91</v>
      </c>
      <c r="M2823" s="3">
        <v>0.1</v>
      </c>
      <c r="N2823" s="2">
        <v>20.62</v>
      </c>
      <c r="O2823" s="2">
        <v>12.48</v>
      </c>
      <c r="P2823" s="2">
        <v>8.14</v>
      </c>
      <c r="Q2823" t="s">
        <v>34</v>
      </c>
    </row>
    <row r="2824" spans="1:17" x14ac:dyDescent="0.2">
      <c r="A2824" t="s">
        <v>2989</v>
      </c>
      <c r="B2824" s="1">
        <v>46002</v>
      </c>
      <c r="C2824" t="s">
        <v>36</v>
      </c>
      <c r="D2824" t="s">
        <v>110</v>
      </c>
      <c r="E2824" t="s">
        <v>111</v>
      </c>
      <c r="F2824" t="s">
        <v>60</v>
      </c>
      <c r="G2824" t="s">
        <v>75</v>
      </c>
      <c r="H2824" t="s">
        <v>31</v>
      </c>
      <c r="I2824" t="s">
        <v>32</v>
      </c>
      <c r="J2824" t="s">
        <v>258</v>
      </c>
      <c r="K2824">
        <v>10</v>
      </c>
      <c r="L2824" s="2">
        <v>887.81</v>
      </c>
      <c r="M2824" s="3">
        <v>0.1</v>
      </c>
      <c r="N2824" s="2">
        <v>7990.29</v>
      </c>
      <c r="O2824" s="2">
        <v>5077.34</v>
      </c>
      <c r="P2824" s="2">
        <v>2912.95</v>
      </c>
      <c r="Q2824" t="s">
        <v>57</v>
      </c>
    </row>
    <row r="2825" spans="1:17" x14ac:dyDescent="0.2">
      <c r="A2825" t="s">
        <v>2990</v>
      </c>
      <c r="B2825" s="1">
        <v>46002</v>
      </c>
      <c r="C2825" t="s">
        <v>43</v>
      </c>
      <c r="D2825" t="s">
        <v>208</v>
      </c>
      <c r="E2825" t="s">
        <v>209</v>
      </c>
      <c r="F2825" t="s">
        <v>69</v>
      </c>
      <c r="G2825" t="s">
        <v>54</v>
      </c>
      <c r="H2825" t="s">
        <v>31</v>
      </c>
      <c r="I2825" t="s">
        <v>112</v>
      </c>
      <c r="J2825" t="s">
        <v>176</v>
      </c>
      <c r="K2825">
        <v>5</v>
      </c>
      <c r="L2825" s="2">
        <v>611.97</v>
      </c>
      <c r="M2825" s="3">
        <v>0.1</v>
      </c>
      <c r="N2825" s="2">
        <v>2753.86</v>
      </c>
      <c r="O2825" s="2">
        <v>1861.33</v>
      </c>
      <c r="P2825" s="2">
        <v>892.53</v>
      </c>
      <c r="Q2825" t="s">
        <v>26</v>
      </c>
    </row>
    <row r="2826" spans="1:17" x14ac:dyDescent="0.2">
      <c r="A2826" t="s">
        <v>2991</v>
      </c>
      <c r="B2826" s="1">
        <v>46002</v>
      </c>
      <c r="C2826" t="s">
        <v>43</v>
      </c>
      <c r="D2826" t="s">
        <v>244</v>
      </c>
      <c r="E2826" t="s">
        <v>245</v>
      </c>
      <c r="F2826" t="s">
        <v>39</v>
      </c>
      <c r="G2826" t="s">
        <v>54</v>
      </c>
      <c r="H2826" t="s">
        <v>23</v>
      </c>
      <c r="I2826" t="s">
        <v>79</v>
      </c>
      <c r="J2826" t="s">
        <v>179</v>
      </c>
      <c r="K2826">
        <v>1</v>
      </c>
      <c r="L2826" s="2">
        <v>475.2</v>
      </c>
      <c r="M2826" s="3">
        <v>0.2</v>
      </c>
      <c r="N2826" s="2">
        <v>380.16</v>
      </c>
      <c r="O2826" s="2">
        <v>217.62</v>
      </c>
      <c r="P2826" s="2">
        <v>162.54</v>
      </c>
      <c r="Q2826" t="s">
        <v>57</v>
      </c>
    </row>
    <row r="2827" spans="1:17" x14ac:dyDescent="0.2">
      <c r="A2827" t="s">
        <v>2992</v>
      </c>
      <c r="B2827" s="1">
        <v>46002</v>
      </c>
      <c r="C2827" t="s">
        <v>36</v>
      </c>
      <c r="D2827" t="s">
        <v>73</v>
      </c>
      <c r="E2827" t="s">
        <v>247</v>
      </c>
      <c r="F2827" t="s">
        <v>130</v>
      </c>
      <c r="G2827" t="s">
        <v>75</v>
      </c>
      <c r="H2827" t="s">
        <v>31</v>
      </c>
      <c r="I2827" t="s">
        <v>64</v>
      </c>
      <c r="J2827" t="s">
        <v>252</v>
      </c>
      <c r="K2827">
        <v>6</v>
      </c>
      <c r="L2827" s="2">
        <v>104.18</v>
      </c>
      <c r="M2827" s="3">
        <v>0</v>
      </c>
      <c r="N2827" s="2">
        <v>625.08000000000004</v>
      </c>
      <c r="O2827" s="2">
        <v>374.17</v>
      </c>
      <c r="P2827" s="2">
        <v>250.91</v>
      </c>
      <c r="Q2827" t="s">
        <v>26</v>
      </c>
    </row>
    <row r="2828" spans="1:17" x14ac:dyDescent="0.2">
      <c r="A2828" t="s">
        <v>2993</v>
      </c>
      <c r="B2828" s="1">
        <v>46003</v>
      </c>
      <c r="C2828" t="s">
        <v>43</v>
      </c>
      <c r="D2828" t="s">
        <v>208</v>
      </c>
      <c r="E2828" t="s">
        <v>287</v>
      </c>
      <c r="F2828" t="s">
        <v>39</v>
      </c>
      <c r="G2828" t="s">
        <v>22</v>
      </c>
      <c r="H2828" t="s">
        <v>31</v>
      </c>
      <c r="I2828" t="s">
        <v>32</v>
      </c>
      <c r="J2828" t="s">
        <v>33</v>
      </c>
      <c r="K2828">
        <v>1</v>
      </c>
      <c r="L2828" s="2">
        <v>1326.17</v>
      </c>
      <c r="M2828" s="3">
        <v>0.15</v>
      </c>
      <c r="N2828" s="2">
        <v>1127.24</v>
      </c>
      <c r="O2828" s="2">
        <v>720.94</v>
      </c>
      <c r="P2828" s="2">
        <v>406.3</v>
      </c>
      <c r="Q2828" t="s">
        <v>61</v>
      </c>
    </row>
    <row r="2829" spans="1:17" x14ac:dyDescent="0.2">
      <c r="A2829" t="s">
        <v>2994</v>
      </c>
      <c r="B2829" s="1">
        <v>46003</v>
      </c>
      <c r="C2829" t="s">
        <v>36</v>
      </c>
      <c r="D2829" t="s">
        <v>67</v>
      </c>
      <c r="E2829" t="s">
        <v>270</v>
      </c>
      <c r="F2829" t="s">
        <v>21</v>
      </c>
      <c r="G2829" t="s">
        <v>75</v>
      </c>
      <c r="H2829" t="s">
        <v>31</v>
      </c>
      <c r="I2829" t="s">
        <v>40</v>
      </c>
      <c r="J2829" t="s">
        <v>41</v>
      </c>
      <c r="K2829">
        <v>5</v>
      </c>
      <c r="L2829" s="2">
        <v>223.37</v>
      </c>
      <c r="M2829" s="3">
        <v>0.05</v>
      </c>
      <c r="N2829" s="2">
        <v>1061.01</v>
      </c>
      <c r="O2829" s="2">
        <v>744.49</v>
      </c>
      <c r="P2829" s="2">
        <v>316.52</v>
      </c>
      <c r="Q2829" t="s">
        <v>26</v>
      </c>
    </row>
    <row r="2830" spans="1:17" x14ac:dyDescent="0.2">
      <c r="A2830" t="s">
        <v>2995</v>
      </c>
      <c r="B2830" s="1">
        <v>46003</v>
      </c>
      <c r="C2830" t="s">
        <v>18</v>
      </c>
      <c r="D2830" t="s">
        <v>152</v>
      </c>
      <c r="E2830" t="s">
        <v>166</v>
      </c>
      <c r="F2830" t="s">
        <v>30</v>
      </c>
      <c r="G2830" t="s">
        <v>75</v>
      </c>
      <c r="H2830" t="s">
        <v>47</v>
      </c>
      <c r="I2830" t="s">
        <v>48</v>
      </c>
      <c r="J2830" t="s">
        <v>164</v>
      </c>
      <c r="K2830">
        <v>5</v>
      </c>
      <c r="L2830" s="2">
        <v>718.26</v>
      </c>
      <c r="M2830" s="3">
        <v>0</v>
      </c>
      <c r="N2830" s="2">
        <v>3591.3</v>
      </c>
      <c r="O2830" s="2">
        <v>2688.99</v>
      </c>
      <c r="P2830" s="2">
        <v>902.31</v>
      </c>
      <c r="Q2830" t="s">
        <v>57</v>
      </c>
    </row>
    <row r="2831" spans="1:17" x14ac:dyDescent="0.2">
      <c r="A2831" t="s">
        <v>2996</v>
      </c>
      <c r="B2831" s="1">
        <v>46003</v>
      </c>
      <c r="C2831" t="s">
        <v>77</v>
      </c>
      <c r="D2831" t="s">
        <v>128</v>
      </c>
      <c r="E2831" t="s">
        <v>129</v>
      </c>
      <c r="F2831" t="s">
        <v>71</v>
      </c>
      <c r="G2831" t="s">
        <v>22</v>
      </c>
      <c r="H2831" t="s">
        <v>23</v>
      </c>
      <c r="I2831" t="s">
        <v>79</v>
      </c>
      <c r="J2831" t="s">
        <v>179</v>
      </c>
      <c r="K2831">
        <v>8</v>
      </c>
      <c r="L2831" s="2">
        <v>498.11</v>
      </c>
      <c r="M2831" s="3">
        <v>0.05</v>
      </c>
      <c r="N2831" s="2">
        <v>3785.64</v>
      </c>
      <c r="O2831" s="2">
        <v>2388.15</v>
      </c>
      <c r="P2831" s="2">
        <v>1397.49</v>
      </c>
      <c r="Q2831" t="s">
        <v>26</v>
      </c>
    </row>
    <row r="2832" spans="1:17" x14ac:dyDescent="0.2">
      <c r="A2832" t="s">
        <v>2997</v>
      </c>
      <c r="B2832" s="1">
        <v>46003</v>
      </c>
      <c r="C2832" t="s">
        <v>36</v>
      </c>
      <c r="D2832" t="s">
        <v>73</v>
      </c>
      <c r="E2832" t="s">
        <v>74</v>
      </c>
      <c r="F2832" t="s">
        <v>130</v>
      </c>
      <c r="G2832" t="s">
        <v>75</v>
      </c>
      <c r="H2832" t="s">
        <v>23</v>
      </c>
      <c r="I2832" t="s">
        <v>24</v>
      </c>
      <c r="J2832" t="s">
        <v>220</v>
      </c>
      <c r="K2832">
        <v>7</v>
      </c>
      <c r="L2832" s="2">
        <v>10.63</v>
      </c>
      <c r="M2832" s="3">
        <v>0.15</v>
      </c>
      <c r="N2832" s="2">
        <v>63.25</v>
      </c>
      <c r="O2832" s="2">
        <v>36.17</v>
      </c>
      <c r="P2832" s="2">
        <v>27.08</v>
      </c>
      <c r="Q2832" t="s">
        <v>26</v>
      </c>
    </row>
    <row r="2833" spans="1:17" x14ac:dyDescent="0.2">
      <c r="A2833" t="s">
        <v>2998</v>
      </c>
      <c r="B2833" s="1">
        <v>46003</v>
      </c>
      <c r="C2833" t="s">
        <v>77</v>
      </c>
      <c r="D2833" t="s">
        <v>95</v>
      </c>
      <c r="E2833" t="s">
        <v>96</v>
      </c>
      <c r="F2833" t="s">
        <v>30</v>
      </c>
      <c r="G2833" t="s">
        <v>22</v>
      </c>
      <c r="H2833" t="s">
        <v>23</v>
      </c>
      <c r="I2833" t="s">
        <v>55</v>
      </c>
      <c r="J2833" t="s">
        <v>56</v>
      </c>
      <c r="K2833">
        <v>1</v>
      </c>
      <c r="L2833" s="2">
        <v>10.31</v>
      </c>
      <c r="M2833" s="3">
        <v>0.1</v>
      </c>
      <c r="N2833" s="2">
        <v>9.2799999999999994</v>
      </c>
      <c r="O2833" s="2">
        <v>6.51</v>
      </c>
      <c r="P2833" s="2">
        <v>2.77</v>
      </c>
      <c r="Q2833" t="s">
        <v>57</v>
      </c>
    </row>
    <row r="2834" spans="1:17" x14ac:dyDescent="0.2">
      <c r="A2834" t="s">
        <v>2999</v>
      </c>
      <c r="B2834" s="1">
        <v>46003</v>
      </c>
      <c r="C2834" t="s">
        <v>18</v>
      </c>
      <c r="D2834" t="s">
        <v>19</v>
      </c>
      <c r="E2834" t="s">
        <v>118</v>
      </c>
      <c r="F2834" t="s">
        <v>138</v>
      </c>
      <c r="G2834" t="s">
        <v>22</v>
      </c>
      <c r="H2834" t="s">
        <v>31</v>
      </c>
      <c r="I2834" t="s">
        <v>112</v>
      </c>
      <c r="J2834" t="s">
        <v>176</v>
      </c>
      <c r="K2834">
        <v>8</v>
      </c>
      <c r="L2834" s="2">
        <v>229.75</v>
      </c>
      <c r="M2834" s="3">
        <v>0.05</v>
      </c>
      <c r="N2834" s="2">
        <v>1746.1</v>
      </c>
      <c r="O2834" s="2">
        <v>1250.96</v>
      </c>
      <c r="P2834" s="2">
        <v>495.14</v>
      </c>
      <c r="Q2834" t="s">
        <v>26</v>
      </c>
    </row>
    <row r="2835" spans="1:17" x14ac:dyDescent="0.2">
      <c r="A2835" t="s">
        <v>3000</v>
      </c>
      <c r="B2835" s="1">
        <v>46004</v>
      </c>
      <c r="C2835" t="s">
        <v>36</v>
      </c>
      <c r="D2835" t="s">
        <v>144</v>
      </c>
      <c r="E2835" t="s">
        <v>232</v>
      </c>
      <c r="F2835" t="s">
        <v>53</v>
      </c>
      <c r="G2835" t="s">
        <v>75</v>
      </c>
      <c r="H2835" t="s">
        <v>23</v>
      </c>
      <c r="I2835" t="s">
        <v>79</v>
      </c>
      <c r="J2835" t="s">
        <v>179</v>
      </c>
      <c r="K2835">
        <v>4</v>
      </c>
      <c r="L2835" s="2">
        <v>401.95</v>
      </c>
      <c r="M2835" s="3">
        <v>0.1</v>
      </c>
      <c r="N2835" s="2">
        <v>1447.02</v>
      </c>
      <c r="O2835" s="2">
        <v>1038.1500000000001</v>
      </c>
      <c r="P2835" s="2">
        <v>408.87</v>
      </c>
      <c r="Q2835" t="s">
        <v>57</v>
      </c>
    </row>
    <row r="2836" spans="1:17" x14ac:dyDescent="0.2">
      <c r="A2836" t="s">
        <v>3001</v>
      </c>
      <c r="B2836" s="1">
        <v>46004</v>
      </c>
      <c r="C2836" t="s">
        <v>77</v>
      </c>
      <c r="D2836" t="s">
        <v>149</v>
      </c>
      <c r="E2836" t="s">
        <v>309</v>
      </c>
      <c r="F2836" t="s">
        <v>69</v>
      </c>
      <c r="G2836" t="s">
        <v>54</v>
      </c>
      <c r="H2836" t="s">
        <v>23</v>
      </c>
      <c r="I2836" t="s">
        <v>24</v>
      </c>
      <c r="J2836" t="s">
        <v>108</v>
      </c>
      <c r="K2836">
        <v>6</v>
      </c>
      <c r="L2836" s="2">
        <v>20.45</v>
      </c>
      <c r="M2836" s="3">
        <v>0.1</v>
      </c>
      <c r="N2836" s="2">
        <v>110.43</v>
      </c>
      <c r="O2836" s="2">
        <v>85.1</v>
      </c>
      <c r="P2836" s="2">
        <v>25.33</v>
      </c>
      <c r="Q2836" t="s">
        <v>61</v>
      </c>
    </row>
    <row r="2837" spans="1:17" x14ac:dyDescent="0.2">
      <c r="A2837" t="s">
        <v>3002</v>
      </c>
      <c r="B2837" s="1">
        <v>46004</v>
      </c>
      <c r="C2837" t="s">
        <v>18</v>
      </c>
      <c r="D2837" t="s">
        <v>86</v>
      </c>
      <c r="E2837" t="s">
        <v>87</v>
      </c>
      <c r="F2837" t="s">
        <v>69</v>
      </c>
      <c r="G2837" t="s">
        <v>75</v>
      </c>
      <c r="H2837" t="s">
        <v>47</v>
      </c>
      <c r="I2837" t="s">
        <v>141</v>
      </c>
      <c r="J2837" t="s">
        <v>372</v>
      </c>
      <c r="K2837">
        <v>1</v>
      </c>
      <c r="L2837" s="2">
        <v>653.77</v>
      </c>
      <c r="M2837" s="3">
        <v>0.15</v>
      </c>
      <c r="N2837" s="2">
        <v>555.70000000000005</v>
      </c>
      <c r="O2837" s="2">
        <v>326.38</v>
      </c>
      <c r="P2837" s="2">
        <v>229.32</v>
      </c>
      <c r="Q2837" t="s">
        <v>34</v>
      </c>
    </row>
    <row r="2838" spans="1:17" x14ac:dyDescent="0.2">
      <c r="A2838" t="s">
        <v>3003</v>
      </c>
      <c r="B2838" s="1">
        <v>46004</v>
      </c>
      <c r="C2838" t="s">
        <v>36</v>
      </c>
      <c r="D2838" t="s">
        <v>37</v>
      </c>
      <c r="E2838" t="s">
        <v>255</v>
      </c>
      <c r="F2838" t="s">
        <v>60</v>
      </c>
      <c r="G2838" t="s">
        <v>22</v>
      </c>
      <c r="H2838" t="s">
        <v>47</v>
      </c>
      <c r="I2838" t="s">
        <v>89</v>
      </c>
      <c r="J2838" t="s">
        <v>240</v>
      </c>
      <c r="K2838">
        <v>9</v>
      </c>
      <c r="L2838" s="2">
        <v>454.42</v>
      </c>
      <c r="M2838" s="3">
        <v>0</v>
      </c>
      <c r="N2838" s="2">
        <v>4089.78</v>
      </c>
      <c r="O2838" s="2">
        <v>2699.72</v>
      </c>
      <c r="P2838" s="2">
        <v>1390.06</v>
      </c>
      <c r="Q2838" t="s">
        <v>34</v>
      </c>
    </row>
    <row r="2839" spans="1:17" x14ac:dyDescent="0.2">
      <c r="A2839" t="s">
        <v>3004</v>
      </c>
      <c r="B2839" s="1">
        <v>46004</v>
      </c>
      <c r="C2839" t="s">
        <v>36</v>
      </c>
      <c r="D2839" t="s">
        <v>67</v>
      </c>
      <c r="E2839" t="s">
        <v>270</v>
      </c>
      <c r="F2839" t="s">
        <v>46</v>
      </c>
      <c r="G2839" t="s">
        <v>75</v>
      </c>
      <c r="H2839" t="s">
        <v>47</v>
      </c>
      <c r="I2839" t="s">
        <v>48</v>
      </c>
      <c r="J2839" t="s">
        <v>93</v>
      </c>
      <c r="K2839">
        <v>3</v>
      </c>
      <c r="L2839" s="2">
        <v>855.1</v>
      </c>
      <c r="M2839" s="3">
        <v>0.15</v>
      </c>
      <c r="N2839" s="2">
        <v>2180.5</v>
      </c>
      <c r="O2839" s="2">
        <v>1360.68</v>
      </c>
      <c r="P2839" s="2">
        <v>819.82</v>
      </c>
      <c r="Q2839" t="s">
        <v>61</v>
      </c>
    </row>
    <row r="2840" spans="1:17" x14ac:dyDescent="0.2">
      <c r="A2840" t="s">
        <v>3005</v>
      </c>
      <c r="B2840" s="1">
        <v>46004</v>
      </c>
      <c r="C2840" t="s">
        <v>36</v>
      </c>
      <c r="D2840" t="s">
        <v>73</v>
      </c>
      <c r="E2840" t="s">
        <v>212</v>
      </c>
      <c r="F2840" t="s">
        <v>39</v>
      </c>
      <c r="G2840" t="s">
        <v>54</v>
      </c>
      <c r="H2840" t="s">
        <v>31</v>
      </c>
      <c r="I2840" t="s">
        <v>32</v>
      </c>
      <c r="J2840" t="s">
        <v>104</v>
      </c>
      <c r="K2840">
        <v>9</v>
      </c>
      <c r="L2840" s="2">
        <v>1031.1199999999999</v>
      </c>
      <c r="M2840" s="3">
        <v>0.05</v>
      </c>
      <c r="N2840" s="2">
        <v>8816.08</v>
      </c>
      <c r="O2840" s="2">
        <v>5150.66</v>
      </c>
      <c r="P2840" s="2">
        <v>3665.42</v>
      </c>
      <c r="Q2840" t="s">
        <v>61</v>
      </c>
    </row>
    <row r="2841" spans="1:17" x14ac:dyDescent="0.2">
      <c r="A2841" t="s">
        <v>3006</v>
      </c>
      <c r="B2841" s="1">
        <v>46004</v>
      </c>
      <c r="C2841" t="s">
        <v>43</v>
      </c>
      <c r="D2841" t="s">
        <v>161</v>
      </c>
      <c r="E2841" t="s">
        <v>162</v>
      </c>
      <c r="F2841" t="s">
        <v>39</v>
      </c>
      <c r="G2841" t="s">
        <v>22</v>
      </c>
      <c r="H2841" t="s">
        <v>47</v>
      </c>
      <c r="I2841" t="s">
        <v>97</v>
      </c>
      <c r="J2841" t="s">
        <v>168</v>
      </c>
      <c r="K2841">
        <v>5</v>
      </c>
      <c r="L2841" s="2">
        <v>127.41</v>
      </c>
      <c r="M2841" s="3">
        <v>0.05</v>
      </c>
      <c r="N2841" s="2">
        <v>605.20000000000005</v>
      </c>
      <c r="O2841" s="2">
        <v>428.07</v>
      </c>
      <c r="P2841" s="2">
        <v>177.13</v>
      </c>
      <c r="Q2841" t="s">
        <v>26</v>
      </c>
    </row>
    <row r="2842" spans="1:17" x14ac:dyDescent="0.2">
      <c r="A2842" t="s">
        <v>3007</v>
      </c>
      <c r="B2842" s="1">
        <v>46004</v>
      </c>
      <c r="C2842" t="s">
        <v>36</v>
      </c>
      <c r="D2842" t="s">
        <v>110</v>
      </c>
      <c r="E2842" t="s">
        <v>111</v>
      </c>
      <c r="F2842" t="s">
        <v>60</v>
      </c>
      <c r="G2842" t="s">
        <v>22</v>
      </c>
      <c r="H2842" t="s">
        <v>31</v>
      </c>
      <c r="I2842" t="s">
        <v>32</v>
      </c>
      <c r="J2842" t="s">
        <v>258</v>
      </c>
      <c r="K2842">
        <v>6</v>
      </c>
      <c r="L2842" s="2">
        <v>1472.09</v>
      </c>
      <c r="M2842" s="3">
        <v>0</v>
      </c>
      <c r="N2842" s="2">
        <v>8832.5400000000009</v>
      </c>
      <c r="O2842" s="2">
        <v>5007.3100000000004</v>
      </c>
      <c r="P2842" s="2">
        <v>3825.23</v>
      </c>
      <c r="Q2842" t="s">
        <v>34</v>
      </c>
    </row>
    <row r="2843" spans="1:17" x14ac:dyDescent="0.2">
      <c r="A2843" t="s">
        <v>3008</v>
      </c>
      <c r="B2843" s="1">
        <v>46004</v>
      </c>
      <c r="C2843" t="s">
        <v>77</v>
      </c>
      <c r="D2843" t="s">
        <v>128</v>
      </c>
      <c r="E2843" t="s">
        <v>159</v>
      </c>
      <c r="F2843" t="s">
        <v>46</v>
      </c>
      <c r="G2843" t="s">
        <v>75</v>
      </c>
      <c r="H2843" t="s">
        <v>31</v>
      </c>
      <c r="I2843" t="s">
        <v>32</v>
      </c>
      <c r="J2843" t="s">
        <v>33</v>
      </c>
      <c r="K2843">
        <v>8</v>
      </c>
      <c r="L2843" s="2">
        <v>1744.76</v>
      </c>
      <c r="M2843" s="3">
        <v>0.15</v>
      </c>
      <c r="N2843" s="2">
        <v>11864.37</v>
      </c>
      <c r="O2843" s="2">
        <v>7952.99</v>
      </c>
      <c r="P2843" s="2">
        <v>3911.38</v>
      </c>
      <c r="Q2843" t="s">
        <v>34</v>
      </c>
    </row>
    <row r="2844" spans="1:17" x14ac:dyDescent="0.2">
      <c r="A2844" t="s">
        <v>3009</v>
      </c>
      <c r="B2844" s="1">
        <v>46004</v>
      </c>
      <c r="C2844" t="s">
        <v>18</v>
      </c>
      <c r="D2844" t="s">
        <v>133</v>
      </c>
      <c r="E2844" t="s">
        <v>197</v>
      </c>
      <c r="F2844" t="s">
        <v>46</v>
      </c>
      <c r="G2844" t="s">
        <v>75</v>
      </c>
      <c r="H2844" t="s">
        <v>31</v>
      </c>
      <c r="I2844" t="s">
        <v>40</v>
      </c>
      <c r="J2844" t="s">
        <v>122</v>
      </c>
      <c r="K2844">
        <v>9</v>
      </c>
      <c r="L2844" s="2">
        <v>210.75</v>
      </c>
      <c r="M2844" s="3">
        <v>0</v>
      </c>
      <c r="N2844" s="2">
        <v>1896.75</v>
      </c>
      <c r="O2844" s="2">
        <v>1101.48</v>
      </c>
      <c r="P2844" s="2">
        <v>795.27</v>
      </c>
      <c r="Q2844" t="s">
        <v>61</v>
      </c>
    </row>
    <row r="2845" spans="1:17" x14ac:dyDescent="0.2">
      <c r="A2845" t="s">
        <v>3010</v>
      </c>
      <c r="B2845" s="1">
        <v>46005</v>
      </c>
      <c r="C2845" t="s">
        <v>77</v>
      </c>
      <c r="D2845" t="s">
        <v>106</v>
      </c>
      <c r="E2845" t="s">
        <v>236</v>
      </c>
      <c r="F2845" t="s">
        <v>21</v>
      </c>
      <c r="G2845" t="s">
        <v>22</v>
      </c>
      <c r="H2845" t="s">
        <v>23</v>
      </c>
      <c r="I2845" t="s">
        <v>55</v>
      </c>
      <c r="J2845" t="s">
        <v>173</v>
      </c>
      <c r="K2845">
        <v>9</v>
      </c>
      <c r="L2845" s="2">
        <v>12.03</v>
      </c>
      <c r="M2845" s="3">
        <v>0</v>
      </c>
      <c r="N2845" s="2">
        <v>108.27</v>
      </c>
      <c r="O2845" s="2">
        <v>64.099999999999994</v>
      </c>
      <c r="P2845" s="2">
        <v>44.17</v>
      </c>
      <c r="Q2845" t="s">
        <v>57</v>
      </c>
    </row>
    <row r="2846" spans="1:17" x14ac:dyDescent="0.2">
      <c r="A2846" t="s">
        <v>3011</v>
      </c>
      <c r="B2846" s="1">
        <v>46005</v>
      </c>
      <c r="C2846" t="s">
        <v>43</v>
      </c>
      <c r="D2846" t="s">
        <v>208</v>
      </c>
      <c r="E2846" t="s">
        <v>287</v>
      </c>
      <c r="F2846" t="s">
        <v>138</v>
      </c>
      <c r="G2846" t="s">
        <v>22</v>
      </c>
      <c r="H2846" t="s">
        <v>47</v>
      </c>
      <c r="I2846" t="s">
        <v>141</v>
      </c>
      <c r="J2846" t="s">
        <v>142</v>
      </c>
      <c r="K2846">
        <v>10</v>
      </c>
      <c r="L2846" s="2">
        <v>533.23</v>
      </c>
      <c r="M2846" s="3">
        <v>0.1</v>
      </c>
      <c r="N2846" s="2">
        <v>4799.07</v>
      </c>
      <c r="O2846" s="2">
        <v>2725.61</v>
      </c>
      <c r="P2846" s="2">
        <v>2073.46</v>
      </c>
      <c r="Q2846" t="s">
        <v>57</v>
      </c>
    </row>
    <row r="2847" spans="1:17" x14ac:dyDescent="0.2">
      <c r="A2847" t="s">
        <v>3012</v>
      </c>
      <c r="B2847" s="1">
        <v>46005</v>
      </c>
      <c r="C2847" t="s">
        <v>43</v>
      </c>
      <c r="D2847" t="s">
        <v>51</v>
      </c>
      <c r="E2847" t="s">
        <v>63</v>
      </c>
      <c r="F2847" t="s">
        <v>53</v>
      </c>
      <c r="G2847" t="s">
        <v>75</v>
      </c>
      <c r="H2847" t="s">
        <v>31</v>
      </c>
      <c r="I2847" t="s">
        <v>32</v>
      </c>
      <c r="J2847" t="s">
        <v>258</v>
      </c>
      <c r="K2847">
        <v>7</v>
      </c>
      <c r="L2847" s="2">
        <v>858.79</v>
      </c>
      <c r="M2847" s="3">
        <v>0.15</v>
      </c>
      <c r="N2847" s="2">
        <v>5109.8</v>
      </c>
      <c r="O2847" s="2">
        <v>3469.4</v>
      </c>
      <c r="P2847" s="2">
        <v>1640.4</v>
      </c>
      <c r="Q2847" t="s">
        <v>57</v>
      </c>
    </row>
    <row r="2848" spans="1:17" x14ac:dyDescent="0.2">
      <c r="A2848" t="s">
        <v>3013</v>
      </c>
      <c r="B2848" s="1">
        <v>46005</v>
      </c>
      <c r="C2848" t="s">
        <v>36</v>
      </c>
      <c r="D2848" t="s">
        <v>37</v>
      </c>
      <c r="E2848" t="s">
        <v>38</v>
      </c>
      <c r="F2848" t="s">
        <v>69</v>
      </c>
      <c r="G2848" t="s">
        <v>75</v>
      </c>
      <c r="H2848" t="s">
        <v>23</v>
      </c>
      <c r="I2848" t="s">
        <v>55</v>
      </c>
      <c r="J2848" t="s">
        <v>102</v>
      </c>
      <c r="K2848">
        <v>3</v>
      </c>
      <c r="L2848" s="2">
        <v>17.88</v>
      </c>
      <c r="M2848" s="3">
        <v>0.15</v>
      </c>
      <c r="N2848" s="2">
        <v>45.59</v>
      </c>
      <c r="O2848" s="2">
        <v>36.53</v>
      </c>
      <c r="P2848" s="2">
        <v>9.06</v>
      </c>
      <c r="Q2848" t="s">
        <v>34</v>
      </c>
    </row>
    <row r="2849" spans="1:17" x14ac:dyDescent="0.2">
      <c r="A2849" t="s">
        <v>3014</v>
      </c>
      <c r="B2849" s="1">
        <v>46005</v>
      </c>
      <c r="C2849" t="s">
        <v>36</v>
      </c>
      <c r="D2849" t="s">
        <v>37</v>
      </c>
      <c r="E2849" t="s">
        <v>187</v>
      </c>
      <c r="F2849" t="s">
        <v>138</v>
      </c>
      <c r="G2849" t="s">
        <v>22</v>
      </c>
      <c r="H2849" t="s">
        <v>47</v>
      </c>
      <c r="I2849" t="s">
        <v>141</v>
      </c>
      <c r="J2849" t="s">
        <v>201</v>
      </c>
      <c r="K2849">
        <v>9</v>
      </c>
      <c r="L2849" s="2">
        <v>441.87</v>
      </c>
      <c r="M2849" s="3">
        <v>0.1</v>
      </c>
      <c r="N2849" s="2">
        <v>3579.15</v>
      </c>
      <c r="O2849" s="2">
        <v>2668.69</v>
      </c>
      <c r="P2849" s="2">
        <v>910.46</v>
      </c>
      <c r="Q2849" t="s">
        <v>26</v>
      </c>
    </row>
    <row r="2850" spans="1:17" x14ac:dyDescent="0.2">
      <c r="A2850" t="s">
        <v>3015</v>
      </c>
      <c r="B2850" s="1">
        <v>46005</v>
      </c>
      <c r="C2850" t="s">
        <v>36</v>
      </c>
      <c r="D2850" t="s">
        <v>37</v>
      </c>
      <c r="E2850" t="s">
        <v>187</v>
      </c>
      <c r="F2850" t="s">
        <v>69</v>
      </c>
      <c r="G2850" t="s">
        <v>54</v>
      </c>
      <c r="H2850" t="s">
        <v>47</v>
      </c>
      <c r="I2850" t="s">
        <v>97</v>
      </c>
      <c r="J2850" t="s">
        <v>168</v>
      </c>
      <c r="K2850">
        <v>8</v>
      </c>
      <c r="L2850" s="2">
        <v>324.11</v>
      </c>
      <c r="M2850" s="3">
        <v>0.15</v>
      </c>
      <c r="N2850" s="2">
        <v>2203.9499999999998</v>
      </c>
      <c r="O2850" s="2">
        <v>1608.54</v>
      </c>
      <c r="P2850" s="2">
        <v>595.41</v>
      </c>
      <c r="Q2850" t="s">
        <v>26</v>
      </c>
    </row>
    <row r="2851" spans="1:17" x14ac:dyDescent="0.2">
      <c r="A2851" t="s">
        <v>3016</v>
      </c>
      <c r="B2851" s="1">
        <v>46005</v>
      </c>
      <c r="C2851" t="s">
        <v>43</v>
      </c>
      <c r="D2851" t="s">
        <v>161</v>
      </c>
      <c r="E2851" t="s">
        <v>418</v>
      </c>
      <c r="F2851" t="s">
        <v>60</v>
      </c>
      <c r="G2851" t="s">
        <v>22</v>
      </c>
      <c r="H2851" t="s">
        <v>47</v>
      </c>
      <c r="I2851" t="s">
        <v>48</v>
      </c>
      <c r="J2851" t="s">
        <v>49</v>
      </c>
      <c r="K2851">
        <v>5</v>
      </c>
      <c r="L2851" s="2">
        <v>375</v>
      </c>
      <c r="M2851" s="3">
        <v>0</v>
      </c>
      <c r="N2851" s="2">
        <v>1875</v>
      </c>
      <c r="O2851" s="2">
        <v>1041.0999999999999</v>
      </c>
      <c r="P2851" s="2">
        <v>833.9</v>
      </c>
      <c r="Q2851" t="s">
        <v>61</v>
      </c>
    </row>
    <row r="2852" spans="1:17" x14ac:dyDescent="0.2">
      <c r="A2852" t="s">
        <v>3017</v>
      </c>
      <c r="B2852" s="1">
        <v>46005</v>
      </c>
      <c r="C2852" t="s">
        <v>77</v>
      </c>
      <c r="D2852" t="s">
        <v>106</v>
      </c>
      <c r="E2852" t="s">
        <v>303</v>
      </c>
      <c r="F2852" t="s">
        <v>71</v>
      </c>
      <c r="G2852" t="s">
        <v>22</v>
      </c>
      <c r="H2852" t="s">
        <v>31</v>
      </c>
      <c r="I2852" t="s">
        <v>40</v>
      </c>
      <c r="J2852" t="s">
        <v>216</v>
      </c>
      <c r="K2852">
        <v>3</v>
      </c>
      <c r="L2852" s="2">
        <v>62.57</v>
      </c>
      <c r="M2852" s="3">
        <v>0.1</v>
      </c>
      <c r="N2852" s="2">
        <v>168.94</v>
      </c>
      <c r="O2852" s="2">
        <v>119.16</v>
      </c>
      <c r="P2852" s="2">
        <v>49.78</v>
      </c>
      <c r="Q2852" t="s">
        <v>61</v>
      </c>
    </row>
    <row r="2853" spans="1:17" x14ac:dyDescent="0.2">
      <c r="A2853" t="s">
        <v>3018</v>
      </c>
      <c r="B2853" s="1">
        <v>46005</v>
      </c>
      <c r="C2853" t="s">
        <v>18</v>
      </c>
      <c r="D2853" t="s">
        <v>152</v>
      </c>
      <c r="E2853" t="s">
        <v>166</v>
      </c>
      <c r="F2853" t="s">
        <v>60</v>
      </c>
      <c r="G2853" t="s">
        <v>22</v>
      </c>
      <c r="H2853" t="s">
        <v>31</v>
      </c>
      <c r="I2853" t="s">
        <v>112</v>
      </c>
      <c r="J2853" t="s">
        <v>113</v>
      </c>
      <c r="K2853">
        <v>4</v>
      </c>
      <c r="L2853" s="2">
        <v>400.73</v>
      </c>
      <c r="M2853" s="3">
        <v>0.05</v>
      </c>
      <c r="N2853" s="2">
        <v>1522.77</v>
      </c>
      <c r="O2853" s="2">
        <v>1234.6500000000001</v>
      </c>
      <c r="P2853" s="2">
        <v>288.12</v>
      </c>
      <c r="Q2853" t="s">
        <v>34</v>
      </c>
    </row>
    <row r="2854" spans="1:17" x14ac:dyDescent="0.2">
      <c r="A2854" t="s">
        <v>3019</v>
      </c>
      <c r="B2854" s="1">
        <v>46005</v>
      </c>
      <c r="C2854" t="s">
        <v>43</v>
      </c>
      <c r="D2854" t="s">
        <v>208</v>
      </c>
      <c r="E2854" t="s">
        <v>230</v>
      </c>
      <c r="F2854" t="s">
        <v>60</v>
      </c>
      <c r="G2854" t="s">
        <v>75</v>
      </c>
      <c r="H2854" t="s">
        <v>31</v>
      </c>
      <c r="I2854" t="s">
        <v>64</v>
      </c>
      <c r="J2854" t="s">
        <v>65</v>
      </c>
      <c r="K2854">
        <v>1</v>
      </c>
      <c r="L2854" s="2">
        <v>37.979999999999997</v>
      </c>
      <c r="M2854" s="3">
        <v>0</v>
      </c>
      <c r="N2854" s="2">
        <v>37.979999999999997</v>
      </c>
      <c r="O2854" s="2">
        <v>24.49</v>
      </c>
      <c r="P2854" s="2">
        <v>13.49</v>
      </c>
      <c r="Q2854" t="s">
        <v>26</v>
      </c>
    </row>
    <row r="2855" spans="1:17" x14ac:dyDescent="0.2">
      <c r="A2855" t="s">
        <v>3020</v>
      </c>
      <c r="B2855" s="1">
        <v>46005</v>
      </c>
      <c r="C2855" t="s">
        <v>77</v>
      </c>
      <c r="D2855" t="s">
        <v>149</v>
      </c>
      <c r="E2855" t="s">
        <v>309</v>
      </c>
      <c r="F2855" t="s">
        <v>71</v>
      </c>
      <c r="G2855" t="s">
        <v>54</v>
      </c>
      <c r="H2855" t="s">
        <v>31</v>
      </c>
      <c r="I2855" t="s">
        <v>32</v>
      </c>
      <c r="J2855" t="s">
        <v>258</v>
      </c>
      <c r="K2855">
        <v>9</v>
      </c>
      <c r="L2855" s="2">
        <v>927.91</v>
      </c>
      <c r="M2855" s="3">
        <v>0.15</v>
      </c>
      <c r="N2855" s="2">
        <v>7098.51</v>
      </c>
      <c r="O2855" s="2">
        <v>4316.54</v>
      </c>
      <c r="P2855" s="2">
        <v>2781.97</v>
      </c>
      <c r="Q2855" t="s">
        <v>57</v>
      </c>
    </row>
    <row r="2856" spans="1:17" x14ac:dyDescent="0.2">
      <c r="A2856" t="s">
        <v>3021</v>
      </c>
      <c r="B2856" s="1">
        <v>46006</v>
      </c>
      <c r="C2856" t="s">
        <v>18</v>
      </c>
      <c r="D2856" t="s">
        <v>28</v>
      </c>
      <c r="E2856" t="s">
        <v>29</v>
      </c>
      <c r="F2856" t="s">
        <v>71</v>
      </c>
      <c r="G2856" t="s">
        <v>75</v>
      </c>
      <c r="H2856" t="s">
        <v>31</v>
      </c>
      <c r="I2856" t="s">
        <v>64</v>
      </c>
      <c r="J2856" t="s">
        <v>65</v>
      </c>
      <c r="K2856">
        <v>9</v>
      </c>
      <c r="L2856" s="2">
        <v>53.66</v>
      </c>
      <c r="M2856" s="3">
        <v>0.05</v>
      </c>
      <c r="N2856" s="2">
        <v>458.79</v>
      </c>
      <c r="O2856" s="2">
        <v>253.18</v>
      </c>
      <c r="P2856" s="2">
        <v>205.61</v>
      </c>
      <c r="Q2856" t="s">
        <v>34</v>
      </c>
    </row>
    <row r="2857" spans="1:17" x14ac:dyDescent="0.2">
      <c r="A2857" t="s">
        <v>3022</v>
      </c>
      <c r="B2857" s="1">
        <v>46006</v>
      </c>
      <c r="C2857" t="s">
        <v>18</v>
      </c>
      <c r="D2857" t="s">
        <v>133</v>
      </c>
      <c r="E2857" t="s">
        <v>197</v>
      </c>
      <c r="F2857" t="s">
        <v>21</v>
      </c>
      <c r="G2857" t="s">
        <v>75</v>
      </c>
      <c r="H2857" t="s">
        <v>31</v>
      </c>
      <c r="I2857" t="s">
        <v>40</v>
      </c>
      <c r="J2857" t="s">
        <v>122</v>
      </c>
      <c r="K2857">
        <v>5</v>
      </c>
      <c r="L2857" s="2">
        <v>167.82</v>
      </c>
      <c r="M2857" s="3">
        <v>0.15</v>
      </c>
      <c r="N2857" s="2">
        <v>713.23</v>
      </c>
      <c r="O2857" s="2">
        <v>566.6</v>
      </c>
      <c r="P2857" s="2">
        <v>146.63</v>
      </c>
      <c r="Q2857" t="s">
        <v>61</v>
      </c>
    </row>
    <row r="2858" spans="1:17" x14ac:dyDescent="0.2">
      <c r="A2858" t="s">
        <v>3023</v>
      </c>
      <c r="B2858" s="1">
        <v>46006</v>
      </c>
      <c r="C2858" t="s">
        <v>77</v>
      </c>
      <c r="D2858" t="s">
        <v>128</v>
      </c>
      <c r="E2858" t="s">
        <v>155</v>
      </c>
      <c r="F2858" t="s">
        <v>69</v>
      </c>
      <c r="G2858" t="s">
        <v>22</v>
      </c>
      <c r="H2858" t="s">
        <v>23</v>
      </c>
      <c r="I2858" t="s">
        <v>79</v>
      </c>
      <c r="J2858" t="s">
        <v>233</v>
      </c>
      <c r="K2858">
        <v>9</v>
      </c>
      <c r="L2858" s="2">
        <v>391.99</v>
      </c>
      <c r="M2858" s="3">
        <v>0.05</v>
      </c>
      <c r="N2858" s="2">
        <v>3351.51</v>
      </c>
      <c r="O2858" s="2">
        <v>2211.2199999999998</v>
      </c>
      <c r="P2858" s="2">
        <v>1140.29</v>
      </c>
      <c r="Q2858" t="s">
        <v>57</v>
      </c>
    </row>
    <row r="2859" spans="1:17" x14ac:dyDescent="0.2">
      <c r="A2859" t="s">
        <v>3024</v>
      </c>
      <c r="B2859" s="1">
        <v>46006</v>
      </c>
      <c r="C2859" t="s">
        <v>43</v>
      </c>
      <c r="D2859" t="s">
        <v>44</v>
      </c>
      <c r="E2859" t="s">
        <v>147</v>
      </c>
      <c r="F2859" t="s">
        <v>60</v>
      </c>
      <c r="G2859" t="s">
        <v>75</v>
      </c>
      <c r="H2859" t="s">
        <v>47</v>
      </c>
      <c r="I2859" t="s">
        <v>89</v>
      </c>
      <c r="J2859" t="s">
        <v>204</v>
      </c>
      <c r="K2859">
        <v>8</v>
      </c>
      <c r="L2859" s="2">
        <v>476.91</v>
      </c>
      <c r="M2859" s="3">
        <v>0</v>
      </c>
      <c r="N2859" s="2">
        <v>3815.28</v>
      </c>
      <c r="O2859" s="2">
        <v>2368.11</v>
      </c>
      <c r="P2859" s="2">
        <v>1447.17</v>
      </c>
      <c r="Q2859" t="s">
        <v>26</v>
      </c>
    </row>
    <row r="2860" spans="1:17" x14ac:dyDescent="0.2">
      <c r="A2860" t="s">
        <v>3025</v>
      </c>
      <c r="B2860" s="1">
        <v>46006</v>
      </c>
      <c r="C2860" t="s">
        <v>18</v>
      </c>
      <c r="D2860" t="s">
        <v>19</v>
      </c>
      <c r="E2860" t="s">
        <v>100</v>
      </c>
      <c r="F2860" t="s">
        <v>39</v>
      </c>
      <c r="G2860" t="s">
        <v>22</v>
      </c>
      <c r="H2860" t="s">
        <v>31</v>
      </c>
      <c r="I2860" t="s">
        <v>32</v>
      </c>
      <c r="J2860" t="s">
        <v>33</v>
      </c>
      <c r="K2860">
        <v>10</v>
      </c>
      <c r="L2860" s="2">
        <v>1260.49</v>
      </c>
      <c r="M2860" s="3">
        <v>0.05</v>
      </c>
      <c r="N2860" s="2">
        <v>11974.66</v>
      </c>
      <c r="O2860" s="2">
        <v>6988.02</v>
      </c>
      <c r="P2860" s="2">
        <v>4986.6400000000003</v>
      </c>
      <c r="Q2860" t="s">
        <v>34</v>
      </c>
    </row>
    <row r="2861" spans="1:17" x14ac:dyDescent="0.2">
      <c r="A2861" t="s">
        <v>3026</v>
      </c>
      <c r="B2861" s="1">
        <v>46006</v>
      </c>
      <c r="C2861" t="s">
        <v>77</v>
      </c>
      <c r="D2861" t="s">
        <v>128</v>
      </c>
      <c r="E2861" t="s">
        <v>129</v>
      </c>
      <c r="F2861" t="s">
        <v>71</v>
      </c>
      <c r="G2861" t="s">
        <v>75</v>
      </c>
      <c r="H2861" t="s">
        <v>23</v>
      </c>
      <c r="I2861" t="s">
        <v>79</v>
      </c>
      <c r="J2861" t="s">
        <v>80</v>
      </c>
      <c r="K2861">
        <v>9</v>
      </c>
      <c r="L2861" s="2">
        <v>491.93</v>
      </c>
      <c r="M2861" s="3">
        <v>0.1</v>
      </c>
      <c r="N2861" s="2">
        <v>3984.63</v>
      </c>
      <c r="O2861" s="2">
        <v>2471.5</v>
      </c>
      <c r="P2861" s="2">
        <v>1513.13</v>
      </c>
      <c r="Q2861" t="s">
        <v>26</v>
      </c>
    </row>
    <row r="2862" spans="1:17" x14ac:dyDescent="0.2">
      <c r="A2862" t="s">
        <v>3027</v>
      </c>
      <c r="B2862" s="1">
        <v>46006</v>
      </c>
      <c r="C2862" t="s">
        <v>36</v>
      </c>
      <c r="D2862" t="s">
        <v>73</v>
      </c>
      <c r="E2862" t="s">
        <v>247</v>
      </c>
      <c r="F2862" t="s">
        <v>60</v>
      </c>
      <c r="G2862" t="s">
        <v>75</v>
      </c>
      <c r="H2862" t="s">
        <v>31</v>
      </c>
      <c r="I2862" t="s">
        <v>32</v>
      </c>
      <c r="J2862" t="s">
        <v>104</v>
      </c>
      <c r="K2862">
        <v>6</v>
      </c>
      <c r="L2862" s="2">
        <v>867.96</v>
      </c>
      <c r="M2862" s="3">
        <v>0.1</v>
      </c>
      <c r="N2862" s="2">
        <v>4686.9799999999996</v>
      </c>
      <c r="O2862" s="2">
        <v>2629.88</v>
      </c>
      <c r="P2862" s="2">
        <v>2057.1</v>
      </c>
      <c r="Q2862" t="s">
        <v>34</v>
      </c>
    </row>
    <row r="2863" spans="1:17" x14ac:dyDescent="0.2">
      <c r="A2863" t="s">
        <v>3028</v>
      </c>
      <c r="B2863" s="1">
        <v>46006</v>
      </c>
      <c r="C2863" t="s">
        <v>77</v>
      </c>
      <c r="D2863" t="s">
        <v>106</v>
      </c>
      <c r="E2863" t="s">
        <v>236</v>
      </c>
      <c r="F2863" t="s">
        <v>30</v>
      </c>
      <c r="G2863" t="s">
        <v>54</v>
      </c>
      <c r="H2863" t="s">
        <v>31</v>
      </c>
      <c r="I2863" t="s">
        <v>32</v>
      </c>
      <c r="J2863" t="s">
        <v>33</v>
      </c>
      <c r="K2863">
        <v>1</v>
      </c>
      <c r="L2863" s="2">
        <v>1501.17</v>
      </c>
      <c r="M2863" s="3">
        <v>0.05</v>
      </c>
      <c r="N2863" s="2">
        <v>1426.11</v>
      </c>
      <c r="O2863" s="2">
        <v>986.24</v>
      </c>
      <c r="P2863" s="2">
        <v>439.87</v>
      </c>
      <c r="Q2863" t="s">
        <v>61</v>
      </c>
    </row>
    <row r="2864" spans="1:17" x14ac:dyDescent="0.2">
      <c r="A2864" t="s">
        <v>3029</v>
      </c>
      <c r="B2864" s="1">
        <v>46006</v>
      </c>
      <c r="C2864" t="s">
        <v>36</v>
      </c>
      <c r="D2864" t="s">
        <v>73</v>
      </c>
      <c r="E2864" t="s">
        <v>247</v>
      </c>
      <c r="F2864" t="s">
        <v>30</v>
      </c>
      <c r="G2864" t="s">
        <v>54</v>
      </c>
      <c r="H2864" t="s">
        <v>23</v>
      </c>
      <c r="I2864" t="s">
        <v>79</v>
      </c>
      <c r="J2864" t="s">
        <v>80</v>
      </c>
      <c r="K2864">
        <v>4</v>
      </c>
      <c r="L2864" s="2">
        <v>258.87</v>
      </c>
      <c r="M2864" s="3">
        <v>0.1</v>
      </c>
      <c r="N2864" s="2">
        <v>931.93</v>
      </c>
      <c r="O2864" s="2">
        <v>688.19</v>
      </c>
      <c r="P2864" s="2">
        <v>243.74</v>
      </c>
      <c r="Q2864" t="s">
        <v>34</v>
      </c>
    </row>
    <row r="2865" spans="1:17" x14ac:dyDescent="0.2">
      <c r="A2865" t="s">
        <v>3030</v>
      </c>
      <c r="B2865" s="1">
        <v>46007</v>
      </c>
      <c r="C2865" t="s">
        <v>43</v>
      </c>
      <c r="D2865" t="s">
        <v>161</v>
      </c>
      <c r="E2865" t="s">
        <v>162</v>
      </c>
      <c r="F2865" t="s">
        <v>69</v>
      </c>
      <c r="G2865" t="s">
        <v>54</v>
      </c>
      <c r="H2865" t="s">
        <v>31</v>
      </c>
      <c r="I2865" t="s">
        <v>40</v>
      </c>
      <c r="J2865" t="s">
        <v>122</v>
      </c>
      <c r="K2865">
        <v>1</v>
      </c>
      <c r="L2865" s="2">
        <v>188.91</v>
      </c>
      <c r="M2865" s="3">
        <v>0.1</v>
      </c>
      <c r="N2865" s="2">
        <v>170.02</v>
      </c>
      <c r="O2865" s="2">
        <v>135.32</v>
      </c>
      <c r="P2865" s="2">
        <v>34.700000000000003</v>
      </c>
      <c r="Q2865" t="s">
        <v>61</v>
      </c>
    </row>
    <row r="2866" spans="1:17" x14ac:dyDescent="0.2">
      <c r="A2866" t="s">
        <v>3031</v>
      </c>
      <c r="B2866" s="1">
        <v>46007</v>
      </c>
      <c r="C2866" t="s">
        <v>43</v>
      </c>
      <c r="D2866" t="s">
        <v>51</v>
      </c>
      <c r="E2866" t="s">
        <v>59</v>
      </c>
      <c r="F2866" t="s">
        <v>21</v>
      </c>
      <c r="G2866" t="s">
        <v>22</v>
      </c>
      <c r="H2866" t="s">
        <v>31</v>
      </c>
      <c r="I2866" t="s">
        <v>32</v>
      </c>
      <c r="J2866" t="s">
        <v>33</v>
      </c>
      <c r="K2866">
        <v>9</v>
      </c>
      <c r="L2866" s="2">
        <v>611.87</v>
      </c>
      <c r="M2866" s="3">
        <v>0</v>
      </c>
      <c r="N2866" s="2">
        <v>5506.83</v>
      </c>
      <c r="O2866" s="2">
        <v>4513.82</v>
      </c>
      <c r="P2866" s="2">
        <v>993.01</v>
      </c>
      <c r="Q2866" t="s">
        <v>26</v>
      </c>
    </row>
    <row r="2867" spans="1:17" x14ac:dyDescent="0.2">
      <c r="A2867" t="s">
        <v>3032</v>
      </c>
      <c r="B2867" s="1">
        <v>46007</v>
      </c>
      <c r="C2867" t="s">
        <v>36</v>
      </c>
      <c r="D2867" t="s">
        <v>73</v>
      </c>
      <c r="E2867" t="s">
        <v>212</v>
      </c>
      <c r="F2867" t="s">
        <v>21</v>
      </c>
      <c r="G2867" t="s">
        <v>54</v>
      </c>
      <c r="H2867" t="s">
        <v>31</v>
      </c>
      <c r="I2867" t="s">
        <v>40</v>
      </c>
      <c r="J2867" t="s">
        <v>122</v>
      </c>
      <c r="K2867">
        <v>3</v>
      </c>
      <c r="L2867" s="2">
        <v>207.64</v>
      </c>
      <c r="M2867" s="3">
        <v>0</v>
      </c>
      <c r="N2867" s="2">
        <v>622.91999999999996</v>
      </c>
      <c r="O2867" s="2">
        <v>387.65</v>
      </c>
      <c r="P2867" s="2">
        <v>235.27</v>
      </c>
      <c r="Q2867" t="s">
        <v>61</v>
      </c>
    </row>
    <row r="2868" spans="1:17" x14ac:dyDescent="0.2">
      <c r="A2868" t="s">
        <v>3033</v>
      </c>
      <c r="B2868" s="1">
        <v>46007</v>
      </c>
      <c r="C2868" t="s">
        <v>36</v>
      </c>
      <c r="D2868" t="s">
        <v>110</v>
      </c>
      <c r="E2868" t="s">
        <v>111</v>
      </c>
      <c r="F2868" t="s">
        <v>46</v>
      </c>
      <c r="G2868" t="s">
        <v>75</v>
      </c>
      <c r="H2868" t="s">
        <v>31</v>
      </c>
      <c r="I2868" t="s">
        <v>32</v>
      </c>
      <c r="J2868" t="s">
        <v>258</v>
      </c>
      <c r="K2868">
        <v>10</v>
      </c>
      <c r="L2868" s="2">
        <v>1524.01</v>
      </c>
      <c r="M2868" s="3">
        <v>0.05</v>
      </c>
      <c r="N2868" s="2">
        <v>14478.1</v>
      </c>
      <c r="O2868" s="2">
        <v>9844.7900000000009</v>
      </c>
      <c r="P2868" s="2">
        <v>4633.3100000000004</v>
      </c>
      <c r="Q2868" t="s">
        <v>34</v>
      </c>
    </row>
    <row r="2869" spans="1:17" x14ac:dyDescent="0.2">
      <c r="A2869" t="s">
        <v>3034</v>
      </c>
      <c r="B2869" s="1">
        <v>46007</v>
      </c>
      <c r="C2869" t="s">
        <v>43</v>
      </c>
      <c r="D2869" t="s">
        <v>208</v>
      </c>
      <c r="E2869" t="s">
        <v>230</v>
      </c>
      <c r="F2869" t="s">
        <v>71</v>
      </c>
      <c r="G2869" t="s">
        <v>54</v>
      </c>
      <c r="H2869" t="s">
        <v>31</v>
      </c>
      <c r="I2869" t="s">
        <v>64</v>
      </c>
      <c r="J2869" t="s">
        <v>65</v>
      </c>
      <c r="K2869">
        <v>4</v>
      </c>
      <c r="L2869" s="2">
        <v>75.33</v>
      </c>
      <c r="M2869" s="3">
        <v>0.1</v>
      </c>
      <c r="N2869" s="2">
        <v>271.19</v>
      </c>
      <c r="O2869" s="2">
        <v>199.82</v>
      </c>
      <c r="P2869" s="2">
        <v>71.37</v>
      </c>
      <c r="Q2869" t="s">
        <v>61</v>
      </c>
    </row>
    <row r="2870" spans="1:17" x14ac:dyDescent="0.2">
      <c r="A2870" t="s">
        <v>3035</v>
      </c>
      <c r="B2870" s="1">
        <v>46008</v>
      </c>
      <c r="C2870" t="s">
        <v>18</v>
      </c>
      <c r="D2870" t="s">
        <v>152</v>
      </c>
      <c r="E2870" t="s">
        <v>166</v>
      </c>
      <c r="F2870" t="s">
        <v>30</v>
      </c>
      <c r="G2870" t="s">
        <v>75</v>
      </c>
      <c r="H2870" t="s">
        <v>23</v>
      </c>
      <c r="I2870" t="s">
        <v>79</v>
      </c>
      <c r="J2870" t="s">
        <v>80</v>
      </c>
      <c r="K2870">
        <v>3</v>
      </c>
      <c r="L2870" s="2">
        <v>500.42</v>
      </c>
      <c r="M2870" s="3">
        <v>0</v>
      </c>
      <c r="N2870" s="2">
        <v>1501.26</v>
      </c>
      <c r="O2870" s="2">
        <v>1115.1099999999999</v>
      </c>
      <c r="P2870" s="2">
        <v>386.15</v>
      </c>
      <c r="Q2870" t="s">
        <v>34</v>
      </c>
    </row>
    <row r="2871" spans="1:17" x14ac:dyDescent="0.2">
      <c r="A2871" t="s">
        <v>3036</v>
      </c>
      <c r="B2871" s="1">
        <v>46008</v>
      </c>
      <c r="C2871" t="s">
        <v>36</v>
      </c>
      <c r="D2871" t="s">
        <v>144</v>
      </c>
      <c r="E2871" t="s">
        <v>145</v>
      </c>
      <c r="F2871" t="s">
        <v>46</v>
      </c>
      <c r="G2871" t="s">
        <v>75</v>
      </c>
      <c r="H2871" t="s">
        <v>23</v>
      </c>
      <c r="I2871" t="s">
        <v>24</v>
      </c>
      <c r="J2871" t="s">
        <v>25</v>
      </c>
      <c r="K2871">
        <v>8</v>
      </c>
      <c r="L2871" s="2">
        <v>17.64</v>
      </c>
      <c r="M2871" s="3">
        <v>0.05</v>
      </c>
      <c r="N2871" s="2">
        <v>134.06</v>
      </c>
      <c r="O2871" s="2">
        <v>88.05</v>
      </c>
      <c r="P2871" s="2">
        <v>46.01</v>
      </c>
      <c r="Q2871" t="s">
        <v>34</v>
      </c>
    </row>
    <row r="2872" spans="1:17" x14ac:dyDescent="0.2">
      <c r="A2872" t="s">
        <v>3037</v>
      </c>
      <c r="B2872" s="1">
        <v>46008</v>
      </c>
      <c r="C2872" t="s">
        <v>43</v>
      </c>
      <c r="D2872" t="s">
        <v>161</v>
      </c>
      <c r="E2872" t="s">
        <v>418</v>
      </c>
      <c r="F2872" t="s">
        <v>71</v>
      </c>
      <c r="G2872" t="s">
        <v>22</v>
      </c>
      <c r="H2872" t="s">
        <v>23</v>
      </c>
      <c r="I2872" t="s">
        <v>24</v>
      </c>
      <c r="J2872" t="s">
        <v>220</v>
      </c>
      <c r="K2872">
        <v>7</v>
      </c>
      <c r="L2872" s="2">
        <v>7.35</v>
      </c>
      <c r="M2872" s="3">
        <v>0</v>
      </c>
      <c r="N2872" s="2">
        <v>51.45</v>
      </c>
      <c r="O2872" s="2">
        <v>33.07</v>
      </c>
      <c r="P2872" s="2">
        <v>18.38</v>
      </c>
      <c r="Q2872" t="s">
        <v>57</v>
      </c>
    </row>
    <row r="2873" spans="1:17" x14ac:dyDescent="0.2">
      <c r="A2873" t="s">
        <v>3038</v>
      </c>
      <c r="B2873" s="1">
        <v>46008</v>
      </c>
      <c r="C2873" t="s">
        <v>77</v>
      </c>
      <c r="D2873" t="s">
        <v>78</v>
      </c>
      <c r="E2873" t="s">
        <v>295</v>
      </c>
      <c r="F2873" t="s">
        <v>130</v>
      </c>
      <c r="G2873" t="s">
        <v>75</v>
      </c>
      <c r="H2873" t="s">
        <v>31</v>
      </c>
      <c r="I2873" t="s">
        <v>40</v>
      </c>
      <c r="J2873" t="s">
        <v>122</v>
      </c>
      <c r="K2873">
        <v>5</v>
      </c>
      <c r="L2873" s="2">
        <v>168.31</v>
      </c>
      <c r="M2873" s="3">
        <v>0.15</v>
      </c>
      <c r="N2873" s="2">
        <v>715.32</v>
      </c>
      <c r="O2873" s="2">
        <v>511.4</v>
      </c>
      <c r="P2873" s="2">
        <v>203.92</v>
      </c>
      <c r="Q2873" t="s">
        <v>34</v>
      </c>
    </row>
    <row r="2874" spans="1:17" x14ac:dyDescent="0.2">
      <c r="A2874" t="s">
        <v>3039</v>
      </c>
      <c r="B2874" s="1">
        <v>46008</v>
      </c>
      <c r="C2874" t="s">
        <v>77</v>
      </c>
      <c r="D2874" t="s">
        <v>78</v>
      </c>
      <c r="E2874" t="s">
        <v>295</v>
      </c>
      <c r="F2874" t="s">
        <v>53</v>
      </c>
      <c r="G2874" t="s">
        <v>54</v>
      </c>
      <c r="H2874" t="s">
        <v>31</v>
      </c>
      <c r="I2874" t="s">
        <v>40</v>
      </c>
      <c r="J2874" t="s">
        <v>216</v>
      </c>
      <c r="K2874">
        <v>3</v>
      </c>
      <c r="L2874" s="2">
        <v>140.25</v>
      </c>
      <c r="M2874" s="3">
        <v>0</v>
      </c>
      <c r="N2874" s="2">
        <v>420.75</v>
      </c>
      <c r="O2874" s="2">
        <v>239.58</v>
      </c>
      <c r="P2874" s="2">
        <v>181.17</v>
      </c>
      <c r="Q2874" t="s">
        <v>57</v>
      </c>
    </row>
    <row r="2875" spans="1:17" x14ac:dyDescent="0.2">
      <c r="A2875" t="s">
        <v>3040</v>
      </c>
      <c r="B2875" s="1">
        <v>46008</v>
      </c>
      <c r="C2875" t="s">
        <v>18</v>
      </c>
      <c r="D2875" t="s">
        <v>86</v>
      </c>
      <c r="E2875" t="s">
        <v>92</v>
      </c>
      <c r="F2875" t="s">
        <v>39</v>
      </c>
      <c r="G2875" t="s">
        <v>54</v>
      </c>
      <c r="H2875" t="s">
        <v>31</v>
      </c>
      <c r="I2875" t="s">
        <v>64</v>
      </c>
      <c r="J2875" t="s">
        <v>252</v>
      </c>
      <c r="K2875">
        <v>10</v>
      </c>
      <c r="L2875" s="2">
        <v>119.57</v>
      </c>
      <c r="M2875" s="3">
        <v>0</v>
      </c>
      <c r="N2875" s="2">
        <v>1195.7</v>
      </c>
      <c r="O2875" s="2">
        <v>673.4</v>
      </c>
      <c r="P2875" s="2">
        <v>522.29999999999995</v>
      </c>
      <c r="Q2875" t="s">
        <v>34</v>
      </c>
    </row>
    <row r="2876" spans="1:17" x14ac:dyDescent="0.2">
      <c r="A2876" t="s">
        <v>3041</v>
      </c>
      <c r="B2876" s="1">
        <v>46008</v>
      </c>
      <c r="C2876" t="s">
        <v>18</v>
      </c>
      <c r="D2876" t="s">
        <v>86</v>
      </c>
      <c r="E2876" t="s">
        <v>92</v>
      </c>
      <c r="F2876" t="s">
        <v>30</v>
      </c>
      <c r="G2876" t="s">
        <v>75</v>
      </c>
      <c r="H2876" t="s">
        <v>31</v>
      </c>
      <c r="I2876" t="s">
        <v>64</v>
      </c>
      <c r="J2876" t="s">
        <v>126</v>
      </c>
      <c r="K2876">
        <v>9</v>
      </c>
      <c r="L2876" s="2">
        <v>152.97999999999999</v>
      </c>
      <c r="M2876" s="3">
        <v>0</v>
      </c>
      <c r="N2876" s="2">
        <v>1376.82</v>
      </c>
      <c r="O2876" s="2">
        <v>784.16</v>
      </c>
      <c r="P2876" s="2">
        <v>592.66</v>
      </c>
      <c r="Q2876" t="s">
        <v>61</v>
      </c>
    </row>
    <row r="2877" spans="1:17" x14ac:dyDescent="0.2">
      <c r="A2877" t="s">
        <v>3042</v>
      </c>
      <c r="B2877" s="1">
        <v>46008</v>
      </c>
      <c r="C2877" t="s">
        <v>77</v>
      </c>
      <c r="D2877" t="s">
        <v>128</v>
      </c>
      <c r="E2877" t="s">
        <v>155</v>
      </c>
      <c r="F2877" t="s">
        <v>39</v>
      </c>
      <c r="G2877" t="s">
        <v>75</v>
      </c>
      <c r="H2877" t="s">
        <v>31</v>
      </c>
      <c r="I2877" t="s">
        <v>40</v>
      </c>
      <c r="J2877" t="s">
        <v>41</v>
      </c>
      <c r="K2877">
        <v>7</v>
      </c>
      <c r="L2877" s="2">
        <v>232.58</v>
      </c>
      <c r="M2877" s="3">
        <v>0.15</v>
      </c>
      <c r="N2877" s="2">
        <v>1383.85</v>
      </c>
      <c r="O2877" s="2">
        <v>1083</v>
      </c>
      <c r="P2877" s="2">
        <v>300.85000000000002</v>
      </c>
      <c r="Q2877" t="s">
        <v>34</v>
      </c>
    </row>
    <row r="2878" spans="1:17" x14ac:dyDescent="0.2">
      <c r="A2878" t="s">
        <v>3043</v>
      </c>
      <c r="B2878" s="1">
        <v>46008</v>
      </c>
      <c r="C2878" t="s">
        <v>77</v>
      </c>
      <c r="D2878" t="s">
        <v>106</v>
      </c>
      <c r="E2878" t="s">
        <v>236</v>
      </c>
      <c r="F2878" t="s">
        <v>71</v>
      </c>
      <c r="G2878" t="s">
        <v>22</v>
      </c>
      <c r="H2878" t="s">
        <v>23</v>
      </c>
      <c r="I2878" t="s">
        <v>79</v>
      </c>
      <c r="J2878" t="s">
        <v>233</v>
      </c>
      <c r="K2878">
        <v>4</v>
      </c>
      <c r="L2878" s="2">
        <v>314.86</v>
      </c>
      <c r="M2878" s="3">
        <v>0</v>
      </c>
      <c r="N2878" s="2">
        <v>1259.44</v>
      </c>
      <c r="O2878" s="2">
        <v>1014.96</v>
      </c>
      <c r="P2878" s="2">
        <v>244.48</v>
      </c>
      <c r="Q2878" t="s">
        <v>26</v>
      </c>
    </row>
    <row r="2879" spans="1:17" x14ac:dyDescent="0.2">
      <c r="A2879" t="s">
        <v>3044</v>
      </c>
      <c r="B2879" s="1">
        <v>46009</v>
      </c>
      <c r="C2879" t="s">
        <v>36</v>
      </c>
      <c r="D2879" t="s">
        <v>144</v>
      </c>
      <c r="E2879" t="s">
        <v>232</v>
      </c>
      <c r="F2879" t="s">
        <v>21</v>
      </c>
      <c r="G2879" t="s">
        <v>54</v>
      </c>
      <c r="H2879" t="s">
        <v>23</v>
      </c>
      <c r="I2879" t="s">
        <v>24</v>
      </c>
      <c r="J2879" t="s">
        <v>108</v>
      </c>
      <c r="K2879">
        <v>9</v>
      </c>
      <c r="L2879" s="2">
        <v>9.09</v>
      </c>
      <c r="M2879" s="3">
        <v>0.05</v>
      </c>
      <c r="N2879" s="2">
        <v>77.72</v>
      </c>
      <c r="O2879" s="2">
        <v>49.03</v>
      </c>
      <c r="P2879" s="2">
        <v>28.69</v>
      </c>
      <c r="Q2879" t="s">
        <v>57</v>
      </c>
    </row>
    <row r="2880" spans="1:17" x14ac:dyDescent="0.2">
      <c r="A2880" t="s">
        <v>3045</v>
      </c>
      <c r="B2880" s="1">
        <v>46009</v>
      </c>
      <c r="C2880" t="s">
        <v>43</v>
      </c>
      <c r="D2880" t="s">
        <v>44</v>
      </c>
      <c r="E2880" t="s">
        <v>45</v>
      </c>
      <c r="F2880" t="s">
        <v>39</v>
      </c>
      <c r="G2880" t="s">
        <v>54</v>
      </c>
      <c r="H2880" t="s">
        <v>47</v>
      </c>
      <c r="I2880" t="s">
        <v>89</v>
      </c>
      <c r="J2880" t="s">
        <v>240</v>
      </c>
      <c r="K2880">
        <v>2</v>
      </c>
      <c r="L2880" s="2">
        <v>462.06</v>
      </c>
      <c r="M2880" s="3">
        <v>0.2</v>
      </c>
      <c r="N2880" s="2">
        <v>739.3</v>
      </c>
      <c r="O2880" s="2">
        <v>477.42</v>
      </c>
      <c r="P2880" s="2">
        <v>261.88</v>
      </c>
      <c r="Q2880" t="s">
        <v>61</v>
      </c>
    </row>
    <row r="2881" spans="1:17" x14ac:dyDescent="0.2">
      <c r="A2881" t="s">
        <v>3046</v>
      </c>
      <c r="B2881" s="1">
        <v>46009</v>
      </c>
      <c r="C2881" t="s">
        <v>77</v>
      </c>
      <c r="D2881" t="s">
        <v>106</v>
      </c>
      <c r="E2881" t="s">
        <v>303</v>
      </c>
      <c r="F2881" t="s">
        <v>60</v>
      </c>
      <c r="G2881" t="s">
        <v>54</v>
      </c>
      <c r="H2881" t="s">
        <v>23</v>
      </c>
      <c r="I2881" t="s">
        <v>55</v>
      </c>
      <c r="J2881" t="s">
        <v>102</v>
      </c>
      <c r="K2881">
        <v>2</v>
      </c>
      <c r="L2881" s="2">
        <v>14.54</v>
      </c>
      <c r="M2881" s="3">
        <v>0.1</v>
      </c>
      <c r="N2881" s="2">
        <v>26.17</v>
      </c>
      <c r="O2881" s="2">
        <v>20.329999999999998</v>
      </c>
      <c r="P2881" s="2">
        <v>5.84</v>
      </c>
      <c r="Q2881" t="s">
        <v>26</v>
      </c>
    </row>
    <row r="2882" spans="1:17" x14ac:dyDescent="0.2">
      <c r="A2882" t="s">
        <v>3047</v>
      </c>
      <c r="B2882" s="1">
        <v>46009</v>
      </c>
      <c r="C2882" t="s">
        <v>43</v>
      </c>
      <c r="D2882" t="s">
        <v>161</v>
      </c>
      <c r="E2882" t="s">
        <v>162</v>
      </c>
      <c r="F2882" t="s">
        <v>39</v>
      </c>
      <c r="G2882" t="s">
        <v>75</v>
      </c>
      <c r="H2882" t="s">
        <v>23</v>
      </c>
      <c r="I2882" t="s">
        <v>83</v>
      </c>
      <c r="J2882" t="s">
        <v>131</v>
      </c>
      <c r="K2882">
        <v>8</v>
      </c>
      <c r="L2882" s="2">
        <v>25.41</v>
      </c>
      <c r="M2882" s="3">
        <v>0.15</v>
      </c>
      <c r="N2882" s="2">
        <v>172.79</v>
      </c>
      <c r="O2882" s="2">
        <v>140.49</v>
      </c>
      <c r="P2882" s="2">
        <v>32.299999999999997</v>
      </c>
      <c r="Q2882" t="s">
        <v>34</v>
      </c>
    </row>
    <row r="2883" spans="1:17" x14ac:dyDescent="0.2">
      <c r="A2883" t="s">
        <v>3048</v>
      </c>
      <c r="B2883" s="1">
        <v>46009</v>
      </c>
      <c r="C2883" t="s">
        <v>77</v>
      </c>
      <c r="D2883" t="s">
        <v>106</v>
      </c>
      <c r="E2883" t="s">
        <v>107</v>
      </c>
      <c r="F2883" t="s">
        <v>71</v>
      </c>
      <c r="G2883" t="s">
        <v>75</v>
      </c>
      <c r="H2883" t="s">
        <v>31</v>
      </c>
      <c r="I2883" t="s">
        <v>112</v>
      </c>
      <c r="J2883" t="s">
        <v>113</v>
      </c>
      <c r="K2883">
        <v>3</v>
      </c>
      <c r="L2883" s="2">
        <v>335.52</v>
      </c>
      <c r="M2883" s="3">
        <v>0.1</v>
      </c>
      <c r="N2883" s="2">
        <v>905.9</v>
      </c>
      <c r="O2883" s="2">
        <v>560.08000000000004</v>
      </c>
      <c r="P2883" s="2">
        <v>345.82</v>
      </c>
      <c r="Q2883" t="s">
        <v>57</v>
      </c>
    </row>
    <row r="2884" spans="1:17" x14ac:dyDescent="0.2">
      <c r="A2884" t="s">
        <v>3049</v>
      </c>
      <c r="B2884" s="1">
        <v>46009</v>
      </c>
      <c r="C2884" t="s">
        <v>43</v>
      </c>
      <c r="D2884" t="s">
        <v>161</v>
      </c>
      <c r="E2884" t="s">
        <v>162</v>
      </c>
      <c r="F2884" t="s">
        <v>60</v>
      </c>
      <c r="G2884" t="s">
        <v>22</v>
      </c>
      <c r="H2884" t="s">
        <v>31</v>
      </c>
      <c r="I2884" t="s">
        <v>64</v>
      </c>
      <c r="J2884" t="s">
        <v>126</v>
      </c>
      <c r="K2884">
        <v>5</v>
      </c>
      <c r="L2884" s="2">
        <v>85.07</v>
      </c>
      <c r="M2884" s="3">
        <v>0.05</v>
      </c>
      <c r="N2884" s="2">
        <v>404.08</v>
      </c>
      <c r="O2884" s="2">
        <v>314.58999999999997</v>
      </c>
      <c r="P2884" s="2">
        <v>89.49</v>
      </c>
      <c r="Q2884" t="s">
        <v>57</v>
      </c>
    </row>
    <row r="2885" spans="1:17" x14ac:dyDescent="0.2">
      <c r="A2885" t="s">
        <v>3050</v>
      </c>
      <c r="B2885" s="1">
        <v>46009</v>
      </c>
      <c r="C2885" t="s">
        <v>36</v>
      </c>
      <c r="D2885" t="s">
        <v>110</v>
      </c>
      <c r="E2885" t="s">
        <v>115</v>
      </c>
      <c r="F2885" t="s">
        <v>46</v>
      </c>
      <c r="G2885" t="s">
        <v>75</v>
      </c>
      <c r="H2885" t="s">
        <v>31</v>
      </c>
      <c r="I2885" t="s">
        <v>64</v>
      </c>
      <c r="J2885" t="s">
        <v>126</v>
      </c>
      <c r="K2885">
        <v>2</v>
      </c>
      <c r="L2885" s="2">
        <v>144.99</v>
      </c>
      <c r="M2885" s="3">
        <v>0.1</v>
      </c>
      <c r="N2885" s="2">
        <v>260.98</v>
      </c>
      <c r="O2885" s="2">
        <v>207.11</v>
      </c>
      <c r="P2885" s="2">
        <v>53.87</v>
      </c>
      <c r="Q2885" t="s">
        <v>26</v>
      </c>
    </row>
    <row r="2886" spans="1:17" x14ac:dyDescent="0.2">
      <c r="A2886" t="s">
        <v>3051</v>
      </c>
      <c r="B2886" s="1">
        <v>46009</v>
      </c>
      <c r="C2886" t="s">
        <v>36</v>
      </c>
      <c r="D2886" t="s">
        <v>37</v>
      </c>
      <c r="E2886" t="s">
        <v>187</v>
      </c>
      <c r="F2886" t="s">
        <v>46</v>
      </c>
      <c r="G2886" t="s">
        <v>75</v>
      </c>
      <c r="H2886" t="s">
        <v>31</v>
      </c>
      <c r="I2886" t="s">
        <v>64</v>
      </c>
      <c r="J2886" t="s">
        <v>65</v>
      </c>
      <c r="K2886">
        <v>8</v>
      </c>
      <c r="L2886" s="2">
        <v>99.32</v>
      </c>
      <c r="M2886" s="3">
        <v>0.2</v>
      </c>
      <c r="N2886" s="2">
        <v>635.65</v>
      </c>
      <c r="O2886" s="2">
        <v>438.49</v>
      </c>
      <c r="P2886" s="2">
        <v>197.16</v>
      </c>
      <c r="Q2886" t="s">
        <v>34</v>
      </c>
    </row>
    <row r="2887" spans="1:17" x14ac:dyDescent="0.2">
      <c r="A2887" t="s">
        <v>3052</v>
      </c>
      <c r="B2887" s="1">
        <v>46009</v>
      </c>
      <c r="C2887" t="s">
        <v>77</v>
      </c>
      <c r="D2887" t="s">
        <v>128</v>
      </c>
      <c r="E2887" t="s">
        <v>155</v>
      </c>
      <c r="F2887" t="s">
        <v>138</v>
      </c>
      <c r="G2887" t="s">
        <v>22</v>
      </c>
      <c r="H2887" t="s">
        <v>23</v>
      </c>
      <c r="I2887" t="s">
        <v>79</v>
      </c>
      <c r="J2887" t="s">
        <v>80</v>
      </c>
      <c r="K2887">
        <v>7</v>
      </c>
      <c r="L2887" s="2">
        <v>355.77</v>
      </c>
      <c r="M2887" s="3">
        <v>0.1</v>
      </c>
      <c r="N2887" s="2">
        <v>2241.35</v>
      </c>
      <c r="O2887" s="2">
        <v>1426.93</v>
      </c>
      <c r="P2887" s="2">
        <v>814.42</v>
      </c>
      <c r="Q2887" t="s">
        <v>57</v>
      </c>
    </row>
    <row r="2888" spans="1:17" x14ac:dyDescent="0.2">
      <c r="A2888" t="s">
        <v>3053</v>
      </c>
      <c r="B2888" s="1">
        <v>46010</v>
      </c>
      <c r="C2888" t="s">
        <v>36</v>
      </c>
      <c r="D2888" t="s">
        <v>37</v>
      </c>
      <c r="E2888" t="s">
        <v>38</v>
      </c>
      <c r="F2888" t="s">
        <v>30</v>
      </c>
      <c r="G2888" t="s">
        <v>54</v>
      </c>
      <c r="H2888" t="s">
        <v>47</v>
      </c>
      <c r="I2888" t="s">
        <v>89</v>
      </c>
      <c r="J2888" t="s">
        <v>204</v>
      </c>
      <c r="K2888">
        <v>8</v>
      </c>
      <c r="L2888" s="2">
        <v>344.56</v>
      </c>
      <c r="M2888" s="3">
        <v>0</v>
      </c>
      <c r="N2888" s="2">
        <v>2756.48</v>
      </c>
      <c r="O2888" s="2">
        <v>1611.3</v>
      </c>
      <c r="P2888" s="2">
        <v>1145.18</v>
      </c>
      <c r="Q2888" t="s">
        <v>57</v>
      </c>
    </row>
    <row r="2889" spans="1:17" x14ac:dyDescent="0.2">
      <c r="A2889" t="s">
        <v>3054</v>
      </c>
      <c r="B2889" s="1">
        <v>46010</v>
      </c>
      <c r="C2889" t="s">
        <v>18</v>
      </c>
      <c r="D2889" t="s">
        <v>152</v>
      </c>
      <c r="E2889" t="s">
        <v>185</v>
      </c>
      <c r="F2889" t="s">
        <v>138</v>
      </c>
      <c r="G2889" t="s">
        <v>75</v>
      </c>
      <c r="H2889" t="s">
        <v>23</v>
      </c>
      <c r="I2889" t="s">
        <v>55</v>
      </c>
      <c r="J2889" t="s">
        <v>56</v>
      </c>
      <c r="K2889">
        <v>2</v>
      </c>
      <c r="L2889" s="2">
        <v>16.48</v>
      </c>
      <c r="M2889" s="3">
        <v>0.05</v>
      </c>
      <c r="N2889" s="2">
        <v>31.31</v>
      </c>
      <c r="O2889" s="2">
        <v>22.42</v>
      </c>
      <c r="P2889" s="2">
        <v>8.89</v>
      </c>
      <c r="Q2889" t="s">
        <v>34</v>
      </c>
    </row>
    <row r="2890" spans="1:17" x14ac:dyDescent="0.2">
      <c r="A2890" t="s">
        <v>3055</v>
      </c>
      <c r="B2890" s="1">
        <v>46010</v>
      </c>
      <c r="C2890" t="s">
        <v>36</v>
      </c>
      <c r="D2890" t="s">
        <v>37</v>
      </c>
      <c r="E2890" t="s">
        <v>255</v>
      </c>
      <c r="F2890" t="s">
        <v>138</v>
      </c>
      <c r="G2890" t="s">
        <v>54</v>
      </c>
      <c r="H2890" t="s">
        <v>31</v>
      </c>
      <c r="I2890" t="s">
        <v>32</v>
      </c>
      <c r="J2890" t="s">
        <v>258</v>
      </c>
      <c r="K2890">
        <v>10</v>
      </c>
      <c r="L2890" s="2">
        <v>1638</v>
      </c>
      <c r="M2890" s="3">
        <v>0.05</v>
      </c>
      <c r="N2890" s="2">
        <v>15561</v>
      </c>
      <c r="O2890" s="2">
        <v>12126.07</v>
      </c>
      <c r="P2890" s="2">
        <v>3434.93</v>
      </c>
      <c r="Q2890" t="s">
        <v>57</v>
      </c>
    </row>
    <row r="2891" spans="1:17" x14ac:dyDescent="0.2">
      <c r="A2891" t="s">
        <v>3056</v>
      </c>
      <c r="B2891" s="1">
        <v>46010</v>
      </c>
      <c r="C2891" t="s">
        <v>36</v>
      </c>
      <c r="D2891" t="s">
        <v>144</v>
      </c>
      <c r="E2891" t="s">
        <v>214</v>
      </c>
      <c r="F2891" t="s">
        <v>130</v>
      </c>
      <c r="G2891" t="s">
        <v>75</v>
      </c>
      <c r="H2891" t="s">
        <v>47</v>
      </c>
      <c r="I2891" t="s">
        <v>89</v>
      </c>
      <c r="J2891" t="s">
        <v>240</v>
      </c>
      <c r="K2891">
        <v>5</v>
      </c>
      <c r="L2891" s="2">
        <v>395.83</v>
      </c>
      <c r="M2891" s="3">
        <v>0.05</v>
      </c>
      <c r="N2891" s="2">
        <v>1880.19</v>
      </c>
      <c r="O2891" s="2">
        <v>1298.74</v>
      </c>
      <c r="P2891" s="2">
        <v>581.45000000000005</v>
      </c>
      <c r="Q2891" t="s">
        <v>26</v>
      </c>
    </row>
    <row r="2892" spans="1:17" x14ac:dyDescent="0.2">
      <c r="A2892" t="s">
        <v>3057</v>
      </c>
      <c r="B2892" s="1">
        <v>46010</v>
      </c>
      <c r="C2892" t="s">
        <v>18</v>
      </c>
      <c r="D2892" t="s">
        <v>28</v>
      </c>
      <c r="E2892" t="s">
        <v>170</v>
      </c>
      <c r="F2892" t="s">
        <v>53</v>
      </c>
      <c r="G2892" t="s">
        <v>22</v>
      </c>
      <c r="H2892" t="s">
        <v>31</v>
      </c>
      <c r="I2892" t="s">
        <v>40</v>
      </c>
      <c r="J2892" t="s">
        <v>122</v>
      </c>
      <c r="K2892">
        <v>3</v>
      </c>
      <c r="L2892" s="2">
        <v>169.8</v>
      </c>
      <c r="M2892" s="3">
        <v>0.1</v>
      </c>
      <c r="N2892" s="2">
        <v>458.46</v>
      </c>
      <c r="O2892" s="2">
        <v>268.60000000000002</v>
      </c>
      <c r="P2892" s="2">
        <v>189.86</v>
      </c>
      <c r="Q2892" t="s">
        <v>57</v>
      </c>
    </row>
    <row r="2893" spans="1:17" x14ac:dyDescent="0.2">
      <c r="A2893" t="s">
        <v>3058</v>
      </c>
      <c r="B2893" s="1">
        <v>46010</v>
      </c>
      <c r="C2893" t="s">
        <v>43</v>
      </c>
      <c r="D2893" t="s">
        <v>44</v>
      </c>
      <c r="E2893" t="s">
        <v>45</v>
      </c>
      <c r="F2893" t="s">
        <v>53</v>
      </c>
      <c r="G2893" t="s">
        <v>22</v>
      </c>
      <c r="H2893" t="s">
        <v>31</v>
      </c>
      <c r="I2893" t="s">
        <v>40</v>
      </c>
      <c r="J2893" t="s">
        <v>122</v>
      </c>
      <c r="K2893">
        <v>7</v>
      </c>
      <c r="L2893" s="2">
        <v>181.18</v>
      </c>
      <c r="M2893" s="3">
        <v>0.1</v>
      </c>
      <c r="N2893" s="2">
        <v>1141.43</v>
      </c>
      <c r="O2893" s="2">
        <v>853.48</v>
      </c>
      <c r="P2893" s="2">
        <v>287.95</v>
      </c>
      <c r="Q2893" t="s">
        <v>34</v>
      </c>
    </row>
    <row r="2894" spans="1:17" x14ac:dyDescent="0.2">
      <c r="A2894" t="s">
        <v>3059</v>
      </c>
      <c r="B2894" s="1">
        <v>46010</v>
      </c>
      <c r="C2894" t="s">
        <v>36</v>
      </c>
      <c r="D2894" t="s">
        <v>67</v>
      </c>
      <c r="E2894" t="s">
        <v>68</v>
      </c>
      <c r="F2894" t="s">
        <v>138</v>
      </c>
      <c r="G2894" t="s">
        <v>22</v>
      </c>
      <c r="H2894" t="s">
        <v>23</v>
      </c>
      <c r="I2894" t="s">
        <v>24</v>
      </c>
      <c r="J2894" t="s">
        <v>108</v>
      </c>
      <c r="K2894">
        <v>10</v>
      </c>
      <c r="L2894" s="2">
        <v>15.54</v>
      </c>
      <c r="M2894" s="3">
        <v>0.15</v>
      </c>
      <c r="N2894" s="2">
        <v>132.09</v>
      </c>
      <c r="O2894" s="2">
        <v>102.42</v>
      </c>
      <c r="P2894" s="2">
        <v>29.67</v>
      </c>
      <c r="Q2894" t="s">
        <v>34</v>
      </c>
    </row>
    <row r="2895" spans="1:17" x14ac:dyDescent="0.2">
      <c r="A2895" t="s">
        <v>3060</v>
      </c>
      <c r="B2895" s="1">
        <v>46010</v>
      </c>
      <c r="C2895" t="s">
        <v>43</v>
      </c>
      <c r="D2895" t="s">
        <v>44</v>
      </c>
      <c r="E2895" t="s">
        <v>82</v>
      </c>
      <c r="F2895" t="s">
        <v>53</v>
      </c>
      <c r="G2895" t="s">
        <v>22</v>
      </c>
      <c r="H2895" t="s">
        <v>31</v>
      </c>
      <c r="I2895" t="s">
        <v>112</v>
      </c>
      <c r="J2895" t="s">
        <v>136</v>
      </c>
      <c r="K2895">
        <v>10</v>
      </c>
      <c r="L2895" s="2">
        <v>175.72</v>
      </c>
      <c r="M2895" s="3">
        <v>0.1</v>
      </c>
      <c r="N2895" s="2">
        <v>1581.48</v>
      </c>
      <c r="O2895" s="2">
        <v>910.74</v>
      </c>
      <c r="P2895" s="2">
        <v>670.74</v>
      </c>
      <c r="Q2895" t="s">
        <v>26</v>
      </c>
    </row>
    <row r="2896" spans="1:17" x14ac:dyDescent="0.2">
      <c r="A2896" t="s">
        <v>3061</v>
      </c>
      <c r="B2896" s="1">
        <v>46010</v>
      </c>
      <c r="C2896" t="s">
        <v>77</v>
      </c>
      <c r="D2896" t="s">
        <v>149</v>
      </c>
      <c r="E2896" t="s">
        <v>150</v>
      </c>
      <c r="F2896" t="s">
        <v>138</v>
      </c>
      <c r="G2896" t="s">
        <v>22</v>
      </c>
      <c r="H2896" t="s">
        <v>47</v>
      </c>
      <c r="I2896" t="s">
        <v>89</v>
      </c>
      <c r="J2896" t="s">
        <v>240</v>
      </c>
      <c r="K2896">
        <v>7</v>
      </c>
      <c r="L2896" s="2">
        <v>472.85</v>
      </c>
      <c r="M2896" s="3">
        <v>0.1</v>
      </c>
      <c r="N2896" s="2">
        <v>2978.96</v>
      </c>
      <c r="O2896" s="2">
        <v>2156.0100000000002</v>
      </c>
      <c r="P2896" s="2">
        <v>822.95</v>
      </c>
      <c r="Q2896" t="s">
        <v>57</v>
      </c>
    </row>
    <row r="2897" spans="1:17" x14ac:dyDescent="0.2">
      <c r="A2897" t="s">
        <v>3062</v>
      </c>
      <c r="B2897" s="1">
        <v>46010</v>
      </c>
      <c r="C2897" t="s">
        <v>18</v>
      </c>
      <c r="D2897" t="s">
        <v>152</v>
      </c>
      <c r="E2897" t="s">
        <v>185</v>
      </c>
      <c r="F2897" t="s">
        <v>138</v>
      </c>
      <c r="G2897" t="s">
        <v>22</v>
      </c>
      <c r="H2897" t="s">
        <v>23</v>
      </c>
      <c r="I2897" t="s">
        <v>55</v>
      </c>
      <c r="J2897" t="s">
        <v>56</v>
      </c>
      <c r="K2897">
        <v>6</v>
      </c>
      <c r="L2897" s="2">
        <v>8.4</v>
      </c>
      <c r="M2897" s="3">
        <v>0.05</v>
      </c>
      <c r="N2897" s="2">
        <v>47.88</v>
      </c>
      <c r="O2897" s="2">
        <v>38.369999999999997</v>
      </c>
      <c r="P2897" s="2">
        <v>9.51</v>
      </c>
      <c r="Q2897" t="s">
        <v>61</v>
      </c>
    </row>
    <row r="2898" spans="1:17" x14ac:dyDescent="0.2">
      <c r="A2898" t="s">
        <v>3063</v>
      </c>
      <c r="B2898" s="1">
        <v>46011</v>
      </c>
      <c r="C2898" t="s">
        <v>77</v>
      </c>
      <c r="D2898" t="s">
        <v>78</v>
      </c>
      <c r="E2898" t="s">
        <v>295</v>
      </c>
      <c r="F2898" t="s">
        <v>71</v>
      </c>
      <c r="G2898" t="s">
        <v>22</v>
      </c>
      <c r="H2898" t="s">
        <v>31</v>
      </c>
      <c r="I2898" t="s">
        <v>64</v>
      </c>
      <c r="J2898" t="s">
        <v>252</v>
      </c>
      <c r="K2898">
        <v>8</v>
      </c>
      <c r="L2898" s="2">
        <v>99.18</v>
      </c>
      <c r="M2898" s="3">
        <v>0.05</v>
      </c>
      <c r="N2898" s="2">
        <v>753.77</v>
      </c>
      <c r="O2898" s="2">
        <v>567.11</v>
      </c>
      <c r="P2898" s="2">
        <v>186.66</v>
      </c>
      <c r="Q2898" t="s">
        <v>57</v>
      </c>
    </row>
    <row r="2899" spans="1:17" x14ac:dyDescent="0.2">
      <c r="A2899" t="s">
        <v>3064</v>
      </c>
      <c r="B2899" s="1">
        <v>46011</v>
      </c>
      <c r="C2899" t="s">
        <v>18</v>
      </c>
      <c r="D2899" t="s">
        <v>133</v>
      </c>
      <c r="E2899" t="s">
        <v>197</v>
      </c>
      <c r="F2899" t="s">
        <v>46</v>
      </c>
      <c r="G2899" t="s">
        <v>75</v>
      </c>
      <c r="H2899" t="s">
        <v>23</v>
      </c>
      <c r="I2899" t="s">
        <v>55</v>
      </c>
      <c r="J2899" t="s">
        <v>102</v>
      </c>
      <c r="K2899">
        <v>10</v>
      </c>
      <c r="L2899" s="2">
        <v>18.86</v>
      </c>
      <c r="M2899" s="3">
        <v>0.05</v>
      </c>
      <c r="N2899" s="2">
        <v>179.17</v>
      </c>
      <c r="O2899" s="2">
        <v>99.66</v>
      </c>
      <c r="P2899" s="2">
        <v>79.510000000000005</v>
      </c>
      <c r="Q2899" t="s">
        <v>34</v>
      </c>
    </row>
    <row r="2900" spans="1:17" x14ac:dyDescent="0.2">
      <c r="A2900" t="s">
        <v>3065</v>
      </c>
      <c r="B2900" s="1">
        <v>46011</v>
      </c>
      <c r="C2900" t="s">
        <v>77</v>
      </c>
      <c r="D2900" t="s">
        <v>106</v>
      </c>
      <c r="E2900" t="s">
        <v>107</v>
      </c>
      <c r="F2900" t="s">
        <v>71</v>
      </c>
      <c r="G2900" t="s">
        <v>75</v>
      </c>
      <c r="H2900" t="s">
        <v>23</v>
      </c>
      <c r="I2900" t="s">
        <v>55</v>
      </c>
      <c r="J2900" t="s">
        <v>173</v>
      </c>
      <c r="K2900">
        <v>2</v>
      </c>
      <c r="L2900" s="2">
        <v>19.28</v>
      </c>
      <c r="M2900" s="3">
        <v>0.1</v>
      </c>
      <c r="N2900" s="2">
        <v>34.700000000000003</v>
      </c>
      <c r="O2900" s="2">
        <v>24.97</v>
      </c>
      <c r="P2900" s="2">
        <v>9.73</v>
      </c>
      <c r="Q2900" t="s">
        <v>61</v>
      </c>
    </row>
    <row r="2901" spans="1:17" x14ac:dyDescent="0.2">
      <c r="A2901" t="s">
        <v>3066</v>
      </c>
      <c r="B2901" s="1">
        <v>46011</v>
      </c>
      <c r="C2901" t="s">
        <v>36</v>
      </c>
      <c r="D2901" t="s">
        <v>73</v>
      </c>
      <c r="E2901" t="s">
        <v>247</v>
      </c>
      <c r="F2901" t="s">
        <v>60</v>
      </c>
      <c r="G2901" t="s">
        <v>22</v>
      </c>
      <c r="H2901" t="s">
        <v>31</v>
      </c>
      <c r="I2901" t="s">
        <v>40</v>
      </c>
      <c r="J2901" t="s">
        <v>41</v>
      </c>
      <c r="K2901">
        <v>6</v>
      </c>
      <c r="L2901" s="2">
        <v>52.42</v>
      </c>
      <c r="M2901" s="3">
        <v>0</v>
      </c>
      <c r="N2901" s="2">
        <v>314.52</v>
      </c>
      <c r="O2901" s="2">
        <v>255.51</v>
      </c>
      <c r="P2901" s="2">
        <v>59.01</v>
      </c>
      <c r="Q2901" t="s">
        <v>61</v>
      </c>
    </row>
    <row r="2902" spans="1:17" x14ac:dyDescent="0.2">
      <c r="A2902" t="s">
        <v>3067</v>
      </c>
      <c r="B2902" s="1">
        <v>46011</v>
      </c>
      <c r="C2902" t="s">
        <v>18</v>
      </c>
      <c r="D2902" t="s">
        <v>86</v>
      </c>
      <c r="E2902" t="s">
        <v>140</v>
      </c>
      <c r="F2902" t="s">
        <v>21</v>
      </c>
      <c r="G2902" t="s">
        <v>22</v>
      </c>
      <c r="H2902" t="s">
        <v>31</v>
      </c>
      <c r="I2902" t="s">
        <v>112</v>
      </c>
      <c r="J2902" t="s">
        <v>136</v>
      </c>
      <c r="K2902">
        <v>6</v>
      </c>
      <c r="L2902" s="2">
        <v>362.41</v>
      </c>
      <c r="M2902" s="3">
        <v>0.05</v>
      </c>
      <c r="N2902" s="2">
        <v>2065.7399999999998</v>
      </c>
      <c r="O2902" s="2">
        <v>1495.8</v>
      </c>
      <c r="P2902" s="2">
        <v>569.94000000000005</v>
      </c>
      <c r="Q2902" t="s">
        <v>61</v>
      </c>
    </row>
    <row r="2903" spans="1:17" x14ac:dyDescent="0.2">
      <c r="A2903" t="s">
        <v>3068</v>
      </c>
      <c r="B2903" s="1">
        <v>46011</v>
      </c>
      <c r="C2903" t="s">
        <v>18</v>
      </c>
      <c r="D2903" t="s">
        <v>152</v>
      </c>
      <c r="E2903" t="s">
        <v>166</v>
      </c>
      <c r="F2903" t="s">
        <v>21</v>
      </c>
      <c r="G2903" t="s">
        <v>22</v>
      </c>
      <c r="H2903" t="s">
        <v>31</v>
      </c>
      <c r="I2903" t="s">
        <v>40</v>
      </c>
      <c r="J2903" t="s">
        <v>41</v>
      </c>
      <c r="K2903">
        <v>7</v>
      </c>
      <c r="L2903" s="2">
        <v>78.39</v>
      </c>
      <c r="M2903" s="3">
        <v>0.1</v>
      </c>
      <c r="N2903" s="2">
        <v>493.86</v>
      </c>
      <c r="O2903" s="2">
        <v>389.35</v>
      </c>
      <c r="P2903" s="2">
        <v>104.51</v>
      </c>
      <c r="Q2903" t="s">
        <v>34</v>
      </c>
    </row>
    <row r="2904" spans="1:17" x14ac:dyDescent="0.2">
      <c r="A2904" t="s">
        <v>3069</v>
      </c>
      <c r="B2904" s="1">
        <v>46012</v>
      </c>
      <c r="C2904" t="s">
        <v>77</v>
      </c>
      <c r="D2904" t="s">
        <v>128</v>
      </c>
      <c r="E2904" t="s">
        <v>129</v>
      </c>
      <c r="F2904" t="s">
        <v>71</v>
      </c>
      <c r="G2904" t="s">
        <v>54</v>
      </c>
      <c r="H2904" t="s">
        <v>47</v>
      </c>
      <c r="I2904" t="s">
        <v>97</v>
      </c>
      <c r="J2904" t="s">
        <v>98</v>
      </c>
      <c r="K2904">
        <v>9</v>
      </c>
      <c r="L2904" s="2">
        <v>494.12</v>
      </c>
      <c r="M2904" s="3">
        <v>0.1</v>
      </c>
      <c r="N2904" s="2">
        <v>4002.37</v>
      </c>
      <c r="O2904" s="2">
        <v>2945.49</v>
      </c>
      <c r="P2904" s="2">
        <v>1056.8800000000001</v>
      </c>
      <c r="Q2904" t="s">
        <v>26</v>
      </c>
    </row>
    <row r="2905" spans="1:17" x14ac:dyDescent="0.2">
      <c r="A2905" t="s">
        <v>3070</v>
      </c>
      <c r="B2905" s="1">
        <v>46012</v>
      </c>
      <c r="C2905" t="s">
        <v>77</v>
      </c>
      <c r="D2905" t="s">
        <v>95</v>
      </c>
      <c r="E2905" t="s">
        <v>300</v>
      </c>
      <c r="F2905" t="s">
        <v>71</v>
      </c>
      <c r="G2905" t="s">
        <v>75</v>
      </c>
      <c r="H2905" t="s">
        <v>31</v>
      </c>
      <c r="I2905" t="s">
        <v>40</v>
      </c>
      <c r="J2905" t="s">
        <v>41</v>
      </c>
      <c r="K2905">
        <v>9</v>
      </c>
      <c r="L2905" s="2">
        <v>154.4</v>
      </c>
      <c r="M2905" s="3">
        <v>0</v>
      </c>
      <c r="N2905" s="2">
        <v>1389.6</v>
      </c>
      <c r="O2905" s="2">
        <v>1059.75</v>
      </c>
      <c r="P2905" s="2">
        <v>329.85</v>
      </c>
      <c r="Q2905" t="s">
        <v>26</v>
      </c>
    </row>
    <row r="2906" spans="1:17" x14ac:dyDescent="0.2">
      <c r="A2906" t="s">
        <v>3071</v>
      </c>
      <c r="B2906" s="1">
        <v>46012</v>
      </c>
      <c r="C2906" t="s">
        <v>18</v>
      </c>
      <c r="D2906" t="s">
        <v>19</v>
      </c>
      <c r="E2906" t="s">
        <v>20</v>
      </c>
      <c r="F2906" t="s">
        <v>39</v>
      </c>
      <c r="G2906" t="s">
        <v>75</v>
      </c>
      <c r="H2906" t="s">
        <v>47</v>
      </c>
      <c r="I2906" t="s">
        <v>89</v>
      </c>
      <c r="J2906" t="s">
        <v>240</v>
      </c>
      <c r="K2906">
        <v>9</v>
      </c>
      <c r="L2906" s="2">
        <v>194.87</v>
      </c>
      <c r="M2906" s="3">
        <v>0</v>
      </c>
      <c r="N2906" s="2">
        <v>1753.83</v>
      </c>
      <c r="O2906" s="2">
        <v>1075.8499999999999</v>
      </c>
      <c r="P2906" s="2">
        <v>677.98</v>
      </c>
      <c r="Q2906" t="s">
        <v>61</v>
      </c>
    </row>
    <row r="2907" spans="1:17" x14ac:dyDescent="0.2">
      <c r="A2907" t="s">
        <v>3072</v>
      </c>
      <c r="B2907" s="1">
        <v>46012</v>
      </c>
      <c r="C2907" t="s">
        <v>43</v>
      </c>
      <c r="D2907" t="s">
        <v>208</v>
      </c>
      <c r="E2907" t="s">
        <v>209</v>
      </c>
      <c r="F2907" t="s">
        <v>69</v>
      </c>
      <c r="G2907" t="s">
        <v>54</v>
      </c>
      <c r="H2907" t="s">
        <v>31</v>
      </c>
      <c r="I2907" t="s">
        <v>40</v>
      </c>
      <c r="J2907" t="s">
        <v>41</v>
      </c>
      <c r="K2907">
        <v>3</v>
      </c>
      <c r="L2907" s="2">
        <v>241.98</v>
      </c>
      <c r="M2907" s="3">
        <v>0</v>
      </c>
      <c r="N2907" s="2">
        <v>725.94</v>
      </c>
      <c r="O2907" s="2">
        <v>500.52</v>
      </c>
      <c r="P2907" s="2">
        <v>225.42</v>
      </c>
      <c r="Q2907" t="s">
        <v>57</v>
      </c>
    </row>
    <row r="2908" spans="1:17" x14ac:dyDescent="0.2">
      <c r="A2908" t="s">
        <v>3073</v>
      </c>
      <c r="B2908" s="1">
        <v>46012</v>
      </c>
      <c r="C2908" t="s">
        <v>36</v>
      </c>
      <c r="D2908" t="s">
        <v>37</v>
      </c>
      <c r="E2908" t="s">
        <v>255</v>
      </c>
      <c r="F2908" t="s">
        <v>138</v>
      </c>
      <c r="G2908" t="s">
        <v>75</v>
      </c>
      <c r="H2908" t="s">
        <v>23</v>
      </c>
      <c r="I2908" t="s">
        <v>83</v>
      </c>
      <c r="J2908" t="s">
        <v>131</v>
      </c>
      <c r="K2908">
        <v>7</v>
      </c>
      <c r="L2908" s="2">
        <v>21.69</v>
      </c>
      <c r="M2908" s="3">
        <v>0.15</v>
      </c>
      <c r="N2908" s="2">
        <v>129.06</v>
      </c>
      <c r="O2908" s="2">
        <v>93.68</v>
      </c>
      <c r="P2908" s="2">
        <v>35.380000000000003</v>
      </c>
      <c r="Q2908" t="s">
        <v>34</v>
      </c>
    </row>
    <row r="2909" spans="1:17" x14ac:dyDescent="0.2">
      <c r="A2909" t="s">
        <v>3074</v>
      </c>
      <c r="B2909" s="1">
        <v>46012</v>
      </c>
      <c r="C2909" t="s">
        <v>77</v>
      </c>
      <c r="D2909" t="s">
        <v>78</v>
      </c>
      <c r="E2909" t="s">
        <v>295</v>
      </c>
      <c r="F2909" t="s">
        <v>130</v>
      </c>
      <c r="G2909" t="s">
        <v>22</v>
      </c>
      <c r="H2909" t="s">
        <v>23</v>
      </c>
      <c r="I2909" t="s">
        <v>79</v>
      </c>
      <c r="J2909" t="s">
        <v>233</v>
      </c>
      <c r="K2909">
        <v>3</v>
      </c>
      <c r="L2909" s="2">
        <v>526.38</v>
      </c>
      <c r="M2909" s="3">
        <v>0</v>
      </c>
      <c r="N2909" s="2">
        <v>1579.14</v>
      </c>
      <c r="O2909" s="2">
        <v>958.81</v>
      </c>
      <c r="P2909" s="2">
        <v>620.33000000000004</v>
      </c>
      <c r="Q2909" t="s">
        <v>57</v>
      </c>
    </row>
    <row r="2910" spans="1:17" x14ac:dyDescent="0.2">
      <c r="A2910" t="s">
        <v>3075</v>
      </c>
      <c r="B2910" s="1">
        <v>46012</v>
      </c>
      <c r="C2910" t="s">
        <v>77</v>
      </c>
      <c r="D2910" t="s">
        <v>149</v>
      </c>
      <c r="E2910" t="s">
        <v>150</v>
      </c>
      <c r="F2910" t="s">
        <v>30</v>
      </c>
      <c r="G2910" t="s">
        <v>22</v>
      </c>
      <c r="H2910" t="s">
        <v>47</v>
      </c>
      <c r="I2910" t="s">
        <v>48</v>
      </c>
      <c r="J2910" t="s">
        <v>49</v>
      </c>
      <c r="K2910">
        <v>2</v>
      </c>
      <c r="L2910" s="2">
        <v>424.01</v>
      </c>
      <c r="M2910" s="3">
        <v>0.1</v>
      </c>
      <c r="N2910" s="2">
        <v>763.22</v>
      </c>
      <c r="O2910" s="2">
        <v>505.5</v>
      </c>
      <c r="P2910" s="2">
        <v>257.72000000000003</v>
      </c>
      <c r="Q2910" t="s">
        <v>34</v>
      </c>
    </row>
    <row r="2911" spans="1:17" x14ac:dyDescent="0.2">
      <c r="A2911" t="s">
        <v>3076</v>
      </c>
      <c r="B2911" s="1">
        <v>46012</v>
      </c>
      <c r="C2911" t="s">
        <v>18</v>
      </c>
      <c r="D2911" t="s">
        <v>152</v>
      </c>
      <c r="E2911" t="s">
        <v>185</v>
      </c>
      <c r="F2911" t="s">
        <v>21</v>
      </c>
      <c r="G2911" t="s">
        <v>54</v>
      </c>
      <c r="H2911" t="s">
        <v>23</v>
      </c>
      <c r="I2911" t="s">
        <v>24</v>
      </c>
      <c r="J2911" t="s">
        <v>108</v>
      </c>
      <c r="K2911">
        <v>2</v>
      </c>
      <c r="L2911" s="2">
        <v>28.77</v>
      </c>
      <c r="M2911" s="3">
        <v>0</v>
      </c>
      <c r="N2911" s="2">
        <v>57.54</v>
      </c>
      <c r="O2911" s="2">
        <v>33.69</v>
      </c>
      <c r="P2911" s="2">
        <v>23.85</v>
      </c>
      <c r="Q2911" t="s">
        <v>57</v>
      </c>
    </row>
    <row r="2912" spans="1:17" x14ac:dyDescent="0.2">
      <c r="A2912" t="s">
        <v>3077</v>
      </c>
      <c r="B2912" s="1">
        <v>46012</v>
      </c>
      <c r="C2912" t="s">
        <v>77</v>
      </c>
      <c r="D2912" t="s">
        <v>106</v>
      </c>
      <c r="E2912" t="s">
        <v>236</v>
      </c>
      <c r="F2912" t="s">
        <v>46</v>
      </c>
      <c r="G2912" t="s">
        <v>22</v>
      </c>
      <c r="H2912" t="s">
        <v>31</v>
      </c>
      <c r="I2912" t="s">
        <v>32</v>
      </c>
      <c r="J2912" t="s">
        <v>258</v>
      </c>
      <c r="K2912">
        <v>1</v>
      </c>
      <c r="L2912" s="2">
        <v>701.58</v>
      </c>
      <c r="M2912" s="3">
        <v>0</v>
      </c>
      <c r="N2912" s="2">
        <v>701.58</v>
      </c>
      <c r="O2912" s="2">
        <v>492.64</v>
      </c>
      <c r="P2912" s="2">
        <v>208.94</v>
      </c>
      <c r="Q2912" t="s">
        <v>61</v>
      </c>
    </row>
    <row r="2913" spans="1:17" x14ac:dyDescent="0.2">
      <c r="A2913" t="s">
        <v>3078</v>
      </c>
      <c r="B2913" s="1">
        <v>46012</v>
      </c>
      <c r="C2913" t="s">
        <v>77</v>
      </c>
      <c r="D2913" t="s">
        <v>106</v>
      </c>
      <c r="E2913" t="s">
        <v>236</v>
      </c>
      <c r="F2913" t="s">
        <v>71</v>
      </c>
      <c r="G2913" t="s">
        <v>22</v>
      </c>
      <c r="H2913" t="s">
        <v>47</v>
      </c>
      <c r="I2913" t="s">
        <v>141</v>
      </c>
      <c r="J2913" t="s">
        <v>372</v>
      </c>
      <c r="K2913">
        <v>1</v>
      </c>
      <c r="L2913" s="2">
        <v>779.39</v>
      </c>
      <c r="M2913" s="3">
        <v>0.1</v>
      </c>
      <c r="N2913" s="2">
        <v>701.45</v>
      </c>
      <c r="O2913" s="2">
        <v>501.11</v>
      </c>
      <c r="P2913" s="2">
        <v>200.34</v>
      </c>
      <c r="Q2913" t="s">
        <v>61</v>
      </c>
    </row>
    <row r="2914" spans="1:17" x14ac:dyDescent="0.2">
      <c r="A2914" t="s">
        <v>3079</v>
      </c>
      <c r="B2914" s="1">
        <v>46012</v>
      </c>
      <c r="C2914" t="s">
        <v>18</v>
      </c>
      <c r="D2914" t="s">
        <v>86</v>
      </c>
      <c r="E2914" t="s">
        <v>92</v>
      </c>
      <c r="F2914" t="s">
        <v>21</v>
      </c>
      <c r="G2914" t="s">
        <v>75</v>
      </c>
      <c r="H2914" t="s">
        <v>47</v>
      </c>
      <c r="I2914" t="s">
        <v>89</v>
      </c>
      <c r="J2914" t="s">
        <v>204</v>
      </c>
      <c r="K2914">
        <v>8</v>
      </c>
      <c r="L2914" s="2">
        <v>359.78</v>
      </c>
      <c r="M2914" s="3">
        <v>0.05</v>
      </c>
      <c r="N2914" s="2">
        <v>2734.33</v>
      </c>
      <c r="O2914" s="2">
        <v>1857.15</v>
      </c>
      <c r="P2914" s="2">
        <v>877.18</v>
      </c>
      <c r="Q2914" t="s">
        <v>26</v>
      </c>
    </row>
    <row r="2915" spans="1:17" x14ac:dyDescent="0.2">
      <c r="A2915" t="s">
        <v>3080</v>
      </c>
      <c r="B2915" s="1">
        <v>46013</v>
      </c>
      <c r="C2915" t="s">
        <v>36</v>
      </c>
      <c r="D2915" t="s">
        <v>110</v>
      </c>
      <c r="E2915" t="s">
        <v>111</v>
      </c>
      <c r="F2915" t="s">
        <v>30</v>
      </c>
      <c r="G2915" t="s">
        <v>54</v>
      </c>
      <c r="H2915" t="s">
        <v>23</v>
      </c>
      <c r="I2915" t="s">
        <v>79</v>
      </c>
      <c r="J2915" t="s">
        <v>233</v>
      </c>
      <c r="K2915">
        <v>1</v>
      </c>
      <c r="L2915" s="2">
        <v>566.25</v>
      </c>
      <c r="M2915" s="3">
        <v>0.1</v>
      </c>
      <c r="N2915" s="2">
        <v>509.62</v>
      </c>
      <c r="O2915" s="2">
        <v>317.74</v>
      </c>
      <c r="P2915" s="2">
        <v>191.88</v>
      </c>
      <c r="Q2915" t="s">
        <v>34</v>
      </c>
    </row>
    <row r="2916" spans="1:17" x14ac:dyDescent="0.2">
      <c r="A2916" t="s">
        <v>3081</v>
      </c>
      <c r="B2916" s="1">
        <v>46013</v>
      </c>
      <c r="C2916" t="s">
        <v>43</v>
      </c>
      <c r="D2916" t="s">
        <v>208</v>
      </c>
      <c r="E2916" t="s">
        <v>287</v>
      </c>
      <c r="F2916" t="s">
        <v>69</v>
      </c>
      <c r="G2916" t="s">
        <v>75</v>
      </c>
      <c r="H2916" t="s">
        <v>31</v>
      </c>
      <c r="I2916" t="s">
        <v>112</v>
      </c>
      <c r="J2916" t="s">
        <v>176</v>
      </c>
      <c r="K2916">
        <v>6</v>
      </c>
      <c r="L2916" s="2">
        <v>607.45000000000005</v>
      </c>
      <c r="M2916" s="3">
        <v>0.05</v>
      </c>
      <c r="N2916" s="2">
        <v>3462.46</v>
      </c>
      <c r="O2916" s="2">
        <v>2683.68</v>
      </c>
      <c r="P2916" s="2">
        <v>778.78</v>
      </c>
      <c r="Q2916" t="s">
        <v>61</v>
      </c>
    </row>
    <row r="2917" spans="1:17" x14ac:dyDescent="0.2">
      <c r="A2917" t="s">
        <v>3082</v>
      </c>
      <c r="B2917" s="1">
        <v>46013</v>
      </c>
      <c r="C2917" t="s">
        <v>36</v>
      </c>
      <c r="D2917" t="s">
        <v>144</v>
      </c>
      <c r="E2917" t="s">
        <v>232</v>
      </c>
      <c r="F2917" t="s">
        <v>71</v>
      </c>
      <c r="G2917" t="s">
        <v>22</v>
      </c>
      <c r="H2917" t="s">
        <v>23</v>
      </c>
      <c r="I2917" t="s">
        <v>83</v>
      </c>
      <c r="J2917" t="s">
        <v>120</v>
      </c>
      <c r="K2917">
        <v>10</v>
      </c>
      <c r="L2917" s="2">
        <v>21.22</v>
      </c>
      <c r="M2917" s="3">
        <v>0</v>
      </c>
      <c r="N2917" s="2">
        <v>212.2</v>
      </c>
      <c r="O2917" s="2">
        <v>167.32</v>
      </c>
      <c r="P2917" s="2">
        <v>44.88</v>
      </c>
      <c r="Q2917" t="s">
        <v>34</v>
      </c>
    </row>
    <row r="2918" spans="1:17" x14ac:dyDescent="0.2">
      <c r="A2918" t="s">
        <v>3083</v>
      </c>
      <c r="B2918" s="1">
        <v>46013</v>
      </c>
      <c r="C2918" t="s">
        <v>36</v>
      </c>
      <c r="D2918" t="s">
        <v>144</v>
      </c>
      <c r="E2918" t="s">
        <v>232</v>
      </c>
      <c r="F2918" t="s">
        <v>130</v>
      </c>
      <c r="G2918" t="s">
        <v>22</v>
      </c>
      <c r="H2918" t="s">
        <v>31</v>
      </c>
      <c r="I2918" t="s">
        <v>112</v>
      </c>
      <c r="J2918" t="s">
        <v>136</v>
      </c>
      <c r="K2918">
        <v>3</v>
      </c>
      <c r="L2918" s="2">
        <v>644.39</v>
      </c>
      <c r="M2918" s="3">
        <v>0</v>
      </c>
      <c r="N2918" s="2">
        <v>1933.17</v>
      </c>
      <c r="O2918" s="2">
        <v>1488.59</v>
      </c>
      <c r="P2918" s="2">
        <v>444.58</v>
      </c>
      <c r="Q2918" t="s">
        <v>26</v>
      </c>
    </row>
    <row r="2919" spans="1:17" x14ac:dyDescent="0.2">
      <c r="A2919" t="s">
        <v>3084</v>
      </c>
      <c r="B2919" s="1">
        <v>46013</v>
      </c>
      <c r="C2919" t="s">
        <v>77</v>
      </c>
      <c r="D2919" t="s">
        <v>106</v>
      </c>
      <c r="E2919" t="s">
        <v>303</v>
      </c>
      <c r="F2919" t="s">
        <v>30</v>
      </c>
      <c r="G2919" t="s">
        <v>22</v>
      </c>
      <c r="H2919" t="s">
        <v>47</v>
      </c>
      <c r="I2919" t="s">
        <v>48</v>
      </c>
      <c r="J2919" t="s">
        <v>49</v>
      </c>
      <c r="K2919">
        <v>6</v>
      </c>
      <c r="L2919" s="2">
        <v>577.80999999999995</v>
      </c>
      <c r="M2919" s="3">
        <v>0.1</v>
      </c>
      <c r="N2919" s="2">
        <v>3120.17</v>
      </c>
      <c r="O2919" s="2">
        <v>2271.9699999999998</v>
      </c>
      <c r="P2919" s="2">
        <v>848.2</v>
      </c>
      <c r="Q2919" t="s">
        <v>61</v>
      </c>
    </row>
    <row r="2920" spans="1:17" x14ac:dyDescent="0.2">
      <c r="A2920" t="s">
        <v>3085</v>
      </c>
      <c r="B2920" s="1">
        <v>46014</v>
      </c>
      <c r="C2920" t="s">
        <v>36</v>
      </c>
      <c r="D2920" t="s">
        <v>144</v>
      </c>
      <c r="E2920" t="s">
        <v>214</v>
      </c>
      <c r="F2920" t="s">
        <v>71</v>
      </c>
      <c r="G2920" t="s">
        <v>75</v>
      </c>
      <c r="H2920" t="s">
        <v>31</v>
      </c>
      <c r="I2920" t="s">
        <v>64</v>
      </c>
      <c r="J2920" t="s">
        <v>252</v>
      </c>
      <c r="K2920">
        <v>9</v>
      </c>
      <c r="L2920" s="2">
        <v>146.54</v>
      </c>
      <c r="M2920" s="3">
        <v>0.05</v>
      </c>
      <c r="N2920" s="2">
        <v>1252.92</v>
      </c>
      <c r="O2920" s="2">
        <v>917.7</v>
      </c>
      <c r="P2920" s="2">
        <v>335.22</v>
      </c>
      <c r="Q2920" t="s">
        <v>57</v>
      </c>
    </row>
    <row r="2921" spans="1:17" x14ac:dyDescent="0.2">
      <c r="A2921" t="s">
        <v>3086</v>
      </c>
      <c r="B2921" s="1">
        <v>46014</v>
      </c>
      <c r="C2921" t="s">
        <v>18</v>
      </c>
      <c r="D2921" t="s">
        <v>28</v>
      </c>
      <c r="E2921" t="s">
        <v>157</v>
      </c>
      <c r="F2921" t="s">
        <v>46</v>
      </c>
      <c r="G2921" t="s">
        <v>22</v>
      </c>
      <c r="H2921" t="s">
        <v>23</v>
      </c>
      <c r="I2921" t="s">
        <v>83</v>
      </c>
      <c r="J2921" t="s">
        <v>84</v>
      </c>
      <c r="K2921">
        <v>6</v>
      </c>
      <c r="L2921" s="2">
        <v>20.75</v>
      </c>
      <c r="M2921" s="3">
        <v>0.05</v>
      </c>
      <c r="N2921" s="2">
        <v>118.28</v>
      </c>
      <c r="O2921" s="2">
        <v>90.58</v>
      </c>
      <c r="P2921" s="2">
        <v>27.7</v>
      </c>
      <c r="Q2921" t="s">
        <v>61</v>
      </c>
    </row>
    <row r="2922" spans="1:17" x14ac:dyDescent="0.2">
      <c r="A2922" t="s">
        <v>3087</v>
      </c>
      <c r="B2922" s="1">
        <v>46014</v>
      </c>
      <c r="C2922" t="s">
        <v>43</v>
      </c>
      <c r="D2922" t="s">
        <v>44</v>
      </c>
      <c r="E2922" t="s">
        <v>45</v>
      </c>
      <c r="F2922" t="s">
        <v>53</v>
      </c>
      <c r="G2922" t="s">
        <v>22</v>
      </c>
      <c r="H2922" t="s">
        <v>23</v>
      </c>
      <c r="I2922" t="s">
        <v>55</v>
      </c>
      <c r="J2922" t="s">
        <v>173</v>
      </c>
      <c r="K2922">
        <v>2</v>
      </c>
      <c r="L2922" s="2">
        <v>9.43</v>
      </c>
      <c r="M2922" s="3">
        <v>0</v>
      </c>
      <c r="N2922" s="2">
        <v>18.86</v>
      </c>
      <c r="O2922" s="2">
        <v>11.89</v>
      </c>
      <c r="P2922" s="2">
        <v>6.97</v>
      </c>
      <c r="Q2922" t="s">
        <v>57</v>
      </c>
    </row>
    <row r="2923" spans="1:17" x14ac:dyDescent="0.2">
      <c r="A2923" t="s">
        <v>3088</v>
      </c>
      <c r="B2923" s="1">
        <v>46014</v>
      </c>
      <c r="C2923" t="s">
        <v>36</v>
      </c>
      <c r="D2923" t="s">
        <v>67</v>
      </c>
      <c r="E2923" t="s">
        <v>270</v>
      </c>
      <c r="F2923" t="s">
        <v>30</v>
      </c>
      <c r="G2923" t="s">
        <v>22</v>
      </c>
      <c r="H2923" t="s">
        <v>23</v>
      </c>
      <c r="I2923" t="s">
        <v>83</v>
      </c>
      <c r="J2923" t="s">
        <v>131</v>
      </c>
      <c r="K2923">
        <v>10</v>
      </c>
      <c r="L2923" s="2">
        <v>10.96</v>
      </c>
      <c r="M2923" s="3">
        <v>0.15</v>
      </c>
      <c r="N2923" s="2">
        <v>93.16</v>
      </c>
      <c r="O2923" s="2">
        <v>63.66</v>
      </c>
      <c r="P2923" s="2">
        <v>29.5</v>
      </c>
      <c r="Q2923" t="s">
        <v>34</v>
      </c>
    </row>
    <row r="2924" spans="1:17" x14ac:dyDescent="0.2">
      <c r="A2924" t="s">
        <v>3089</v>
      </c>
      <c r="B2924" s="1">
        <v>46014</v>
      </c>
      <c r="C2924" t="s">
        <v>18</v>
      </c>
      <c r="D2924" t="s">
        <v>19</v>
      </c>
      <c r="E2924" t="s">
        <v>118</v>
      </c>
      <c r="F2924" t="s">
        <v>69</v>
      </c>
      <c r="G2924" t="s">
        <v>75</v>
      </c>
      <c r="H2924" t="s">
        <v>47</v>
      </c>
      <c r="I2924" t="s">
        <v>141</v>
      </c>
      <c r="J2924" t="s">
        <v>372</v>
      </c>
      <c r="K2924">
        <v>10</v>
      </c>
      <c r="L2924" s="2">
        <v>785.06</v>
      </c>
      <c r="M2924" s="3">
        <v>0.05</v>
      </c>
      <c r="N2924" s="2">
        <v>7458.07</v>
      </c>
      <c r="O2924" s="2">
        <v>5564.1</v>
      </c>
      <c r="P2924" s="2">
        <v>1893.97</v>
      </c>
      <c r="Q2924" t="s">
        <v>34</v>
      </c>
    </row>
    <row r="2925" spans="1:17" x14ac:dyDescent="0.2">
      <c r="A2925" t="s">
        <v>3090</v>
      </c>
      <c r="B2925" s="1">
        <v>46014</v>
      </c>
      <c r="C2925" t="s">
        <v>77</v>
      </c>
      <c r="D2925" t="s">
        <v>95</v>
      </c>
      <c r="E2925" t="s">
        <v>367</v>
      </c>
      <c r="F2925" t="s">
        <v>30</v>
      </c>
      <c r="G2925" t="s">
        <v>22</v>
      </c>
      <c r="H2925" t="s">
        <v>23</v>
      </c>
      <c r="I2925" t="s">
        <v>24</v>
      </c>
      <c r="J2925" t="s">
        <v>220</v>
      </c>
      <c r="K2925">
        <v>2</v>
      </c>
      <c r="L2925" s="2">
        <v>25.67</v>
      </c>
      <c r="M2925" s="3">
        <v>0.1</v>
      </c>
      <c r="N2925" s="2">
        <v>46.21</v>
      </c>
      <c r="O2925" s="2">
        <v>28.39</v>
      </c>
      <c r="P2925" s="2">
        <v>17.82</v>
      </c>
      <c r="Q2925" t="s">
        <v>26</v>
      </c>
    </row>
    <row r="2926" spans="1:17" x14ac:dyDescent="0.2">
      <c r="A2926" t="s">
        <v>3091</v>
      </c>
      <c r="B2926" s="1">
        <v>46014</v>
      </c>
      <c r="C2926" t="s">
        <v>18</v>
      </c>
      <c r="D2926" t="s">
        <v>28</v>
      </c>
      <c r="E2926" t="s">
        <v>29</v>
      </c>
      <c r="F2926" t="s">
        <v>71</v>
      </c>
      <c r="G2926" t="s">
        <v>54</v>
      </c>
      <c r="H2926" t="s">
        <v>23</v>
      </c>
      <c r="I2926" t="s">
        <v>55</v>
      </c>
      <c r="J2926" t="s">
        <v>173</v>
      </c>
      <c r="K2926">
        <v>2</v>
      </c>
      <c r="L2926" s="2">
        <v>18.739999999999998</v>
      </c>
      <c r="M2926" s="3">
        <v>0.05</v>
      </c>
      <c r="N2926" s="2">
        <v>35.61</v>
      </c>
      <c r="O2926" s="2">
        <v>26.99</v>
      </c>
      <c r="P2926" s="2">
        <v>8.6199999999999992</v>
      </c>
      <c r="Q2926" t="s">
        <v>61</v>
      </c>
    </row>
    <row r="2927" spans="1:17" x14ac:dyDescent="0.2">
      <c r="A2927" t="s">
        <v>3092</v>
      </c>
      <c r="B2927" s="1">
        <v>46014</v>
      </c>
      <c r="C2927" t="s">
        <v>36</v>
      </c>
      <c r="D2927" t="s">
        <v>144</v>
      </c>
      <c r="E2927" t="s">
        <v>214</v>
      </c>
      <c r="F2927" t="s">
        <v>46</v>
      </c>
      <c r="G2927" t="s">
        <v>75</v>
      </c>
      <c r="H2927" t="s">
        <v>47</v>
      </c>
      <c r="I2927" t="s">
        <v>48</v>
      </c>
      <c r="J2927" t="s">
        <v>49</v>
      </c>
      <c r="K2927">
        <v>5</v>
      </c>
      <c r="L2927" s="2">
        <v>324.47000000000003</v>
      </c>
      <c r="M2927" s="3">
        <v>0.15</v>
      </c>
      <c r="N2927" s="2">
        <v>1379</v>
      </c>
      <c r="O2927" s="2">
        <v>759.13</v>
      </c>
      <c r="P2927" s="2">
        <v>619.87</v>
      </c>
      <c r="Q2927" t="s">
        <v>34</v>
      </c>
    </row>
    <row r="2928" spans="1:17" x14ac:dyDescent="0.2">
      <c r="A2928" t="s">
        <v>3093</v>
      </c>
      <c r="B2928" s="1">
        <v>46014</v>
      </c>
      <c r="C2928" t="s">
        <v>43</v>
      </c>
      <c r="D2928" t="s">
        <v>44</v>
      </c>
      <c r="E2928" t="s">
        <v>82</v>
      </c>
      <c r="F2928" t="s">
        <v>46</v>
      </c>
      <c r="G2928" t="s">
        <v>22</v>
      </c>
      <c r="H2928" t="s">
        <v>31</v>
      </c>
      <c r="I2928" t="s">
        <v>40</v>
      </c>
      <c r="J2928" t="s">
        <v>122</v>
      </c>
      <c r="K2928">
        <v>7</v>
      </c>
      <c r="L2928" s="2">
        <v>164.32</v>
      </c>
      <c r="M2928" s="3">
        <v>0.05</v>
      </c>
      <c r="N2928" s="2">
        <v>1092.73</v>
      </c>
      <c r="O2928" s="2">
        <v>696.17</v>
      </c>
      <c r="P2928" s="2">
        <v>396.56</v>
      </c>
      <c r="Q2928" t="s">
        <v>34</v>
      </c>
    </row>
    <row r="2929" spans="1:17" x14ac:dyDescent="0.2">
      <c r="A2929" t="s">
        <v>3094</v>
      </c>
      <c r="B2929" s="1">
        <v>46014</v>
      </c>
      <c r="C2929" t="s">
        <v>43</v>
      </c>
      <c r="D2929" t="s">
        <v>244</v>
      </c>
      <c r="E2929" t="s">
        <v>300</v>
      </c>
      <c r="F2929" t="s">
        <v>30</v>
      </c>
      <c r="G2929" t="s">
        <v>75</v>
      </c>
      <c r="H2929" t="s">
        <v>47</v>
      </c>
      <c r="I2929" t="s">
        <v>97</v>
      </c>
      <c r="J2929" t="s">
        <v>98</v>
      </c>
      <c r="K2929">
        <v>2</v>
      </c>
      <c r="L2929" s="2">
        <v>383.79</v>
      </c>
      <c r="M2929" s="3">
        <v>0.15</v>
      </c>
      <c r="N2929" s="2">
        <v>652.44000000000005</v>
      </c>
      <c r="O2929" s="2">
        <v>375.52</v>
      </c>
      <c r="P2929" s="2">
        <v>276.92</v>
      </c>
      <c r="Q2929" t="s">
        <v>57</v>
      </c>
    </row>
    <row r="2930" spans="1:17" x14ac:dyDescent="0.2">
      <c r="A2930" t="s">
        <v>3095</v>
      </c>
      <c r="B2930" s="1">
        <v>46014</v>
      </c>
      <c r="C2930" t="s">
        <v>77</v>
      </c>
      <c r="D2930" t="s">
        <v>128</v>
      </c>
      <c r="E2930" t="s">
        <v>159</v>
      </c>
      <c r="F2930" t="s">
        <v>69</v>
      </c>
      <c r="G2930" t="s">
        <v>54</v>
      </c>
      <c r="H2930" t="s">
        <v>23</v>
      </c>
      <c r="I2930" t="s">
        <v>79</v>
      </c>
      <c r="J2930" t="s">
        <v>233</v>
      </c>
      <c r="K2930">
        <v>5</v>
      </c>
      <c r="L2930" s="2">
        <v>264.12</v>
      </c>
      <c r="M2930" s="3">
        <v>0.15</v>
      </c>
      <c r="N2930" s="2">
        <v>1122.51</v>
      </c>
      <c r="O2930" s="2">
        <v>650.86</v>
      </c>
      <c r="P2930" s="2">
        <v>471.65</v>
      </c>
      <c r="Q2930" t="s">
        <v>57</v>
      </c>
    </row>
    <row r="2931" spans="1:17" x14ac:dyDescent="0.2">
      <c r="A2931" t="s">
        <v>3096</v>
      </c>
      <c r="B2931" s="1">
        <v>46014</v>
      </c>
      <c r="C2931" t="s">
        <v>77</v>
      </c>
      <c r="D2931" t="s">
        <v>95</v>
      </c>
      <c r="E2931" t="s">
        <v>367</v>
      </c>
      <c r="F2931" t="s">
        <v>53</v>
      </c>
      <c r="G2931" t="s">
        <v>75</v>
      </c>
      <c r="H2931" t="s">
        <v>23</v>
      </c>
      <c r="I2931" t="s">
        <v>24</v>
      </c>
      <c r="J2931" t="s">
        <v>220</v>
      </c>
      <c r="K2931">
        <v>8</v>
      </c>
      <c r="L2931" s="2">
        <v>11.3</v>
      </c>
      <c r="M2931" s="3">
        <v>0.05</v>
      </c>
      <c r="N2931" s="2">
        <v>85.88</v>
      </c>
      <c r="O2931" s="2">
        <v>51.1</v>
      </c>
      <c r="P2931" s="2">
        <v>34.78</v>
      </c>
      <c r="Q2931" t="s">
        <v>26</v>
      </c>
    </row>
    <row r="2932" spans="1:17" x14ac:dyDescent="0.2">
      <c r="A2932" t="s">
        <v>3097</v>
      </c>
      <c r="B2932" s="1">
        <v>46014</v>
      </c>
      <c r="C2932" t="s">
        <v>43</v>
      </c>
      <c r="D2932" t="s">
        <v>51</v>
      </c>
      <c r="E2932" t="s">
        <v>63</v>
      </c>
      <c r="F2932" t="s">
        <v>71</v>
      </c>
      <c r="G2932" t="s">
        <v>54</v>
      </c>
      <c r="H2932" t="s">
        <v>23</v>
      </c>
      <c r="I2932" t="s">
        <v>79</v>
      </c>
      <c r="J2932" t="s">
        <v>80</v>
      </c>
      <c r="K2932">
        <v>2</v>
      </c>
      <c r="L2932" s="2">
        <v>591.5</v>
      </c>
      <c r="M2932" s="3">
        <v>0</v>
      </c>
      <c r="N2932" s="2">
        <v>1183</v>
      </c>
      <c r="O2932" s="2">
        <v>742.44</v>
      </c>
      <c r="P2932" s="2">
        <v>440.56</v>
      </c>
      <c r="Q2932" t="s">
        <v>26</v>
      </c>
    </row>
    <row r="2933" spans="1:17" x14ac:dyDescent="0.2">
      <c r="A2933" t="s">
        <v>3098</v>
      </c>
      <c r="B2933" s="1">
        <v>46014</v>
      </c>
      <c r="C2933" t="s">
        <v>77</v>
      </c>
      <c r="D2933" t="s">
        <v>128</v>
      </c>
      <c r="E2933" t="s">
        <v>129</v>
      </c>
      <c r="F2933" t="s">
        <v>46</v>
      </c>
      <c r="G2933" t="s">
        <v>75</v>
      </c>
      <c r="H2933" t="s">
        <v>23</v>
      </c>
      <c r="I2933" t="s">
        <v>55</v>
      </c>
      <c r="J2933" t="s">
        <v>56</v>
      </c>
      <c r="K2933">
        <v>10</v>
      </c>
      <c r="L2933" s="2">
        <v>6.5</v>
      </c>
      <c r="M2933" s="3">
        <v>0.05</v>
      </c>
      <c r="N2933" s="2">
        <v>61.75</v>
      </c>
      <c r="O2933" s="2">
        <v>46.6</v>
      </c>
      <c r="P2933" s="2">
        <v>15.15</v>
      </c>
      <c r="Q2933" t="s">
        <v>57</v>
      </c>
    </row>
    <row r="2934" spans="1:17" x14ac:dyDescent="0.2">
      <c r="A2934" t="s">
        <v>3099</v>
      </c>
      <c r="B2934" s="1">
        <v>46014</v>
      </c>
      <c r="C2934" t="s">
        <v>36</v>
      </c>
      <c r="D2934" t="s">
        <v>73</v>
      </c>
      <c r="E2934" t="s">
        <v>74</v>
      </c>
      <c r="F2934" t="s">
        <v>130</v>
      </c>
      <c r="G2934" t="s">
        <v>54</v>
      </c>
      <c r="H2934" t="s">
        <v>23</v>
      </c>
      <c r="I2934" t="s">
        <v>55</v>
      </c>
      <c r="J2934" t="s">
        <v>56</v>
      </c>
      <c r="K2934">
        <v>9</v>
      </c>
      <c r="L2934" s="2">
        <v>12.57</v>
      </c>
      <c r="M2934" s="3">
        <v>0</v>
      </c>
      <c r="N2934" s="2">
        <v>113.13</v>
      </c>
      <c r="O2934" s="2">
        <v>72.069999999999993</v>
      </c>
      <c r="P2934" s="2">
        <v>41.06</v>
      </c>
      <c r="Q2934" t="s">
        <v>26</v>
      </c>
    </row>
    <row r="2935" spans="1:17" x14ac:dyDescent="0.2">
      <c r="A2935" t="s">
        <v>3100</v>
      </c>
      <c r="B2935" s="1">
        <v>46014</v>
      </c>
      <c r="C2935" t="s">
        <v>36</v>
      </c>
      <c r="D2935" t="s">
        <v>144</v>
      </c>
      <c r="E2935" t="s">
        <v>232</v>
      </c>
      <c r="F2935" t="s">
        <v>30</v>
      </c>
      <c r="G2935" t="s">
        <v>54</v>
      </c>
      <c r="H2935" t="s">
        <v>23</v>
      </c>
      <c r="I2935" t="s">
        <v>79</v>
      </c>
      <c r="J2935" t="s">
        <v>80</v>
      </c>
      <c r="K2935">
        <v>9</v>
      </c>
      <c r="L2935" s="2">
        <v>557.92999999999995</v>
      </c>
      <c r="M2935" s="3">
        <v>0.1</v>
      </c>
      <c r="N2935" s="2">
        <v>4519.2299999999996</v>
      </c>
      <c r="O2935" s="2">
        <v>3526.16</v>
      </c>
      <c r="P2935" s="2">
        <v>993.07</v>
      </c>
      <c r="Q2935" t="s">
        <v>61</v>
      </c>
    </row>
    <row r="2936" spans="1:17" x14ac:dyDescent="0.2">
      <c r="A2936" t="s">
        <v>3101</v>
      </c>
      <c r="B2936" s="1">
        <v>46015</v>
      </c>
      <c r="C2936" t="s">
        <v>18</v>
      </c>
      <c r="D2936" t="s">
        <v>28</v>
      </c>
      <c r="E2936" t="s">
        <v>29</v>
      </c>
      <c r="F2936" t="s">
        <v>69</v>
      </c>
      <c r="G2936" t="s">
        <v>75</v>
      </c>
      <c r="H2936" t="s">
        <v>23</v>
      </c>
      <c r="I2936" t="s">
        <v>79</v>
      </c>
      <c r="J2936" t="s">
        <v>179</v>
      </c>
      <c r="K2936">
        <v>8</v>
      </c>
      <c r="L2936" s="2">
        <v>552.69000000000005</v>
      </c>
      <c r="M2936" s="3">
        <v>0</v>
      </c>
      <c r="N2936" s="2">
        <v>4421.5200000000004</v>
      </c>
      <c r="O2936" s="2">
        <v>3351.68</v>
      </c>
      <c r="P2936" s="2">
        <v>1069.8399999999999</v>
      </c>
      <c r="Q2936" t="s">
        <v>26</v>
      </c>
    </row>
    <row r="2937" spans="1:17" x14ac:dyDescent="0.2">
      <c r="A2937" t="s">
        <v>3102</v>
      </c>
      <c r="B2937" s="1">
        <v>46015</v>
      </c>
      <c r="C2937" t="s">
        <v>77</v>
      </c>
      <c r="D2937" t="s">
        <v>128</v>
      </c>
      <c r="E2937" t="s">
        <v>155</v>
      </c>
      <c r="F2937" t="s">
        <v>30</v>
      </c>
      <c r="G2937" t="s">
        <v>75</v>
      </c>
      <c r="H2937" t="s">
        <v>23</v>
      </c>
      <c r="I2937" t="s">
        <v>55</v>
      </c>
      <c r="J2937" t="s">
        <v>56</v>
      </c>
      <c r="K2937">
        <v>2</v>
      </c>
      <c r="L2937" s="2">
        <v>23.34</v>
      </c>
      <c r="M2937" s="3">
        <v>0</v>
      </c>
      <c r="N2937" s="2">
        <v>46.68</v>
      </c>
      <c r="O2937" s="2">
        <v>32.799999999999997</v>
      </c>
      <c r="P2937" s="2">
        <v>13.88</v>
      </c>
      <c r="Q2937" t="s">
        <v>57</v>
      </c>
    </row>
    <row r="2938" spans="1:17" x14ac:dyDescent="0.2">
      <c r="A2938" t="s">
        <v>3103</v>
      </c>
      <c r="B2938" s="1">
        <v>46015</v>
      </c>
      <c r="C2938" t="s">
        <v>77</v>
      </c>
      <c r="D2938" t="s">
        <v>95</v>
      </c>
      <c r="E2938" t="s">
        <v>367</v>
      </c>
      <c r="F2938" t="s">
        <v>53</v>
      </c>
      <c r="G2938" t="s">
        <v>75</v>
      </c>
      <c r="H2938" t="s">
        <v>23</v>
      </c>
      <c r="I2938" t="s">
        <v>55</v>
      </c>
      <c r="J2938" t="s">
        <v>56</v>
      </c>
      <c r="K2938">
        <v>9</v>
      </c>
      <c r="L2938" s="2">
        <v>11.94</v>
      </c>
      <c r="M2938" s="3">
        <v>0.05</v>
      </c>
      <c r="N2938" s="2">
        <v>102.09</v>
      </c>
      <c r="O2938" s="2">
        <v>70.489999999999995</v>
      </c>
      <c r="P2938" s="2">
        <v>31.6</v>
      </c>
      <c r="Q2938" t="s">
        <v>57</v>
      </c>
    </row>
    <row r="2939" spans="1:17" x14ac:dyDescent="0.2">
      <c r="A2939" t="s">
        <v>3104</v>
      </c>
      <c r="B2939" s="1">
        <v>46015</v>
      </c>
      <c r="C2939" t="s">
        <v>36</v>
      </c>
      <c r="D2939" t="s">
        <v>37</v>
      </c>
      <c r="E2939" t="s">
        <v>187</v>
      </c>
      <c r="F2939" t="s">
        <v>60</v>
      </c>
      <c r="G2939" t="s">
        <v>75</v>
      </c>
      <c r="H2939" t="s">
        <v>31</v>
      </c>
      <c r="I2939" t="s">
        <v>32</v>
      </c>
      <c r="J2939" t="s">
        <v>258</v>
      </c>
      <c r="K2939">
        <v>4</v>
      </c>
      <c r="L2939" s="2">
        <v>1204.78</v>
      </c>
      <c r="M2939" s="3">
        <v>0.1</v>
      </c>
      <c r="N2939" s="2">
        <v>4337.21</v>
      </c>
      <c r="O2939" s="2">
        <v>2677.37</v>
      </c>
      <c r="P2939" s="2">
        <v>1659.84</v>
      </c>
      <c r="Q2939" t="s">
        <v>61</v>
      </c>
    </row>
    <row r="2940" spans="1:17" x14ac:dyDescent="0.2">
      <c r="A2940" t="s">
        <v>3105</v>
      </c>
      <c r="B2940" s="1">
        <v>46015</v>
      </c>
      <c r="C2940" t="s">
        <v>43</v>
      </c>
      <c r="D2940" t="s">
        <v>161</v>
      </c>
      <c r="E2940" t="s">
        <v>172</v>
      </c>
      <c r="F2940" t="s">
        <v>46</v>
      </c>
      <c r="G2940" t="s">
        <v>22</v>
      </c>
      <c r="H2940" t="s">
        <v>23</v>
      </c>
      <c r="I2940" t="s">
        <v>55</v>
      </c>
      <c r="J2940" t="s">
        <v>102</v>
      </c>
      <c r="K2940">
        <v>5</v>
      </c>
      <c r="L2940" s="2">
        <v>7.19</v>
      </c>
      <c r="M2940" s="3">
        <v>0.15</v>
      </c>
      <c r="N2940" s="2">
        <v>30.56</v>
      </c>
      <c r="O2940" s="2">
        <v>18.32</v>
      </c>
      <c r="P2940" s="2">
        <v>12.24</v>
      </c>
      <c r="Q2940" t="s">
        <v>57</v>
      </c>
    </row>
    <row r="2941" spans="1:17" x14ac:dyDescent="0.2">
      <c r="A2941" t="s">
        <v>3106</v>
      </c>
      <c r="B2941" s="1">
        <v>46015</v>
      </c>
      <c r="C2941" t="s">
        <v>36</v>
      </c>
      <c r="D2941" t="s">
        <v>67</v>
      </c>
      <c r="E2941" t="s">
        <v>270</v>
      </c>
      <c r="F2941" t="s">
        <v>30</v>
      </c>
      <c r="G2941" t="s">
        <v>22</v>
      </c>
      <c r="H2941" t="s">
        <v>23</v>
      </c>
      <c r="I2941" t="s">
        <v>79</v>
      </c>
      <c r="J2941" t="s">
        <v>233</v>
      </c>
      <c r="K2941">
        <v>8</v>
      </c>
      <c r="L2941" s="2">
        <v>294.11</v>
      </c>
      <c r="M2941" s="3">
        <v>0.1</v>
      </c>
      <c r="N2941" s="2">
        <v>2117.59</v>
      </c>
      <c r="O2941" s="2">
        <v>1305.18</v>
      </c>
      <c r="P2941" s="2">
        <v>812.41</v>
      </c>
      <c r="Q2941" t="s">
        <v>61</v>
      </c>
    </row>
    <row r="2942" spans="1:17" x14ac:dyDescent="0.2">
      <c r="A2942" t="s">
        <v>3107</v>
      </c>
      <c r="B2942" s="1">
        <v>46015</v>
      </c>
      <c r="C2942" t="s">
        <v>43</v>
      </c>
      <c r="D2942" t="s">
        <v>161</v>
      </c>
      <c r="E2942" t="s">
        <v>172</v>
      </c>
      <c r="F2942" t="s">
        <v>46</v>
      </c>
      <c r="G2942" t="s">
        <v>75</v>
      </c>
      <c r="H2942" t="s">
        <v>47</v>
      </c>
      <c r="I2942" t="s">
        <v>89</v>
      </c>
      <c r="J2942" t="s">
        <v>240</v>
      </c>
      <c r="K2942">
        <v>5</v>
      </c>
      <c r="L2942" s="2">
        <v>189.69</v>
      </c>
      <c r="M2942" s="3">
        <v>0</v>
      </c>
      <c r="N2942" s="2">
        <v>948.45</v>
      </c>
      <c r="O2942" s="2">
        <v>605.09</v>
      </c>
      <c r="P2942" s="2">
        <v>343.36</v>
      </c>
      <c r="Q2942" t="s">
        <v>57</v>
      </c>
    </row>
    <row r="2943" spans="1:17" x14ac:dyDescent="0.2">
      <c r="A2943" t="s">
        <v>3108</v>
      </c>
      <c r="B2943" s="1">
        <v>46015</v>
      </c>
      <c r="C2943" t="s">
        <v>36</v>
      </c>
      <c r="D2943" t="s">
        <v>110</v>
      </c>
      <c r="E2943" t="s">
        <v>115</v>
      </c>
      <c r="F2943" t="s">
        <v>53</v>
      </c>
      <c r="G2943" t="s">
        <v>22</v>
      </c>
      <c r="H2943" t="s">
        <v>23</v>
      </c>
      <c r="I2943" t="s">
        <v>55</v>
      </c>
      <c r="J2943" t="s">
        <v>56</v>
      </c>
      <c r="K2943">
        <v>6</v>
      </c>
      <c r="L2943" s="2">
        <v>14.89</v>
      </c>
      <c r="M2943" s="3">
        <v>0.1</v>
      </c>
      <c r="N2943" s="2">
        <v>80.41</v>
      </c>
      <c r="O2943" s="2">
        <v>54.07</v>
      </c>
      <c r="P2943" s="2">
        <v>26.34</v>
      </c>
      <c r="Q2943" t="s">
        <v>57</v>
      </c>
    </row>
    <row r="2944" spans="1:17" x14ac:dyDescent="0.2">
      <c r="A2944" t="s">
        <v>3109</v>
      </c>
      <c r="B2944" s="1">
        <v>46015</v>
      </c>
      <c r="C2944" t="s">
        <v>43</v>
      </c>
      <c r="D2944" t="s">
        <v>161</v>
      </c>
      <c r="E2944" t="s">
        <v>418</v>
      </c>
      <c r="F2944" t="s">
        <v>69</v>
      </c>
      <c r="G2944" t="s">
        <v>22</v>
      </c>
      <c r="H2944" t="s">
        <v>23</v>
      </c>
      <c r="I2944" t="s">
        <v>24</v>
      </c>
      <c r="J2944" t="s">
        <v>220</v>
      </c>
      <c r="K2944">
        <v>1</v>
      </c>
      <c r="L2944" s="2">
        <v>7.9</v>
      </c>
      <c r="M2944" s="3">
        <v>0.15</v>
      </c>
      <c r="N2944" s="2">
        <v>6.72</v>
      </c>
      <c r="O2944" s="2">
        <v>5.31</v>
      </c>
      <c r="P2944" s="2">
        <v>1.41</v>
      </c>
      <c r="Q2944" t="s">
        <v>57</v>
      </c>
    </row>
    <row r="2945" spans="1:17" x14ac:dyDescent="0.2">
      <c r="A2945" t="s">
        <v>3110</v>
      </c>
      <c r="B2945" s="1">
        <v>46015</v>
      </c>
      <c r="C2945" t="s">
        <v>43</v>
      </c>
      <c r="D2945" t="s">
        <v>208</v>
      </c>
      <c r="E2945" t="s">
        <v>287</v>
      </c>
      <c r="F2945" t="s">
        <v>30</v>
      </c>
      <c r="G2945" t="s">
        <v>54</v>
      </c>
      <c r="H2945" t="s">
        <v>23</v>
      </c>
      <c r="I2945" t="s">
        <v>79</v>
      </c>
      <c r="J2945" t="s">
        <v>233</v>
      </c>
      <c r="K2945">
        <v>2</v>
      </c>
      <c r="L2945" s="2">
        <v>491.69</v>
      </c>
      <c r="M2945" s="3">
        <v>0</v>
      </c>
      <c r="N2945" s="2">
        <v>983.38</v>
      </c>
      <c r="O2945" s="2">
        <v>613.17999999999995</v>
      </c>
      <c r="P2945" s="2">
        <v>370.2</v>
      </c>
      <c r="Q2945" t="s">
        <v>57</v>
      </c>
    </row>
    <row r="2946" spans="1:17" x14ac:dyDescent="0.2">
      <c r="A2946" t="s">
        <v>3111</v>
      </c>
      <c r="B2946" s="1">
        <v>46015</v>
      </c>
      <c r="C2946" t="s">
        <v>43</v>
      </c>
      <c r="D2946" t="s">
        <v>44</v>
      </c>
      <c r="E2946" t="s">
        <v>45</v>
      </c>
      <c r="F2946" t="s">
        <v>130</v>
      </c>
      <c r="G2946" t="s">
        <v>22</v>
      </c>
      <c r="H2946" t="s">
        <v>31</v>
      </c>
      <c r="I2946" t="s">
        <v>40</v>
      </c>
      <c r="J2946" t="s">
        <v>41</v>
      </c>
      <c r="K2946">
        <v>2</v>
      </c>
      <c r="L2946" s="2">
        <v>100.29</v>
      </c>
      <c r="M2946" s="3">
        <v>0.05</v>
      </c>
      <c r="N2946" s="2">
        <v>190.55</v>
      </c>
      <c r="O2946" s="2">
        <v>112.71</v>
      </c>
      <c r="P2946" s="2">
        <v>77.84</v>
      </c>
      <c r="Q2946" t="s">
        <v>26</v>
      </c>
    </row>
    <row r="2947" spans="1:17" x14ac:dyDescent="0.2">
      <c r="A2947" t="s">
        <v>3112</v>
      </c>
      <c r="B2947" s="1">
        <v>46016</v>
      </c>
      <c r="C2947" t="s">
        <v>43</v>
      </c>
      <c r="D2947" t="s">
        <v>161</v>
      </c>
      <c r="E2947" t="s">
        <v>418</v>
      </c>
      <c r="F2947" t="s">
        <v>69</v>
      </c>
      <c r="G2947" t="s">
        <v>22</v>
      </c>
      <c r="H2947" t="s">
        <v>47</v>
      </c>
      <c r="I2947" t="s">
        <v>89</v>
      </c>
      <c r="J2947" t="s">
        <v>90</v>
      </c>
      <c r="K2947">
        <v>2</v>
      </c>
      <c r="L2947" s="2">
        <v>237.15</v>
      </c>
      <c r="M2947" s="3">
        <v>0.05</v>
      </c>
      <c r="N2947" s="2">
        <v>450.58</v>
      </c>
      <c r="O2947" s="2">
        <v>329.11</v>
      </c>
      <c r="P2947" s="2">
        <v>121.47</v>
      </c>
      <c r="Q2947" t="s">
        <v>61</v>
      </c>
    </row>
    <row r="2948" spans="1:17" x14ac:dyDescent="0.2">
      <c r="A2948" t="s">
        <v>3113</v>
      </c>
      <c r="B2948" s="1">
        <v>46016</v>
      </c>
      <c r="C2948" t="s">
        <v>77</v>
      </c>
      <c r="D2948" t="s">
        <v>78</v>
      </c>
      <c r="E2948" t="s">
        <v>52</v>
      </c>
      <c r="F2948" t="s">
        <v>39</v>
      </c>
      <c r="G2948" t="s">
        <v>22</v>
      </c>
      <c r="H2948" t="s">
        <v>31</v>
      </c>
      <c r="I2948" t="s">
        <v>40</v>
      </c>
      <c r="J2948" t="s">
        <v>122</v>
      </c>
      <c r="K2948">
        <v>1</v>
      </c>
      <c r="L2948" s="2">
        <v>180.51</v>
      </c>
      <c r="M2948" s="3">
        <v>0</v>
      </c>
      <c r="N2948" s="2">
        <v>180.51</v>
      </c>
      <c r="O2948" s="2">
        <v>123.86</v>
      </c>
      <c r="P2948" s="2">
        <v>56.65</v>
      </c>
      <c r="Q2948" t="s">
        <v>61</v>
      </c>
    </row>
    <row r="2949" spans="1:17" x14ac:dyDescent="0.2">
      <c r="A2949" t="s">
        <v>3114</v>
      </c>
      <c r="B2949" s="1">
        <v>46016</v>
      </c>
      <c r="C2949" t="s">
        <v>77</v>
      </c>
      <c r="D2949" t="s">
        <v>128</v>
      </c>
      <c r="E2949" t="s">
        <v>129</v>
      </c>
      <c r="F2949" t="s">
        <v>30</v>
      </c>
      <c r="G2949" t="s">
        <v>54</v>
      </c>
      <c r="H2949" t="s">
        <v>31</v>
      </c>
      <c r="I2949" t="s">
        <v>32</v>
      </c>
      <c r="J2949" t="s">
        <v>33</v>
      </c>
      <c r="K2949">
        <v>10</v>
      </c>
      <c r="L2949" s="2">
        <v>621.86</v>
      </c>
      <c r="M2949" s="3">
        <v>0.2</v>
      </c>
      <c r="N2949" s="2">
        <v>4974.88</v>
      </c>
      <c r="O2949" s="2">
        <v>3230.71</v>
      </c>
      <c r="P2949" s="2">
        <v>1744.17</v>
      </c>
      <c r="Q2949" t="s">
        <v>57</v>
      </c>
    </row>
    <row r="2950" spans="1:17" x14ac:dyDescent="0.2">
      <c r="A2950" t="s">
        <v>3115</v>
      </c>
      <c r="B2950" s="1">
        <v>46016</v>
      </c>
      <c r="C2950" t="s">
        <v>77</v>
      </c>
      <c r="D2950" t="s">
        <v>78</v>
      </c>
      <c r="E2950" t="s">
        <v>261</v>
      </c>
      <c r="F2950" t="s">
        <v>138</v>
      </c>
      <c r="G2950" t="s">
        <v>22</v>
      </c>
      <c r="H2950" t="s">
        <v>31</v>
      </c>
      <c r="I2950" t="s">
        <v>64</v>
      </c>
      <c r="J2950" t="s">
        <v>126</v>
      </c>
      <c r="K2950">
        <v>7</v>
      </c>
      <c r="L2950" s="2">
        <v>124.4</v>
      </c>
      <c r="M2950" s="3">
        <v>0.1</v>
      </c>
      <c r="N2950" s="2">
        <v>783.72</v>
      </c>
      <c r="O2950" s="2">
        <v>475.57</v>
      </c>
      <c r="P2950" s="2">
        <v>308.14999999999998</v>
      </c>
      <c r="Q2950" t="s">
        <v>61</v>
      </c>
    </row>
    <row r="2951" spans="1:17" x14ac:dyDescent="0.2">
      <c r="A2951" t="s">
        <v>3116</v>
      </c>
      <c r="B2951" s="1">
        <v>46016</v>
      </c>
      <c r="C2951" t="s">
        <v>18</v>
      </c>
      <c r="D2951" t="s">
        <v>86</v>
      </c>
      <c r="E2951" t="s">
        <v>87</v>
      </c>
      <c r="F2951" t="s">
        <v>138</v>
      </c>
      <c r="G2951" t="s">
        <v>22</v>
      </c>
      <c r="H2951" t="s">
        <v>31</v>
      </c>
      <c r="I2951" t="s">
        <v>112</v>
      </c>
      <c r="J2951" t="s">
        <v>136</v>
      </c>
      <c r="K2951">
        <v>6</v>
      </c>
      <c r="L2951" s="2">
        <v>561.30999999999995</v>
      </c>
      <c r="M2951" s="3">
        <v>0</v>
      </c>
      <c r="N2951" s="2">
        <v>3367.86</v>
      </c>
      <c r="O2951" s="2">
        <v>2638.17</v>
      </c>
      <c r="P2951" s="2">
        <v>729.69</v>
      </c>
      <c r="Q2951" t="s">
        <v>26</v>
      </c>
    </row>
    <row r="2952" spans="1:17" x14ac:dyDescent="0.2">
      <c r="A2952" t="s">
        <v>3117</v>
      </c>
      <c r="B2952" s="1">
        <v>46016</v>
      </c>
      <c r="C2952" t="s">
        <v>18</v>
      </c>
      <c r="D2952" t="s">
        <v>19</v>
      </c>
      <c r="E2952" t="s">
        <v>100</v>
      </c>
      <c r="F2952" t="s">
        <v>21</v>
      </c>
      <c r="G2952" t="s">
        <v>22</v>
      </c>
      <c r="H2952" t="s">
        <v>23</v>
      </c>
      <c r="I2952" t="s">
        <v>55</v>
      </c>
      <c r="J2952" t="s">
        <v>173</v>
      </c>
      <c r="K2952">
        <v>1</v>
      </c>
      <c r="L2952" s="2">
        <v>17.91</v>
      </c>
      <c r="M2952" s="3">
        <v>0.1</v>
      </c>
      <c r="N2952" s="2">
        <v>16.12</v>
      </c>
      <c r="O2952" s="2">
        <v>8.94</v>
      </c>
      <c r="P2952" s="2">
        <v>7.18</v>
      </c>
      <c r="Q2952" t="s">
        <v>34</v>
      </c>
    </row>
    <row r="2953" spans="1:17" x14ac:dyDescent="0.2">
      <c r="A2953" t="s">
        <v>3118</v>
      </c>
      <c r="B2953" s="1">
        <v>46016</v>
      </c>
      <c r="C2953" t="s">
        <v>43</v>
      </c>
      <c r="D2953" t="s">
        <v>244</v>
      </c>
      <c r="E2953" t="s">
        <v>326</v>
      </c>
      <c r="F2953" t="s">
        <v>53</v>
      </c>
      <c r="G2953" t="s">
        <v>75</v>
      </c>
      <c r="H2953" t="s">
        <v>23</v>
      </c>
      <c r="I2953" t="s">
        <v>24</v>
      </c>
      <c r="J2953" t="s">
        <v>220</v>
      </c>
      <c r="K2953">
        <v>3</v>
      </c>
      <c r="L2953" s="2">
        <v>11.02</v>
      </c>
      <c r="M2953" s="3">
        <v>0.1</v>
      </c>
      <c r="N2953" s="2">
        <v>29.75</v>
      </c>
      <c r="O2953" s="2">
        <v>18.39</v>
      </c>
      <c r="P2953" s="2">
        <v>11.36</v>
      </c>
      <c r="Q2953" t="s">
        <v>57</v>
      </c>
    </row>
    <row r="2954" spans="1:17" x14ac:dyDescent="0.2">
      <c r="A2954" t="s">
        <v>3119</v>
      </c>
      <c r="B2954" s="1">
        <v>46016</v>
      </c>
      <c r="C2954" t="s">
        <v>36</v>
      </c>
      <c r="D2954" t="s">
        <v>144</v>
      </c>
      <c r="E2954" t="s">
        <v>232</v>
      </c>
      <c r="F2954" t="s">
        <v>130</v>
      </c>
      <c r="G2954" t="s">
        <v>22</v>
      </c>
      <c r="H2954" t="s">
        <v>31</v>
      </c>
      <c r="I2954" t="s">
        <v>32</v>
      </c>
      <c r="J2954" t="s">
        <v>258</v>
      </c>
      <c r="K2954">
        <v>6</v>
      </c>
      <c r="L2954" s="2">
        <v>1579.88</v>
      </c>
      <c r="M2954" s="3">
        <v>0.1</v>
      </c>
      <c r="N2954" s="2">
        <v>8531.35</v>
      </c>
      <c r="O2954" s="2">
        <v>5782.52</v>
      </c>
      <c r="P2954" s="2">
        <v>2748.83</v>
      </c>
      <c r="Q2954" t="s">
        <v>57</v>
      </c>
    </row>
    <row r="2955" spans="1:17" x14ac:dyDescent="0.2">
      <c r="A2955" t="s">
        <v>3120</v>
      </c>
      <c r="B2955" s="1">
        <v>46017</v>
      </c>
      <c r="C2955" t="s">
        <v>43</v>
      </c>
      <c r="D2955" t="s">
        <v>51</v>
      </c>
      <c r="E2955" t="s">
        <v>52</v>
      </c>
      <c r="F2955" t="s">
        <v>39</v>
      </c>
      <c r="G2955" t="s">
        <v>75</v>
      </c>
      <c r="H2955" t="s">
        <v>47</v>
      </c>
      <c r="I2955" t="s">
        <v>141</v>
      </c>
      <c r="J2955" t="s">
        <v>201</v>
      </c>
      <c r="K2955">
        <v>4</v>
      </c>
      <c r="L2955" s="2">
        <v>623.77</v>
      </c>
      <c r="M2955" s="3">
        <v>0.15</v>
      </c>
      <c r="N2955" s="2">
        <v>2120.8200000000002</v>
      </c>
      <c r="O2955" s="2">
        <v>1563.46</v>
      </c>
      <c r="P2955" s="2">
        <v>557.36</v>
      </c>
      <c r="Q2955" t="s">
        <v>26</v>
      </c>
    </row>
    <row r="2956" spans="1:17" x14ac:dyDescent="0.2">
      <c r="A2956" t="s">
        <v>3121</v>
      </c>
      <c r="B2956" s="1">
        <v>46017</v>
      </c>
      <c r="C2956" t="s">
        <v>18</v>
      </c>
      <c r="D2956" t="s">
        <v>19</v>
      </c>
      <c r="E2956" t="s">
        <v>100</v>
      </c>
      <c r="F2956" t="s">
        <v>53</v>
      </c>
      <c r="G2956" t="s">
        <v>54</v>
      </c>
      <c r="H2956" t="s">
        <v>31</v>
      </c>
      <c r="I2956" t="s">
        <v>112</v>
      </c>
      <c r="J2956" t="s">
        <v>113</v>
      </c>
      <c r="K2956">
        <v>3</v>
      </c>
      <c r="L2956" s="2">
        <v>193.91</v>
      </c>
      <c r="M2956" s="3">
        <v>0.1</v>
      </c>
      <c r="N2956" s="2">
        <v>523.55999999999995</v>
      </c>
      <c r="O2956" s="2">
        <v>425.05</v>
      </c>
      <c r="P2956" s="2">
        <v>98.51</v>
      </c>
      <c r="Q2956" t="s">
        <v>34</v>
      </c>
    </row>
    <row r="2957" spans="1:17" x14ac:dyDescent="0.2">
      <c r="A2957" t="s">
        <v>3122</v>
      </c>
      <c r="B2957" s="1">
        <v>46017</v>
      </c>
      <c r="C2957" t="s">
        <v>43</v>
      </c>
      <c r="D2957" t="s">
        <v>44</v>
      </c>
      <c r="E2957" t="s">
        <v>45</v>
      </c>
      <c r="F2957" t="s">
        <v>39</v>
      </c>
      <c r="G2957" t="s">
        <v>54</v>
      </c>
      <c r="H2957" t="s">
        <v>47</v>
      </c>
      <c r="I2957" t="s">
        <v>48</v>
      </c>
      <c r="J2957" t="s">
        <v>49</v>
      </c>
      <c r="K2957">
        <v>2</v>
      </c>
      <c r="L2957" s="2">
        <v>824.71</v>
      </c>
      <c r="M2957" s="3">
        <v>0</v>
      </c>
      <c r="N2957" s="2">
        <v>1649.42</v>
      </c>
      <c r="O2957" s="2">
        <v>1263.04</v>
      </c>
      <c r="P2957" s="2">
        <v>386.38</v>
      </c>
      <c r="Q2957" t="s">
        <v>34</v>
      </c>
    </row>
    <row r="2958" spans="1:17" x14ac:dyDescent="0.2">
      <c r="A2958" t="s">
        <v>3123</v>
      </c>
      <c r="B2958" s="1">
        <v>46017</v>
      </c>
      <c r="C2958" t="s">
        <v>77</v>
      </c>
      <c r="D2958" t="s">
        <v>95</v>
      </c>
      <c r="E2958" t="s">
        <v>300</v>
      </c>
      <c r="F2958" t="s">
        <v>53</v>
      </c>
      <c r="G2958" t="s">
        <v>22</v>
      </c>
      <c r="H2958" t="s">
        <v>47</v>
      </c>
      <c r="I2958" t="s">
        <v>97</v>
      </c>
      <c r="J2958" t="s">
        <v>168</v>
      </c>
      <c r="K2958">
        <v>3</v>
      </c>
      <c r="L2958" s="2">
        <v>308.69</v>
      </c>
      <c r="M2958" s="3">
        <v>0.05</v>
      </c>
      <c r="N2958" s="2">
        <v>879.77</v>
      </c>
      <c r="O2958" s="2">
        <v>623.08000000000004</v>
      </c>
      <c r="P2958" s="2">
        <v>256.69</v>
      </c>
      <c r="Q2958" t="s">
        <v>34</v>
      </c>
    </row>
    <row r="2959" spans="1:17" x14ac:dyDescent="0.2">
      <c r="A2959" t="s">
        <v>3124</v>
      </c>
      <c r="B2959" s="1">
        <v>46017</v>
      </c>
      <c r="C2959" t="s">
        <v>77</v>
      </c>
      <c r="D2959" t="s">
        <v>78</v>
      </c>
      <c r="E2959" t="s">
        <v>52</v>
      </c>
      <c r="F2959" t="s">
        <v>21</v>
      </c>
      <c r="G2959" t="s">
        <v>75</v>
      </c>
      <c r="H2959" t="s">
        <v>23</v>
      </c>
      <c r="I2959" t="s">
        <v>55</v>
      </c>
      <c r="J2959" t="s">
        <v>173</v>
      </c>
      <c r="K2959">
        <v>7</v>
      </c>
      <c r="L2959" s="2">
        <v>14.06</v>
      </c>
      <c r="M2959" s="3">
        <v>0</v>
      </c>
      <c r="N2959" s="2">
        <v>98.42</v>
      </c>
      <c r="O2959" s="2">
        <v>68.44</v>
      </c>
      <c r="P2959" s="2">
        <v>29.98</v>
      </c>
      <c r="Q2959" t="s">
        <v>34</v>
      </c>
    </row>
    <row r="2960" spans="1:17" x14ac:dyDescent="0.2">
      <c r="A2960" t="s">
        <v>3125</v>
      </c>
      <c r="B2960" s="1">
        <v>46017</v>
      </c>
      <c r="C2960" t="s">
        <v>18</v>
      </c>
      <c r="D2960" t="s">
        <v>28</v>
      </c>
      <c r="E2960" t="s">
        <v>157</v>
      </c>
      <c r="F2960" t="s">
        <v>21</v>
      </c>
      <c r="G2960" t="s">
        <v>22</v>
      </c>
      <c r="H2960" t="s">
        <v>23</v>
      </c>
      <c r="I2960" t="s">
        <v>24</v>
      </c>
      <c r="J2960" t="s">
        <v>25</v>
      </c>
      <c r="K2960">
        <v>1</v>
      </c>
      <c r="L2960" s="2">
        <v>7.41</v>
      </c>
      <c r="M2960" s="3">
        <v>0</v>
      </c>
      <c r="N2960" s="2">
        <v>7.41</v>
      </c>
      <c r="O2960" s="2">
        <v>4.84</v>
      </c>
      <c r="P2960" s="2">
        <v>2.57</v>
      </c>
      <c r="Q2960" t="s">
        <v>57</v>
      </c>
    </row>
    <row r="2961" spans="1:17" x14ac:dyDescent="0.2">
      <c r="A2961" t="s">
        <v>3126</v>
      </c>
      <c r="B2961" s="1">
        <v>46017</v>
      </c>
      <c r="C2961" t="s">
        <v>43</v>
      </c>
      <c r="D2961" t="s">
        <v>244</v>
      </c>
      <c r="E2961" t="s">
        <v>326</v>
      </c>
      <c r="F2961" t="s">
        <v>60</v>
      </c>
      <c r="G2961" t="s">
        <v>75</v>
      </c>
      <c r="H2961" t="s">
        <v>31</v>
      </c>
      <c r="I2961" t="s">
        <v>112</v>
      </c>
      <c r="J2961" t="s">
        <v>136</v>
      </c>
      <c r="K2961">
        <v>2</v>
      </c>
      <c r="L2961" s="2">
        <v>591.26</v>
      </c>
      <c r="M2961" s="3">
        <v>0.15</v>
      </c>
      <c r="N2961" s="2">
        <v>1005.14</v>
      </c>
      <c r="O2961" s="2">
        <v>742.82</v>
      </c>
      <c r="P2961" s="2">
        <v>262.32</v>
      </c>
      <c r="Q2961" t="s">
        <v>57</v>
      </c>
    </row>
    <row r="2962" spans="1:17" x14ac:dyDescent="0.2">
      <c r="A2962" t="s">
        <v>3127</v>
      </c>
      <c r="B2962" s="1">
        <v>46017</v>
      </c>
      <c r="C2962" t="s">
        <v>43</v>
      </c>
      <c r="D2962" t="s">
        <v>51</v>
      </c>
      <c r="E2962" t="s">
        <v>59</v>
      </c>
      <c r="F2962" t="s">
        <v>60</v>
      </c>
      <c r="G2962" t="s">
        <v>54</v>
      </c>
      <c r="H2962" t="s">
        <v>23</v>
      </c>
      <c r="I2962" t="s">
        <v>24</v>
      </c>
      <c r="J2962" t="s">
        <v>108</v>
      </c>
      <c r="K2962">
        <v>2</v>
      </c>
      <c r="L2962" s="2">
        <v>18.16</v>
      </c>
      <c r="M2962" s="3">
        <v>0.05</v>
      </c>
      <c r="N2962" s="2">
        <v>34.5</v>
      </c>
      <c r="O2962" s="2">
        <v>21.87</v>
      </c>
      <c r="P2962" s="2">
        <v>12.63</v>
      </c>
      <c r="Q2962" t="s">
        <v>61</v>
      </c>
    </row>
    <row r="2963" spans="1:17" x14ac:dyDescent="0.2">
      <c r="A2963" t="s">
        <v>3128</v>
      </c>
      <c r="B2963" s="1">
        <v>46018</v>
      </c>
      <c r="C2963" t="s">
        <v>18</v>
      </c>
      <c r="D2963" t="s">
        <v>19</v>
      </c>
      <c r="E2963" t="s">
        <v>20</v>
      </c>
      <c r="F2963" t="s">
        <v>60</v>
      </c>
      <c r="G2963" t="s">
        <v>22</v>
      </c>
      <c r="H2963" t="s">
        <v>23</v>
      </c>
      <c r="I2963" t="s">
        <v>83</v>
      </c>
      <c r="J2963" t="s">
        <v>120</v>
      </c>
      <c r="K2963">
        <v>7</v>
      </c>
      <c r="L2963" s="2">
        <v>10.58</v>
      </c>
      <c r="M2963" s="3">
        <v>0.05</v>
      </c>
      <c r="N2963" s="2">
        <v>70.36</v>
      </c>
      <c r="O2963" s="2">
        <v>55.62</v>
      </c>
      <c r="P2963" s="2">
        <v>14.74</v>
      </c>
      <c r="Q2963" t="s">
        <v>26</v>
      </c>
    </row>
    <row r="2964" spans="1:17" x14ac:dyDescent="0.2">
      <c r="A2964" t="s">
        <v>3129</v>
      </c>
      <c r="B2964" s="1">
        <v>46018</v>
      </c>
      <c r="C2964" t="s">
        <v>43</v>
      </c>
      <c r="D2964" t="s">
        <v>51</v>
      </c>
      <c r="E2964" t="s">
        <v>63</v>
      </c>
      <c r="F2964" t="s">
        <v>71</v>
      </c>
      <c r="G2964" t="s">
        <v>22</v>
      </c>
      <c r="H2964" t="s">
        <v>31</v>
      </c>
      <c r="I2964" t="s">
        <v>32</v>
      </c>
      <c r="J2964" t="s">
        <v>104</v>
      </c>
      <c r="K2964">
        <v>9</v>
      </c>
      <c r="L2964" s="2">
        <v>1622.51</v>
      </c>
      <c r="M2964" s="3">
        <v>0</v>
      </c>
      <c r="N2964" s="2">
        <v>14602.59</v>
      </c>
      <c r="O2964" s="2">
        <v>8613.59</v>
      </c>
      <c r="P2964" s="2">
        <v>5989</v>
      </c>
      <c r="Q2964" t="s">
        <v>26</v>
      </c>
    </row>
    <row r="2965" spans="1:17" x14ac:dyDescent="0.2">
      <c r="A2965" t="s">
        <v>3130</v>
      </c>
      <c r="B2965" s="1">
        <v>46018</v>
      </c>
      <c r="C2965" t="s">
        <v>43</v>
      </c>
      <c r="D2965" t="s">
        <v>244</v>
      </c>
      <c r="E2965" t="s">
        <v>300</v>
      </c>
      <c r="F2965" t="s">
        <v>130</v>
      </c>
      <c r="G2965" t="s">
        <v>22</v>
      </c>
      <c r="H2965" t="s">
        <v>47</v>
      </c>
      <c r="I2965" t="s">
        <v>97</v>
      </c>
      <c r="J2965" t="s">
        <v>116</v>
      </c>
      <c r="K2965">
        <v>9</v>
      </c>
      <c r="L2965" s="2">
        <v>549.97</v>
      </c>
      <c r="M2965" s="3">
        <v>0.05</v>
      </c>
      <c r="N2965" s="2">
        <v>4702.24</v>
      </c>
      <c r="O2965" s="2">
        <v>2587.4</v>
      </c>
      <c r="P2965" s="2">
        <v>2114.84</v>
      </c>
      <c r="Q2965" t="s">
        <v>34</v>
      </c>
    </row>
    <row r="2966" spans="1:17" x14ac:dyDescent="0.2">
      <c r="A2966" t="s">
        <v>3131</v>
      </c>
      <c r="B2966" s="1">
        <v>46018</v>
      </c>
      <c r="C2966" t="s">
        <v>77</v>
      </c>
      <c r="D2966" t="s">
        <v>128</v>
      </c>
      <c r="E2966" t="s">
        <v>129</v>
      </c>
      <c r="F2966" t="s">
        <v>21</v>
      </c>
      <c r="G2966" t="s">
        <v>22</v>
      </c>
      <c r="H2966" t="s">
        <v>47</v>
      </c>
      <c r="I2966" t="s">
        <v>89</v>
      </c>
      <c r="J2966" t="s">
        <v>204</v>
      </c>
      <c r="K2966">
        <v>8</v>
      </c>
      <c r="L2966" s="2">
        <v>330.34</v>
      </c>
      <c r="M2966" s="3">
        <v>0</v>
      </c>
      <c r="N2966" s="2">
        <v>2642.72</v>
      </c>
      <c r="O2966" s="2">
        <v>1630.25</v>
      </c>
      <c r="P2966" s="2">
        <v>1012.47</v>
      </c>
      <c r="Q2966" t="s">
        <v>26</v>
      </c>
    </row>
    <row r="2967" spans="1:17" x14ac:dyDescent="0.2">
      <c r="A2967" t="s">
        <v>3132</v>
      </c>
      <c r="B2967" s="1">
        <v>46018</v>
      </c>
      <c r="C2967" t="s">
        <v>36</v>
      </c>
      <c r="D2967" t="s">
        <v>37</v>
      </c>
      <c r="E2967" t="s">
        <v>38</v>
      </c>
      <c r="F2967" t="s">
        <v>69</v>
      </c>
      <c r="G2967" t="s">
        <v>54</v>
      </c>
      <c r="H2967" t="s">
        <v>31</v>
      </c>
      <c r="I2967" t="s">
        <v>64</v>
      </c>
      <c r="J2967" t="s">
        <v>126</v>
      </c>
      <c r="K2967">
        <v>4</v>
      </c>
      <c r="L2967" s="2">
        <v>129.16</v>
      </c>
      <c r="M2967" s="3">
        <v>0</v>
      </c>
      <c r="N2967" s="2">
        <v>516.64</v>
      </c>
      <c r="O2967" s="2">
        <v>338.09</v>
      </c>
      <c r="P2967" s="2">
        <v>178.55</v>
      </c>
      <c r="Q2967" t="s">
        <v>57</v>
      </c>
    </row>
    <row r="2968" spans="1:17" x14ac:dyDescent="0.2">
      <c r="A2968" t="s">
        <v>3133</v>
      </c>
      <c r="B2968" s="1">
        <v>46018</v>
      </c>
      <c r="C2968" t="s">
        <v>43</v>
      </c>
      <c r="D2968" t="s">
        <v>161</v>
      </c>
      <c r="E2968" t="s">
        <v>418</v>
      </c>
      <c r="F2968" t="s">
        <v>138</v>
      </c>
      <c r="G2968" t="s">
        <v>54</v>
      </c>
      <c r="H2968" t="s">
        <v>47</v>
      </c>
      <c r="I2968" t="s">
        <v>89</v>
      </c>
      <c r="J2968" t="s">
        <v>240</v>
      </c>
      <c r="K2968">
        <v>6</v>
      </c>
      <c r="L2968" s="2">
        <v>228.96</v>
      </c>
      <c r="M2968" s="3">
        <v>0.1</v>
      </c>
      <c r="N2968" s="2">
        <v>1236.3800000000001</v>
      </c>
      <c r="O2968" s="2">
        <v>780.32</v>
      </c>
      <c r="P2968" s="2">
        <v>456.06</v>
      </c>
      <c r="Q2968" t="s">
        <v>57</v>
      </c>
    </row>
    <row r="2969" spans="1:17" x14ac:dyDescent="0.2">
      <c r="A2969" t="s">
        <v>3134</v>
      </c>
      <c r="B2969" s="1">
        <v>46018</v>
      </c>
      <c r="C2969" t="s">
        <v>43</v>
      </c>
      <c r="D2969" t="s">
        <v>161</v>
      </c>
      <c r="E2969" t="s">
        <v>162</v>
      </c>
      <c r="F2969" t="s">
        <v>46</v>
      </c>
      <c r="G2969" t="s">
        <v>22</v>
      </c>
      <c r="H2969" t="s">
        <v>23</v>
      </c>
      <c r="I2969" t="s">
        <v>83</v>
      </c>
      <c r="J2969" t="s">
        <v>84</v>
      </c>
      <c r="K2969">
        <v>10</v>
      </c>
      <c r="L2969" s="2">
        <v>10.18</v>
      </c>
      <c r="M2969" s="3">
        <v>0</v>
      </c>
      <c r="N2969" s="2">
        <v>101.8</v>
      </c>
      <c r="O2969" s="2">
        <v>64.37</v>
      </c>
      <c r="P2969" s="2">
        <v>37.43</v>
      </c>
      <c r="Q2969" t="s">
        <v>34</v>
      </c>
    </row>
    <row r="2970" spans="1:17" x14ac:dyDescent="0.2">
      <c r="A2970" t="s">
        <v>3135</v>
      </c>
      <c r="B2970" s="1">
        <v>46018</v>
      </c>
      <c r="C2970" t="s">
        <v>18</v>
      </c>
      <c r="D2970" t="s">
        <v>86</v>
      </c>
      <c r="E2970" t="s">
        <v>87</v>
      </c>
      <c r="F2970" t="s">
        <v>69</v>
      </c>
      <c r="G2970" t="s">
        <v>75</v>
      </c>
      <c r="H2970" t="s">
        <v>31</v>
      </c>
      <c r="I2970" t="s">
        <v>40</v>
      </c>
      <c r="J2970" t="s">
        <v>41</v>
      </c>
      <c r="K2970">
        <v>1</v>
      </c>
      <c r="L2970" s="2">
        <v>197.97</v>
      </c>
      <c r="M2970" s="3">
        <v>0.15</v>
      </c>
      <c r="N2970" s="2">
        <v>168.27</v>
      </c>
      <c r="O2970" s="2">
        <v>135.26</v>
      </c>
      <c r="P2970" s="2">
        <v>33.01</v>
      </c>
      <c r="Q2970" t="s">
        <v>61</v>
      </c>
    </row>
    <row r="2971" spans="1:17" x14ac:dyDescent="0.2">
      <c r="A2971" t="s">
        <v>3136</v>
      </c>
      <c r="B2971" s="1">
        <v>46019</v>
      </c>
      <c r="C2971" t="s">
        <v>77</v>
      </c>
      <c r="D2971" t="s">
        <v>95</v>
      </c>
      <c r="E2971" t="s">
        <v>367</v>
      </c>
      <c r="F2971" t="s">
        <v>53</v>
      </c>
      <c r="G2971" t="s">
        <v>22</v>
      </c>
      <c r="H2971" t="s">
        <v>31</v>
      </c>
      <c r="I2971" t="s">
        <v>40</v>
      </c>
      <c r="J2971" t="s">
        <v>41</v>
      </c>
      <c r="K2971">
        <v>9</v>
      </c>
      <c r="L2971" s="2">
        <v>160.4</v>
      </c>
      <c r="M2971" s="3">
        <v>0.05</v>
      </c>
      <c r="N2971" s="2">
        <v>1371.42</v>
      </c>
      <c r="O2971" s="2">
        <v>797.99</v>
      </c>
      <c r="P2971" s="2">
        <v>573.42999999999995</v>
      </c>
      <c r="Q2971" t="s">
        <v>26</v>
      </c>
    </row>
    <row r="2972" spans="1:17" x14ac:dyDescent="0.2">
      <c r="A2972" t="s">
        <v>3137</v>
      </c>
      <c r="B2972" s="1">
        <v>46019</v>
      </c>
      <c r="C2972" t="s">
        <v>77</v>
      </c>
      <c r="D2972" t="s">
        <v>149</v>
      </c>
      <c r="E2972" t="s">
        <v>309</v>
      </c>
      <c r="F2972" t="s">
        <v>21</v>
      </c>
      <c r="G2972" t="s">
        <v>22</v>
      </c>
      <c r="H2972" t="s">
        <v>23</v>
      </c>
      <c r="I2972" t="s">
        <v>83</v>
      </c>
      <c r="J2972" t="s">
        <v>84</v>
      </c>
      <c r="K2972">
        <v>4</v>
      </c>
      <c r="L2972" s="2">
        <v>23.5</v>
      </c>
      <c r="M2972" s="3">
        <v>0.05</v>
      </c>
      <c r="N2972" s="2">
        <v>89.3</v>
      </c>
      <c r="O2972" s="2">
        <v>63.9</v>
      </c>
      <c r="P2972" s="2">
        <v>25.4</v>
      </c>
      <c r="Q2972" t="s">
        <v>57</v>
      </c>
    </row>
    <row r="2973" spans="1:17" x14ac:dyDescent="0.2">
      <c r="A2973" t="s">
        <v>3138</v>
      </c>
      <c r="B2973" s="1">
        <v>46019</v>
      </c>
      <c r="C2973" t="s">
        <v>77</v>
      </c>
      <c r="D2973" t="s">
        <v>78</v>
      </c>
      <c r="E2973" t="s">
        <v>52</v>
      </c>
      <c r="F2973" t="s">
        <v>46</v>
      </c>
      <c r="G2973" t="s">
        <v>75</v>
      </c>
      <c r="H2973" t="s">
        <v>31</v>
      </c>
      <c r="I2973" t="s">
        <v>40</v>
      </c>
      <c r="J2973" t="s">
        <v>41</v>
      </c>
      <c r="K2973">
        <v>5</v>
      </c>
      <c r="L2973" s="2">
        <v>148.99</v>
      </c>
      <c r="M2973" s="3">
        <v>0.05</v>
      </c>
      <c r="N2973" s="2">
        <v>707.7</v>
      </c>
      <c r="O2973" s="2">
        <v>562.14</v>
      </c>
      <c r="P2973" s="2">
        <v>145.56</v>
      </c>
      <c r="Q2973" t="s">
        <v>57</v>
      </c>
    </row>
    <row r="2974" spans="1:17" x14ac:dyDescent="0.2">
      <c r="A2974" t="s">
        <v>3139</v>
      </c>
      <c r="B2974" s="1">
        <v>46019</v>
      </c>
      <c r="C2974" t="s">
        <v>77</v>
      </c>
      <c r="D2974" t="s">
        <v>95</v>
      </c>
      <c r="E2974" t="s">
        <v>96</v>
      </c>
      <c r="F2974" t="s">
        <v>69</v>
      </c>
      <c r="G2974" t="s">
        <v>22</v>
      </c>
      <c r="H2974" t="s">
        <v>23</v>
      </c>
      <c r="I2974" t="s">
        <v>55</v>
      </c>
      <c r="J2974" t="s">
        <v>102</v>
      </c>
      <c r="K2974">
        <v>9</v>
      </c>
      <c r="L2974" s="2">
        <v>23.01</v>
      </c>
      <c r="M2974" s="3">
        <v>0.1</v>
      </c>
      <c r="N2974" s="2">
        <v>186.38</v>
      </c>
      <c r="O2974" s="2">
        <v>134.33000000000001</v>
      </c>
      <c r="P2974" s="2">
        <v>52.05</v>
      </c>
      <c r="Q2974" t="s">
        <v>26</v>
      </c>
    </row>
    <row r="2975" spans="1:17" x14ac:dyDescent="0.2">
      <c r="A2975" t="s">
        <v>3140</v>
      </c>
      <c r="B2975" s="1">
        <v>46019</v>
      </c>
      <c r="C2975" t="s">
        <v>36</v>
      </c>
      <c r="D2975" t="s">
        <v>73</v>
      </c>
      <c r="E2975" t="s">
        <v>212</v>
      </c>
      <c r="F2975" t="s">
        <v>138</v>
      </c>
      <c r="G2975" t="s">
        <v>22</v>
      </c>
      <c r="H2975" t="s">
        <v>23</v>
      </c>
      <c r="I2975" t="s">
        <v>79</v>
      </c>
      <c r="J2975" t="s">
        <v>80</v>
      </c>
      <c r="K2975">
        <v>8</v>
      </c>
      <c r="L2975" s="2">
        <v>253.72</v>
      </c>
      <c r="M2975" s="3">
        <v>0</v>
      </c>
      <c r="N2975" s="2">
        <v>2029.76</v>
      </c>
      <c r="O2975" s="2">
        <v>1271.54</v>
      </c>
      <c r="P2975" s="2">
        <v>758.22</v>
      </c>
      <c r="Q2975" t="s">
        <v>34</v>
      </c>
    </row>
    <row r="2976" spans="1:17" x14ac:dyDescent="0.2">
      <c r="A2976" t="s">
        <v>3141</v>
      </c>
      <c r="B2976" s="1">
        <v>46019</v>
      </c>
      <c r="C2976" t="s">
        <v>43</v>
      </c>
      <c r="D2976" t="s">
        <v>44</v>
      </c>
      <c r="E2976" t="s">
        <v>45</v>
      </c>
      <c r="F2976" t="s">
        <v>69</v>
      </c>
      <c r="G2976" t="s">
        <v>75</v>
      </c>
      <c r="H2976" t="s">
        <v>47</v>
      </c>
      <c r="I2976" t="s">
        <v>97</v>
      </c>
      <c r="J2976" t="s">
        <v>168</v>
      </c>
      <c r="K2976">
        <v>8</v>
      </c>
      <c r="L2976" s="2">
        <v>616.03</v>
      </c>
      <c r="M2976" s="3">
        <v>0.05</v>
      </c>
      <c r="N2976" s="2">
        <v>4681.83</v>
      </c>
      <c r="O2976" s="2">
        <v>3614.55</v>
      </c>
      <c r="P2976" s="2">
        <v>1067.28</v>
      </c>
      <c r="Q2976" t="s">
        <v>61</v>
      </c>
    </row>
    <row r="2977" spans="1:17" x14ac:dyDescent="0.2">
      <c r="A2977" t="s">
        <v>3142</v>
      </c>
      <c r="B2977" s="1">
        <v>46019</v>
      </c>
      <c r="C2977" t="s">
        <v>77</v>
      </c>
      <c r="D2977" t="s">
        <v>106</v>
      </c>
      <c r="E2977" t="s">
        <v>303</v>
      </c>
      <c r="F2977" t="s">
        <v>30</v>
      </c>
      <c r="G2977" t="s">
        <v>22</v>
      </c>
      <c r="H2977" t="s">
        <v>23</v>
      </c>
      <c r="I2977" t="s">
        <v>83</v>
      </c>
      <c r="J2977" t="s">
        <v>131</v>
      </c>
      <c r="K2977">
        <v>8</v>
      </c>
      <c r="L2977" s="2">
        <v>24.46</v>
      </c>
      <c r="M2977" s="3">
        <v>0.1</v>
      </c>
      <c r="N2977" s="2">
        <v>176.11</v>
      </c>
      <c r="O2977" s="2">
        <v>104.22</v>
      </c>
      <c r="P2977" s="2">
        <v>71.89</v>
      </c>
      <c r="Q2977" t="s">
        <v>61</v>
      </c>
    </row>
    <row r="2978" spans="1:17" x14ac:dyDescent="0.2">
      <c r="A2978" t="s">
        <v>3143</v>
      </c>
      <c r="B2978" s="1">
        <v>46019</v>
      </c>
      <c r="C2978" t="s">
        <v>77</v>
      </c>
      <c r="D2978" t="s">
        <v>149</v>
      </c>
      <c r="E2978" t="s">
        <v>206</v>
      </c>
      <c r="F2978" t="s">
        <v>130</v>
      </c>
      <c r="G2978" t="s">
        <v>75</v>
      </c>
      <c r="H2978" t="s">
        <v>31</v>
      </c>
      <c r="I2978" t="s">
        <v>40</v>
      </c>
      <c r="J2978" t="s">
        <v>41</v>
      </c>
      <c r="K2978">
        <v>2</v>
      </c>
      <c r="L2978" s="2">
        <v>181.7</v>
      </c>
      <c r="M2978" s="3">
        <v>0</v>
      </c>
      <c r="N2978" s="2">
        <v>363.4</v>
      </c>
      <c r="O2978" s="2">
        <v>282.61</v>
      </c>
      <c r="P2978" s="2">
        <v>80.790000000000006</v>
      </c>
      <c r="Q2978" t="s">
        <v>26</v>
      </c>
    </row>
    <row r="2979" spans="1:17" x14ac:dyDescent="0.2">
      <c r="A2979" t="s">
        <v>3144</v>
      </c>
      <c r="B2979" s="1">
        <v>46020</v>
      </c>
      <c r="C2979" t="s">
        <v>36</v>
      </c>
      <c r="D2979" t="s">
        <v>144</v>
      </c>
      <c r="E2979" t="s">
        <v>145</v>
      </c>
      <c r="F2979" t="s">
        <v>21</v>
      </c>
      <c r="G2979" t="s">
        <v>75</v>
      </c>
      <c r="H2979" t="s">
        <v>31</v>
      </c>
      <c r="I2979" t="s">
        <v>40</v>
      </c>
      <c r="J2979" t="s">
        <v>216</v>
      </c>
      <c r="K2979">
        <v>6</v>
      </c>
      <c r="L2979" s="2">
        <v>192.79</v>
      </c>
      <c r="M2979" s="3">
        <v>0.1</v>
      </c>
      <c r="N2979" s="2">
        <v>1041.07</v>
      </c>
      <c r="O2979" s="2">
        <v>650.01</v>
      </c>
      <c r="P2979" s="2">
        <v>391.06</v>
      </c>
      <c r="Q2979" t="s">
        <v>34</v>
      </c>
    </row>
    <row r="2980" spans="1:17" x14ac:dyDescent="0.2">
      <c r="A2980" t="s">
        <v>3145</v>
      </c>
      <c r="B2980" s="1">
        <v>46020</v>
      </c>
      <c r="C2980" t="s">
        <v>36</v>
      </c>
      <c r="D2980" t="s">
        <v>67</v>
      </c>
      <c r="E2980" t="s">
        <v>68</v>
      </c>
      <c r="F2980" t="s">
        <v>138</v>
      </c>
      <c r="G2980" t="s">
        <v>54</v>
      </c>
      <c r="H2980" t="s">
        <v>47</v>
      </c>
      <c r="I2980" t="s">
        <v>89</v>
      </c>
      <c r="J2980" t="s">
        <v>204</v>
      </c>
      <c r="K2980">
        <v>3</v>
      </c>
      <c r="L2980" s="2">
        <v>283.07</v>
      </c>
      <c r="M2980" s="3">
        <v>0.15</v>
      </c>
      <c r="N2980" s="2">
        <v>721.83</v>
      </c>
      <c r="O2980" s="2">
        <v>459.21</v>
      </c>
      <c r="P2980" s="2">
        <v>262.62</v>
      </c>
      <c r="Q2980" t="s">
        <v>57</v>
      </c>
    </row>
    <row r="2981" spans="1:17" x14ac:dyDescent="0.2">
      <c r="A2981" t="s">
        <v>3146</v>
      </c>
      <c r="B2981" s="1">
        <v>46020</v>
      </c>
      <c r="C2981" t="s">
        <v>18</v>
      </c>
      <c r="D2981" t="s">
        <v>152</v>
      </c>
      <c r="E2981" t="s">
        <v>166</v>
      </c>
      <c r="F2981" t="s">
        <v>39</v>
      </c>
      <c r="G2981" t="s">
        <v>22</v>
      </c>
      <c r="H2981" t="s">
        <v>47</v>
      </c>
      <c r="I2981" t="s">
        <v>141</v>
      </c>
      <c r="J2981" t="s">
        <v>372</v>
      </c>
      <c r="K2981">
        <v>6</v>
      </c>
      <c r="L2981" s="2">
        <v>393.38</v>
      </c>
      <c r="M2981" s="3">
        <v>0</v>
      </c>
      <c r="N2981" s="2">
        <v>2360.2800000000002</v>
      </c>
      <c r="O2981" s="2">
        <v>1877.19</v>
      </c>
      <c r="P2981" s="2">
        <v>483.09</v>
      </c>
      <c r="Q2981" t="s">
        <v>57</v>
      </c>
    </row>
    <row r="2982" spans="1:17" x14ac:dyDescent="0.2">
      <c r="A2982" t="s">
        <v>3147</v>
      </c>
      <c r="B2982" s="1">
        <v>46020</v>
      </c>
      <c r="C2982" t="s">
        <v>36</v>
      </c>
      <c r="D2982" t="s">
        <v>144</v>
      </c>
      <c r="E2982" t="s">
        <v>145</v>
      </c>
      <c r="F2982" t="s">
        <v>39</v>
      </c>
      <c r="G2982" t="s">
        <v>22</v>
      </c>
      <c r="H2982" t="s">
        <v>23</v>
      </c>
      <c r="I2982" t="s">
        <v>79</v>
      </c>
      <c r="J2982" t="s">
        <v>233</v>
      </c>
      <c r="K2982">
        <v>8</v>
      </c>
      <c r="L2982" s="2">
        <v>339.97</v>
      </c>
      <c r="M2982" s="3">
        <v>0.05</v>
      </c>
      <c r="N2982" s="2">
        <v>2583.77</v>
      </c>
      <c r="O2982" s="2">
        <v>1492.09</v>
      </c>
      <c r="P2982" s="2">
        <v>1091.68</v>
      </c>
      <c r="Q2982" t="s">
        <v>57</v>
      </c>
    </row>
    <row r="2983" spans="1:17" x14ac:dyDescent="0.2">
      <c r="A2983" t="s">
        <v>3148</v>
      </c>
      <c r="B2983" s="1">
        <v>46020</v>
      </c>
      <c r="C2983" t="s">
        <v>36</v>
      </c>
      <c r="D2983" t="s">
        <v>37</v>
      </c>
      <c r="E2983" t="s">
        <v>38</v>
      </c>
      <c r="F2983" t="s">
        <v>21</v>
      </c>
      <c r="G2983" t="s">
        <v>22</v>
      </c>
      <c r="H2983" t="s">
        <v>23</v>
      </c>
      <c r="I2983" t="s">
        <v>55</v>
      </c>
      <c r="J2983" t="s">
        <v>173</v>
      </c>
      <c r="K2983">
        <v>7</v>
      </c>
      <c r="L2983" s="2">
        <v>8.59</v>
      </c>
      <c r="M2983" s="3">
        <v>0.05</v>
      </c>
      <c r="N2983" s="2">
        <v>57.12</v>
      </c>
      <c r="O2983" s="2">
        <v>39.31</v>
      </c>
      <c r="P2983" s="2">
        <v>17.809999999999999</v>
      </c>
      <c r="Q2983" t="s">
        <v>57</v>
      </c>
    </row>
    <row r="2984" spans="1:17" x14ac:dyDescent="0.2">
      <c r="A2984" t="s">
        <v>3149</v>
      </c>
      <c r="B2984" s="1">
        <v>46020</v>
      </c>
      <c r="C2984" t="s">
        <v>77</v>
      </c>
      <c r="D2984" t="s">
        <v>78</v>
      </c>
      <c r="E2984" t="s">
        <v>261</v>
      </c>
      <c r="F2984" t="s">
        <v>46</v>
      </c>
      <c r="G2984" t="s">
        <v>22</v>
      </c>
      <c r="H2984" t="s">
        <v>31</v>
      </c>
      <c r="I2984" t="s">
        <v>112</v>
      </c>
      <c r="J2984" t="s">
        <v>113</v>
      </c>
      <c r="K2984">
        <v>7</v>
      </c>
      <c r="L2984" s="2">
        <v>470.52</v>
      </c>
      <c r="M2984" s="3">
        <v>0.1</v>
      </c>
      <c r="N2984" s="2">
        <v>2964.28</v>
      </c>
      <c r="O2984" s="2">
        <v>2335.63</v>
      </c>
      <c r="P2984" s="2">
        <v>628.65</v>
      </c>
      <c r="Q2984" t="s">
        <v>34</v>
      </c>
    </row>
    <row r="2985" spans="1:17" x14ac:dyDescent="0.2">
      <c r="A2985" t="s">
        <v>3150</v>
      </c>
      <c r="B2985" s="1">
        <v>46020</v>
      </c>
      <c r="C2985" t="s">
        <v>18</v>
      </c>
      <c r="D2985" t="s">
        <v>152</v>
      </c>
      <c r="E2985" t="s">
        <v>166</v>
      </c>
      <c r="F2985" t="s">
        <v>53</v>
      </c>
      <c r="G2985" t="s">
        <v>22</v>
      </c>
      <c r="H2985" t="s">
        <v>31</v>
      </c>
      <c r="I2985" t="s">
        <v>64</v>
      </c>
      <c r="J2985" t="s">
        <v>65</v>
      </c>
      <c r="K2985">
        <v>8</v>
      </c>
      <c r="L2985" s="2">
        <v>100.27</v>
      </c>
      <c r="M2985" s="3">
        <v>0.2</v>
      </c>
      <c r="N2985" s="2">
        <v>641.73</v>
      </c>
      <c r="O2985" s="2">
        <v>368.57</v>
      </c>
      <c r="P2985" s="2">
        <v>273.16000000000003</v>
      </c>
      <c r="Q2985" t="s">
        <v>26</v>
      </c>
    </row>
    <row r="2986" spans="1:17" x14ac:dyDescent="0.2">
      <c r="A2986" t="s">
        <v>3151</v>
      </c>
      <c r="B2986" s="1">
        <v>46021</v>
      </c>
      <c r="C2986" t="s">
        <v>77</v>
      </c>
      <c r="D2986" t="s">
        <v>95</v>
      </c>
      <c r="E2986" t="s">
        <v>367</v>
      </c>
      <c r="F2986" t="s">
        <v>130</v>
      </c>
      <c r="G2986" t="s">
        <v>75</v>
      </c>
      <c r="H2986" t="s">
        <v>31</v>
      </c>
      <c r="I2986" t="s">
        <v>112</v>
      </c>
      <c r="J2986" t="s">
        <v>136</v>
      </c>
      <c r="K2986">
        <v>2</v>
      </c>
      <c r="L2986" s="2">
        <v>524.88</v>
      </c>
      <c r="M2986" s="3">
        <v>0</v>
      </c>
      <c r="N2986" s="2">
        <v>1049.76</v>
      </c>
      <c r="O2986" s="2">
        <v>587.85</v>
      </c>
      <c r="P2986" s="2">
        <v>461.91</v>
      </c>
      <c r="Q2986" t="s">
        <v>57</v>
      </c>
    </row>
    <row r="2987" spans="1:17" x14ac:dyDescent="0.2">
      <c r="A2987" t="s">
        <v>3152</v>
      </c>
      <c r="B2987" s="1">
        <v>46021</v>
      </c>
      <c r="C2987" t="s">
        <v>18</v>
      </c>
      <c r="D2987" t="s">
        <v>28</v>
      </c>
      <c r="E2987" t="s">
        <v>29</v>
      </c>
      <c r="F2987" t="s">
        <v>39</v>
      </c>
      <c r="G2987" t="s">
        <v>75</v>
      </c>
      <c r="H2987" t="s">
        <v>31</v>
      </c>
      <c r="I2987" t="s">
        <v>112</v>
      </c>
      <c r="J2987" t="s">
        <v>113</v>
      </c>
      <c r="K2987">
        <v>9</v>
      </c>
      <c r="L2987" s="2">
        <v>245</v>
      </c>
      <c r="M2987" s="3">
        <v>0.1</v>
      </c>
      <c r="N2987" s="2">
        <v>1984.5</v>
      </c>
      <c r="O2987" s="2">
        <v>1599.15</v>
      </c>
      <c r="P2987" s="2">
        <v>385.35</v>
      </c>
      <c r="Q2987" t="s">
        <v>26</v>
      </c>
    </row>
    <row r="2988" spans="1:17" x14ac:dyDescent="0.2">
      <c r="A2988" t="s">
        <v>3153</v>
      </c>
      <c r="B2988" s="1">
        <v>46021</v>
      </c>
      <c r="C2988" t="s">
        <v>18</v>
      </c>
      <c r="D2988" t="s">
        <v>19</v>
      </c>
      <c r="E2988" t="s">
        <v>118</v>
      </c>
      <c r="F2988" t="s">
        <v>60</v>
      </c>
      <c r="G2988" t="s">
        <v>22</v>
      </c>
      <c r="H2988" t="s">
        <v>23</v>
      </c>
      <c r="I2988" t="s">
        <v>79</v>
      </c>
      <c r="J2988" t="s">
        <v>179</v>
      </c>
      <c r="K2988">
        <v>7</v>
      </c>
      <c r="L2988" s="2">
        <v>598.47</v>
      </c>
      <c r="M2988" s="3">
        <v>0.05</v>
      </c>
      <c r="N2988" s="2">
        <v>3979.83</v>
      </c>
      <c r="O2988" s="2">
        <v>2250.34</v>
      </c>
      <c r="P2988" s="2">
        <v>1729.49</v>
      </c>
      <c r="Q2988" t="s">
        <v>57</v>
      </c>
    </row>
    <row r="2989" spans="1:17" x14ac:dyDescent="0.2">
      <c r="A2989" t="s">
        <v>3154</v>
      </c>
      <c r="B2989" s="1">
        <v>46021</v>
      </c>
      <c r="C2989" t="s">
        <v>18</v>
      </c>
      <c r="D2989" t="s">
        <v>19</v>
      </c>
      <c r="E2989" t="s">
        <v>118</v>
      </c>
      <c r="F2989" t="s">
        <v>53</v>
      </c>
      <c r="G2989" t="s">
        <v>54</v>
      </c>
      <c r="H2989" t="s">
        <v>23</v>
      </c>
      <c r="I2989" t="s">
        <v>79</v>
      </c>
      <c r="J2989" t="s">
        <v>80</v>
      </c>
      <c r="K2989">
        <v>8</v>
      </c>
      <c r="L2989" s="2">
        <v>512.57000000000005</v>
      </c>
      <c r="M2989" s="3">
        <v>0.2</v>
      </c>
      <c r="N2989" s="2">
        <v>3280.45</v>
      </c>
      <c r="O2989" s="2">
        <v>2009.16</v>
      </c>
      <c r="P2989" s="2">
        <v>1271.29</v>
      </c>
      <c r="Q2989" t="s">
        <v>34</v>
      </c>
    </row>
    <row r="2990" spans="1:17" x14ac:dyDescent="0.2">
      <c r="A2990" t="s">
        <v>3155</v>
      </c>
      <c r="B2990" s="1">
        <v>46022</v>
      </c>
      <c r="C2990" t="s">
        <v>77</v>
      </c>
      <c r="D2990" t="s">
        <v>95</v>
      </c>
      <c r="E2990" t="s">
        <v>367</v>
      </c>
      <c r="F2990" t="s">
        <v>71</v>
      </c>
      <c r="G2990" t="s">
        <v>22</v>
      </c>
      <c r="H2990" t="s">
        <v>23</v>
      </c>
      <c r="I2990" t="s">
        <v>24</v>
      </c>
      <c r="J2990" t="s">
        <v>220</v>
      </c>
      <c r="K2990">
        <v>6</v>
      </c>
      <c r="L2990" s="2">
        <v>18.2</v>
      </c>
      <c r="M2990" s="3">
        <v>0</v>
      </c>
      <c r="N2990" s="2">
        <v>109.2</v>
      </c>
      <c r="O2990" s="2">
        <v>65.09</v>
      </c>
      <c r="P2990" s="2">
        <v>44.11</v>
      </c>
      <c r="Q2990" t="s">
        <v>61</v>
      </c>
    </row>
    <row r="2991" spans="1:17" x14ac:dyDescent="0.2">
      <c r="A2991" t="s">
        <v>3156</v>
      </c>
      <c r="B2991" s="1">
        <v>46022</v>
      </c>
      <c r="C2991" t="s">
        <v>36</v>
      </c>
      <c r="D2991" t="s">
        <v>144</v>
      </c>
      <c r="E2991" t="s">
        <v>145</v>
      </c>
      <c r="F2991" t="s">
        <v>53</v>
      </c>
      <c r="G2991" t="s">
        <v>75</v>
      </c>
      <c r="H2991" t="s">
        <v>23</v>
      </c>
      <c r="I2991" t="s">
        <v>79</v>
      </c>
      <c r="J2991" t="s">
        <v>80</v>
      </c>
      <c r="K2991">
        <v>2</v>
      </c>
      <c r="L2991" s="2">
        <v>164.84</v>
      </c>
      <c r="M2991" s="3">
        <v>0.05</v>
      </c>
      <c r="N2991" s="2">
        <v>313.2</v>
      </c>
      <c r="O2991" s="2">
        <v>234.71</v>
      </c>
      <c r="P2991" s="2">
        <v>78.489999999999995</v>
      </c>
      <c r="Q2991" t="s">
        <v>61</v>
      </c>
    </row>
    <row r="2992" spans="1:17" x14ac:dyDescent="0.2">
      <c r="A2992" t="s">
        <v>3157</v>
      </c>
      <c r="B2992" s="1">
        <v>46022</v>
      </c>
      <c r="C2992" t="s">
        <v>77</v>
      </c>
      <c r="D2992" t="s">
        <v>95</v>
      </c>
      <c r="E2992" t="s">
        <v>300</v>
      </c>
      <c r="F2992" t="s">
        <v>69</v>
      </c>
      <c r="G2992" t="s">
        <v>22</v>
      </c>
      <c r="H2992" t="s">
        <v>23</v>
      </c>
      <c r="I2992" t="s">
        <v>83</v>
      </c>
      <c r="J2992" t="s">
        <v>131</v>
      </c>
      <c r="K2992">
        <v>6</v>
      </c>
      <c r="L2992" s="2">
        <v>34.24</v>
      </c>
      <c r="M2992" s="3">
        <v>0.1</v>
      </c>
      <c r="N2992" s="2">
        <v>184.9</v>
      </c>
      <c r="O2992" s="2">
        <v>119.93</v>
      </c>
      <c r="P2992" s="2">
        <v>64.97</v>
      </c>
      <c r="Q2992" t="s">
        <v>26</v>
      </c>
    </row>
    <row r="2993" spans="1:17" x14ac:dyDescent="0.2">
      <c r="A2993" t="s">
        <v>3158</v>
      </c>
      <c r="B2993" s="1">
        <v>46022</v>
      </c>
      <c r="C2993" t="s">
        <v>18</v>
      </c>
      <c r="D2993" t="s">
        <v>133</v>
      </c>
      <c r="E2993" t="s">
        <v>134</v>
      </c>
      <c r="F2993" t="s">
        <v>138</v>
      </c>
      <c r="G2993" t="s">
        <v>22</v>
      </c>
      <c r="H2993" t="s">
        <v>31</v>
      </c>
      <c r="I2993" t="s">
        <v>64</v>
      </c>
      <c r="J2993" t="s">
        <v>252</v>
      </c>
      <c r="K2993">
        <v>8</v>
      </c>
      <c r="L2993" s="2">
        <v>116.55</v>
      </c>
      <c r="M2993" s="3">
        <v>0.15</v>
      </c>
      <c r="N2993" s="2">
        <v>792.54</v>
      </c>
      <c r="O2993" s="2">
        <v>521.91</v>
      </c>
      <c r="P2993" s="2">
        <v>270.63</v>
      </c>
      <c r="Q2993" t="s">
        <v>57</v>
      </c>
    </row>
    <row r="2994" spans="1:17" x14ac:dyDescent="0.2">
      <c r="A2994" t="s">
        <v>3159</v>
      </c>
      <c r="B2994" s="1">
        <v>46022</v>
      </c>
      <c r="C2994" t="s">
        <v>43</v>
      </c>
      <c r="D2994" t="s">
        <v>161</v>
      </c>
      <c r="E2994" t="s">
        <v>172</v>
      </c>
      <c r="F2994" t="s">
        <v>71</v>
      </c>
      <c r="G2994" t="s">
        <v>22</v>
      </c>
      <c r="H2994" t="s">
        <v>31</v>
      </c>
      <c r="I2994" t="s">
        <v>32</v>
      </c>
      <c r="J2994" t="s">
        <v>33</v>
      </c>
      <c r="K2994">
        <v>9</v>
      </c>
      <c r="L2994" s="2">
        <v>1382.95</v>
      </c>
      <c r="M2994" s="3">
        <v>0.05</v>
      </c>
      <c r="N2994" s="2">
        <v>11824.22</v>
      </c>
      <c r="O2994" s="2">
        <v>8933.15</v>
      </c>
      <c r="P2994" s="2">
        <v>2891.07</v>
      </c>
      <c r="Q2994" t="s">
        <v>57</v>
      </c>
    </row>
    <row r="2995" spans="1:17" x14ac:dyDescent="0.2">
      <c r="A2995" t="s">
        <v>3160</v>
      </c>
      <c r="B2995" s="1">
        <v>46022</v>
      </c>
      <c r="C2995" t="s">
        <v>18</v>
      </c>
      <c r="D2995" t="s">
        <v>28</v>
      </c>
      <c r="E2995" t="s">
        <v>29</v>
      </c>
      <c r="F2995" t="s">
        <v>53</v>
      </c>
      <c r="G2995" t="s">
        <v>54</v>
      </c>
      <c r="H2995" t="s">
        <v>31</v>
      </c>
      <c r="I2995" t="s">
        <v>112</v>
      </c>
      <c r="J2995" t="s">
        <v>136</v>
      </c>
      <c r="K2995">
        <v>5</v>
      </c>
      <c r="L2995" s="2">
        <v>578.47</v>
      </c>
      <c r="M2995" s="3">
        <v>0</v>
      </c>
      <c r="N2995" s="2">
        <v>2892.35</v>
      </c>
      <c r="O2995" s="2">
        <v>1664.68</v>
      </c>
      <c r="P2995" s="2">
        <v>1227.67</v>
      </c>
      <c r="Q2995" t="s">
        <v>57</v>
      </c>
    </row>
    <row r="2996" spans="1:17" x14ac:dyDescent="0.2">
      <c r="A2996" t="s">
        <v>3161</v>
      </c>
      <c r="B2996" s="1">
        <v>46022</v>
      </c>
      <c r="C2996" t="s">
        <v>43</v>
      </c>
      <c r="D2996" t="s">
        <v>208</v>
      </c>
      <c r="E2996" t="s">
        <v>209</v>
      </c>
      <c r="F2996" t="s">
        <v>21</v>
      </c>
      <c r="G2996" t="s">
        <v>54</v>
      </c>
      <c r="H2996" t="s">
        <v>31</v>
      </c>
      <c r="I2996" t="s">
        <v>64</v>
      </c>
      <c r="J2996" t="s">
        <v>126</v>
      </c>
      <c r="K2996">
        <v>6</v>
      </c>
      <c r="L2996" s="2">
        <v>81</v>
      </c>
      <c r="M2996" s="3">
        <v>0.05</v>
      </c>
      <c r="N2996" s="2">
        <v>461.7</v>
      </c>
      <c r="O2996" s="2">
        <v>332.91</v>
      </c>
      <c r="P2996" s="2">
        <v>128.79</v>
      </c>
      <c r="Q2996" t="s">
        <v>26</v>
      </c>
    </row>
    <row r="2997" spans="1:17" x14ac:dyDescent="0.2">
      <c r="A2997" t="s">
        <v>3162</v>
      </c>
      <c r="B2997" s="1">
        <v>46022</v>
      </c>
      <c r="C2997" t="s">
        <v>77</v>
      </c>
      <c r="D2997" t="s">
        <v>95</v>
      </c>
      <c r="E2997" t="s">
        <v>300</v>
      </c>
      <c r="F2997" t="s">
        <v>138</v>
      </c>
      <c r="G2997" t="s">
        <v>22</v>
      </c>
      <c r="H2997" t="s">
        <v>47</v>
      </c>
      <c r="I2997" t="s">
        <v>89</v>
      </c>
      <c r="J2997" t="s">
        <v>240</v>
      </c>
      <c r="K2997">
        <v>8</v>
      </c>
      <c r="L2997" s="2">
        <v>312.83</v>
      </c>
      <c r="M2997" s="3">
        <v>0.05</v>
      </c>
      <c r="N2997" s="2">
        <v>2377.5100000000002</v>
      </c>
      <c r="O2997" s="2">
        <v>1649.98</v>
      </c>
      <c r="P2997" s="2">
        <v>727.53</v>
      </c>
      <c r="Q2997" t="s">
        <v>57</v>
      </c>
    </row>
    <row r="2998" spans="1:17" x14ac:dyDescent="0.2">
      <c r="A2998" t="s">
        <v>3163</v>
      </c>
      <c r="B2998" s="1">
        <v>46022</v>
      </c>
      <c r="C2998" t="s">
        <v>43</v>
      </c>
      <c r="D2998" t="s">
        <v>244</v>
      </c>
      <c r="E2998" t="s">
        <v>300</v>
      </c>
      <c r="F2998" t="s">
        <v>30</v>
      </c>
      <c r="G2998" t="s">
        <v>75</v>
      </c>
      <c r="H2998" t="s">
        <v>31</v>
      </c>
      <c r="I2998" t="s">
        <v>40</v>
      </c>
      <c r="J2998" t="s">
        <v>122</v>
      </c>
      <c r="K2998">
        <v>8</v>
      </c>
      <c r="L2998" s="2">
        <v>148.54</v>
      </c>
      <c r="M2998" s="3">
        <v>0.05</v>
      </c>
      <c r="N2998" s="2">
        <v>1128.9000000000001</v>
      </c>
      <c r="O2998" s="2">
        <v>863.9</v>
      </c>
      <c r="P2998" s="2">
        <v>265</v>
      </c>
      <c r="Q2998" t="s">
        <v>61</v>
      </c>
    </row>
    <row r="2999" spans="1:17" x14ac:dyDescent="0.2">
      <c r="A2999" t="s">
        <v>3164</v>
      </c>
      <c r="B2999" s="1">
        <v>46022</v>
      </c>
      <c r="C2999" t="s">
        <v>43</v>
      </c>
      <c r="D2999" t="s">
        <v>208</v>
      </c>
      <c r="E2999" t="s">
        <v>287</v>
      </c>
      <c r="F2999" t="s">
        <v>69</v>
      </c>
      <c r="G2999" t="s">
        <v>75</v>
      </c>
      <c r="H2999" t="s">
        <v>31</v>
      </c>
      <c r="I2999" t="s">
        <v>32</v>
      </c>
      <c r="J2999" t="s">
        <v>104</v>
      </c>
      <c r="K2999">
        <v>10</v>
      </c>
      <c r="L2999" s="2">
        <v>1363.64</v>
      </c>
      <c r="M2999" s="3">
        <v>0.05</v>
      </c>
      <c r="N2999" s="2">
        <v>12954.58</v>
      </c>
      <c r="O2999" s="2">
        <v>7229.28</v>
      </c>
      <c r="P2999" s="2">
        <v>5725.3</v>
      </c>
      <c r="Q2999" t="s">
        <v>26</v>
      </c>
    </row>
    <row r="3000" spans="1:17" x14ac:dyDescent="0.2">
      <c r="A3000" t="s">
        <v>3165</v>
      </c>
      <c r="B3000" s="1">
        <v>46022</v>
      </c>
      <c r="C3000" t="s">
        <v>43</v>
      </c>
      <c r="D3000" t="s">
        <v>244</v>
      </c>
      <c r="E3000" t="s">
        <v>300</v>
      </c>
      <c r="F3000" t="s">
        <v>46</v>
      </c>
      <c r="G3000" t="s">
        <v>22</v>
      </c>
      <c r="H3000" t="s">
        <v>31</v>
      </c>
      <c r="I3000" t="s">
        <v>40</v>
      </c>
      <c r="J3000" t="s">
        <v>41</v>
      </c>
      <c r="K3000">
        <v>1</v>
      </c>
      <c r="L3000" s="2">
        <v>242.62</v>
      </c>
      <c r="M3000" s="3">
        <v>0.1</v>
      </c>
      <c r="N3000" s="2">
        <v>218.36</v>
      </c>
      <c r="O3000" s="2">
        <v>139.83000000000001</v>
      </c>
      <c r="P3000" s="2">
        <v>78.53</v>
      </c>
      <c r="Q3000" t="s">
        <v>26</v>
      </c>
    </row>
    <row r="3001" spans="1:17" x14ac:dyDescent="0.2">
      <c r="A3001" t="s">
        <v>3166</v>
      </c>
      <c r="B3001" s="1">
        <v>46022</v>
      </c>
      <c r="C3001" t="s">
        <v>18</v>
      </c>
      <c r="D3001" t="s">
        <v>86</v>
      </c>
      <c r="E3001" t="s">
        <v>140</v>
      </c>
      <c r="F3001" t="s">
        <v>130</v>
      </c>
      <c r="G3001" t="s">
        <v>75</v>
      </c>
      <c r="H3001" t="s">
        <v>23</v>
      </c>
      <c r="I3001" t="s">
        <v>83</v>
      </c>
      <c r="J3001" t="s">
        <v>131</v>
      </c>
      <c r="K3001">
        <v>1</v>
      </c>
      <c r="L3001" s="2">
        <v>18.12</v>
      </c>
      <c r="M3001" s="3">
        <v>0.1</v>
      </c>
      <c r="N3001" s="2">
        <v>16.309999999999999</v>
      </c>
      <c r="O3001" s="2">
        <v>12.06</v>
      </c>
      <c r="P3001" s="2">
        <v>4.25</v>
      </c>
      <c r="Q3001" t="s">
        <v>34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7859-A518-415F-83E7-9F43975A1E6A}">
  <dimension ref="B2:T47"/>
  <sheetViews>
    <sheetView showGridLines="0" tabSelected="1" topLeftCell="A5" zoomScale="90" zoomScaleNormal="90" workbookViewId="0">
      <selection activeCell="T47" sqref="T47"/>
    </sheetView>
  </sheetViews>
  <sheetFormatPr baseColWidth="10" defaultColWidth="8.83203125" defaultRowHeight="15" x14ac:dyDescent="0.2"/>
  <cols>
    <col min="3" max="3" width="11.5" customWidth="1"/>
    <col min="6" max="6" width="11.33203125" customWidth="1"/>
    <col min="7" max="7" width="10.83203125" customWidth="1"/>
    <col min="9" max="9" width="13.5" customWidth="1"/>
  </cols>
  <sheetData>
    <row r="2" spans="2:15" ht="26" x14ac:dyDescent="0.3">
      <c r="B2" s="14" t="s">
        <v>3189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 ht="16" thickBot="1" x14ac:dyDescent="0.25"/>
    <row r="4" spans="2:15" x14ac:dyDescent="0.2">
      <c r="B4" s="24" t="s">
        <v>3190</v>
      </c>
      <c r="C4" s="25"/>
      <c r="D4" s="26" t="s">
        <v>3191</v>
      </c>
      <c r="E4" s="26"/>
      <c r="F4" s="25" t="s">
        <v>3192</v>
      </c>
      <c r="G4" s="25"/>
      <c r="H4" s="25" t="s">
        <v>3193</v>
      </c>
      <c r="I4" s="25"/>
      <c r="J4" s="25" t="s">
        <v>3194</v>
      </c>
      <c r="K4" s="27"/>
    </row>
    <row r="5" spans="2:15" x14ac:dyDescent="0.2">
      <c r="B5" s="28"/>
      <c r="C5" s="29"/>
      <c r="D5" s="30"/>
      <c r="E5" s="30"/>
      <c r="F5" s="29"/>
      <c r="G5" s="29"/>
      <c r="H5" s="29"/>
      <c r="I5" s="29"/>
      <c r="J5" s="29"/>
      <c r="K5" s="31"/>
    </row>
    <row r="6" spans="2:15" x14ac:dyDescent="0.2">
      <c r="B6" s="28"/>
      <c r="C6" s="29"/>
      <c r="D6" s="30"/>
      <c r="E6" s="30"/>
      <c r="F6" s="29"/>
      <c r="G6" s="29"/>
      <c r="H6" s="29"/>
      <c r="I6" s="29"/>
      <c r="J6" s="29"/>
      <c r="K6" s="31"/>
    </row>
    <row r="7" spans="2:15" x14ac:dyDescent="0.2">
      <c r="B7" s="15">
        <f>'KPI Summary'!B6</f>
        <v>5356476.9000000004</v>
      </c>
      <c r="C7" s="16"/>
      <c r="D7" s="19">
        <f>'KPI Summary'!B7</f>
        <v>1692752.65</v>
      </c>
      <c r="E7" s="19"/>
      <c r="F7" s="21">
        <f>'KPI Summary'!B8</f>
        <v>0.31601977971752288</v>
      </c>
      <c r="G7" s="22"/>
      <c r="H7" s="10">
        <f>'KPI Summary'!A4</f>
        <v>3000</v>
      </c>
      <c r="I7" s="10"/>
      <c r="J7" s="10">
        <f>'KPI Summary'!B4</f>
        <v>16855</v>
      </c>
      <c r="K7" s="11"/>
    </row>
    <row r="8" spans="2:15" ht="16" thickBot="1" x14ac:dyDescent="0.25">
      <c r="B8" s="17"/>
      <c r="C8" s="18"/>
      <c r="D8" s="20"/>
      <c r="E8" s="20"/>
      <c r="F8" s="23"/>
      <c r="G8" s="23"/>
      <c r="H8" s="12"/>
      <c r="I8" s="12"/>
      <c r="J8" s="12"/>
      <c r="K8" s="13"/>
    </row>
    <row r="40" spans="2:20" x14ac:dyDescent="0.2">
      <c r="B40" s="32" t="s">
        <v>3195</v>
      </c>
      <c r="C40" s="32"/>
      <c r="D40" s="32"/>
      <c r="E40" s="32"/>
      <c r="F40" s="32"/>
      <c r="G40" s="32"/>
      <c r="H40" s="32"/>
      <c r="I40" s="32"/>
      <c r="J40" s="32"/>
      <c r="K40" s="32"/>
    </row>
    <row r="41" spans="2:20" x14ac:dyDescent="0.2"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spans="2:20" x14ac:dyDescent="0.2">
      <c r="B42" s="33" t="s">
        <v>3197</v>
      </c>
      <c r="C42" s="33"/>
      <c r="D42" s="33"/>
      <c r="E42" s="33"/>
      <c r="F42" s="33"/>
      <c r="G42" s="33"/>
      <c r="H42" s="33"/>
      <c r="I42" s="33"/>
      <c r="J42" s="33"/>
      <c r="K42" s="33"/>
    </row>
    <row r="43" spans="2:20" x14ac:dyDescent="0.2">
      <c r="B43" s="33" t="s">
        <v>3196</v>
      </c>
      <c r="C43" s="33"/>
      <c r="D43" s="33"/>
      <c r="E43" s="33"/>
      <c r="F43" s="33"/>
      <c r="G43" s="33"/>
      <c r="H43" s="33"/>
      <c r="I43" s="33"/>
      <c r="J43" s="33"/>
      <c r="K43" s="33"/>
    </row>
    <row r="44" spans="2:20" x14ac:dyDescent="0.2">
      <c r="B44" s="33" t="s">
        <v>3198</v>
      </c>
      <c r="C44" s="33"/>
      <c r="D44" s="33"/>
      <c r="E44" s="33"/>
      <c r="F44" s="33"/>
      <c r="G44" s="33"/>
      <c r="H44" s="33"/>
      <c r="I44" s="33"/>
      <c r="J44" s="33"/>
      <c r="K44" s="33"/>
    </row>
    <row r="45" spans="2:20" x14ac:dyDescent="0.2">
      <c r="B45" s="33" t="s">
        <v>3199</v>
      </c>
      <c r="C45" s="33"/>
      <c r="D45" s="33"/>
      <c r="E45" s="33"/>
      <c r="F45" s="33"/>
      <c r="G45" s="33"/>
      <c r="H45" s="33"/>
      <c r="I45" s="33"/>
      <c r="J45" s="33"/>
      <c r="K45" s="33"/>
    </row>
    <row r="47" spans="2:20" x14ac:dyDescent="0.2">
      <c r="T47" t="s">
        <v>3200</v>
      </c>
    </row>
  </sheetData>
  <mergeCells count="16">
    <mergeCell ref="B40:K41"/>
    <mergeCell ref="B42:K42"/>
    <mergeCell ref="B43:K43"/>
    <mergeCell ref="B44:K44"/>
    <mergeCell ref="B45:K45"/>
    <mergeCell ref="J7:K8"/>
    <mergeCell ref="B4:C6"/>
    <mergeCell ref="B7:C8"/>
    <mergeCell ref="D4:E6"/>
    <mergeCell ref="D7:E8"/>
    <mergeCell ref="F4:G6"/>
    <mergeCell ref="F7:G8"/>
    <mergeCell ref="H4:I6"/>
    <mergeCell ref="H7:I8"/>
    <mergeCell ref="J4:K6"/>
    <mergeCell ref="B2:O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Region</vt:lpstr>
      <vt:lpstr>Sales by Category</vt:lpstr>
      <vt:lpstr>Monthly Sales</vt:lpstr>
      <vt:lpstr>Profit by Category</vt:lpstr>
      <vt:lpstr>Sales by Segment</vt:lpstr>
      <vt:lpstr>KPI Summary</vt:lpstr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Kandula</cp:lastModifiedBy>
  <dcterms:created xsi:type="dcterms:W3CDTF">2026-08-10T11:57:14Z</dcterms:created>
  <dcterms:modified xsi:type="dcterms:W3CDTF">2026-08-10T20:25:28Z</dcterms:modified>
</cp:coreProperties>
</file>